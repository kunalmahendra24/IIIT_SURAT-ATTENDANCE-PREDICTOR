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COMBINED mtech" sheetId="3" r:id="rId1"/>
  </sheets>
  <calcPr calcId="162913"/>
</workbook>
</file>

<file path=xl/calcChain.xml><?xml version="1.0" encoding="utf-8"?>
<calcChain xmlns="http://schemas.openxmlformats.org/spreadsheetml/2006/main">
  <c r="P22" i="3" l="1"/>
  <c r="O22" i="3"/>
  <c r="N22" i="3"/>
  <c r="I22" i="3"/>
  <c r="P21" i="3"/>
  <c r="O21" i="3"/>
  <c r="I21" i="3"/>
  <c r="N21" i="3" s="1"/>
  <c r="P20" i="3"/>
  <c r="O20" i="3"/>
  <c r="N20" i="3"/>
  <c r="I20" i="3"/>
  <c r="P19" i="3"/>
  <c r="O19" i="3"/>
  <c r="I19" i="3"/>
  <c r="N19" i="3" s="1"/>
  <c r="P18" i="3"/>
  <c r="O18" i="3"/>
  <c r="N18" i="3"/>
  <c r="I18" i="3"/>
  <c r="P17" i="3"/>
  <c r="O17" i="3"/>
  <c r="I17" i="3"/>
  <c r="N17" i="3" s="1"/>
  <c r="P16" i="3"/>
  <c r="O16" i="3"/>
  <c r="N16" i="3"/>
  <c r="I16" i="3"/>
  <c r="P15" i="3"/>
  <c r="O15" i="3"/>
  <c r="I15" i="3"/>
  <c r="N15" i="3" s="1"/>
  <c r="P14" i="3"/>
  <c r="O14" i="3"/>
  <c r="N14" i="3"/>
  <c r="I14" i="3"/>
  <c r="P13" i="3"/>
  <c r="O13" i="3"/>
  <c r="I13" i="3"/>
  <c r="N13" i="3" s="1"/>
  <c r="P12" i="3"/>
  <c r="O12" i="3"/>
  <c r="N12" i="3"/>
  <c r="I12" i="3"/>
  <c r="P11" i="3"/>
  <c r="O11" i="3"/>
  <c r="I11" i="3"/>
  <c r="N11" i="3" s="1"/>
  <c r="P10" i="3"/>
  <c r="O10" i="3"/>
  <c r="N10" i="3"/>
  <c r="I10" i="3"/>
</calcChain>
</file>

<file path=xl/sharedStrings.xml><?xml version="1.0" encoding="utf-8"?>
<sst xmlns="http://schemas.openxmlformats.org/spreadsheetml/2006/main" count="49" uniqueCount="45">
  <si>
    <t>Indian Institute of Information Technology (IIIT), Surat</t>
  </si>
  <si>
    <t>Electronics and Communication Engineering Department</t>
  </si>
  <si>
    <t>M.Tech - 1st year, Semester - 1st sem</t>
  </si>
  <si>
    <t>Subject Name: EC-761: INTERNET OF THINGS</t>
  </si>
  <si>
    <t>Subject Coordinator: Dr. Kaustubh Dhondge</t>
  </si>
  <si>
    <t>Faculty Name: Dr. Kaustubh Dhondge and Ms. Sejal Rathod</t>
  </si>
  <si>
    <t xml:space="preserve">JULY-DEC 2025
</t>
  </si>
  <si>
    <t>LAB</t>
  </si>
  <si>
    <t>LECTURE</t>
  </si>
  <si>
    <t>LAB+LECTUER</t>
  </si>
  <si>
    <t>Sr. No</t>
  </si>
  <si>
    <t>Enrollment No.</t>
  </si>
  <si>
    <t>Name</t>
  </si>
  <si>
    <t>Total P</t>
  </si>
  <si>
    <t>Total A</t>
  </si>
  <si>
    <t>Total</t>
  </si>
  <si>
    <t>Present (%)</t>
  </si>
  <si>
    <t>TOTAL     LAB+LEC</t>
  </si>
  <si>
    <t>TOTAL PRESNT</t>
  </si>
  <si>
    <t>TOTAL PERCENTAGE</t>
  </si>
  <si>
    <t>PG25CS01</t>
  </si>
  <si>
    <t>LAKSHIKA SINGH CHOUHAN</t>
  </si>
  <si>
    <t>PG25CS02</t>
  </si>
  <si>
    <t>RAJVEER SINGH THAKUR</t>
  </si>
  <si>
    <t>PG25CS03</t>
  </si>
  <si>
    <t>ASIT SHASTRI</t>
  </si>
  <si>
    <t>PG25CS04</t>
  </si>
  <si>
    <t>RAKESH KUMAR NAYAK</t>
  </si>
  <si>
    <t>PG25CS05</t>
  </si>
  <si>
    <t>PRIYASHHA GULATI</t>
  </si>
  <si>
    <t>PG25CS06</t>
  </si>
  <si>
    <t>ADITYA PRAVIN KHARDE</t>
  </si>
  <si>
    <t>PG25CS07</t>
  </si>
  <si>
    <t>ROHANDEEP</t>
  </si>
  <si>
    <t>PG25CS08</t>
  </si>
  <si>
    <t>REVANTH N</t>
  </si>
  <si>
    <t>PG25CS09</t>
  </si>
  <si>
    <t>ANUBHA JHANWAR</t>
  </si>
  <si>
    <t>PG25CS10</t>
  </si>
  <si>
    <t>SARANSH SAXENA</t>
  </si>
  <si>
    <t>PG25CS11</t>
  </si>
  <si>
    <t>NITIN KUMAR MISHRA</t>
  </si>
  <si>
    <t>PG25CS12</t>
  </si>
  <si>
    <t>ZENALI</t>
  </si>
  <si>
    <t>PG25CS13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</si>
</sst>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2"/>
      <color rgb="FFFFFFFF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4" fillId="0" borderId="0" xfId="0" applyFont="1" applyAlignment="1"/>
    <xf numFmtId="0" fontId="4" fillId="0" borderId="4" xfId="0" applyFont="1" applyBorder="1" applyAlignment="1"/>
    <xf numFmtId="2" fontId="4" fillId="0" borderId="0" xfId="0" applyNumberFormat="1" applyFont="1" applyAlignment="1"/>
    <xf numFmtId="0" fontId="7" fillId="6" borderId="4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1" fillId="0" borderId="4" xfId="0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9" fillId="0" borderId="4" xfId="0" applyFont="1" applyBorder="1" applyAlignment="1"/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8" fillId="0" borderId="4" xfId="0" applyFont="1" applyBorder="1" applyAlignment="1"/>
    <xf numFmtId="0" fontId="4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2" fontId="5" fillId="4" borderId="0" xfId="0" applyNumberFormat="1" applyFont="1" applyFill="1" applyAlignment="1">
      <alignment horizontal="center"/>
    </xf>
    <xf numFmtId="0" fontId="0" fillId="0" borderId="0" xfId="0" applyFont="1" applyAlignment="1"/>
    <xf numFmtId="0" fontId="6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21"/>
  <sheetViews>
    <sheetView tabSelected="1" workbookViewId="0">
      <selection sqref="A1:P1"/>
    </sheetView>
  </sheetViews>
  <sheetFormatPr defaultColWidth="12.5703125" defaultRowHeight="15.75" customHeight="1" x14ac:dyDescent="0.2"/>
  <cols>
    <col min="1" max="1" width="7.7109375" customWidth="1"/>
    <col min="3" max="3" width="27.42578125" customWidth="1"/>
    <col min="4" max="5" width="6.42578125" customWidth="1"/>
    <col min="6" max="6" width="5.85546875" customWidth="1"/>
    <col min="7" max="7" width="10.140625" customWidth="1"/>
    <col min="8" max="8" width="1.5703125" customWidth="1"/>
    <col min="9" max="9" width="7.28515625" customWidth="1"/>
    <col min="10" max="10" width="7.7109375" customWidth="1"/>
    <col min="11" max="11" width="8.5703125" customWidth="1"/>
    <col min="12" max="12" width="9.85546875" customWidth="1"/>
    <col min="13" max="13" width="2.140625" customWidth="1"/>
    <col min="14" max="14" width="15.7109375" customWidth="1"/>
    <col min="15" max="15" width="10" customWidth="1"/>
    <col min="16" max="16" width="12.85546875" customWidth="1"/>
  </cols>
  <sheetData>
    <row r="1" spans="1:16" ht="15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</row>
    <row r="2" spans="1:16" ht="15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</row>
    <row r="3" spans="1:16" ht="15" x14ac:dyDescent="0.25">
      <c r="A3" s="29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15" x14ac:dyDescent="0.25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15" x14ac:dyDescent="0.25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</row>
    <row r="6" spans="1:16" ht="15" x14ac:dyDescent="0.25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ht="15.75" customHeight="1" x14ac:dyDescent="0.25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 x14ac:dyDescent="0.25">
      <c r="A8" s="1"/>
      <c r="B8" s="1"/>
      <c r="C8" s="2"/>
      <c r="D8" s="32" t="s">
        <v>7</v>
      </c>
      <c r="E8" s="30"/>
      <c r="F8" s="30"/>
      <c r="G8" s="31"/>
      <c r="H8" s="3"/>
      <c r="I8" s="33" t="s">
        <v>8</v>
      </c>
      <c r="J8" s="34"/>
      <c r="K8" s="34"/>
      <c r="L8" s="34"/>
      <c r="N8" s="35" t="s">
        <v>9</v>
      </c>
      <c r="O8" s="34"/>
      <c r="P8" s="34"/>
    </row>
    <row r="9" spans="1:16" ht="38.25" x14ac:dyDescent="0.2">
      <c r="A9" s="4" t="s">
        <v>10</v>
      </c>
      <c r="B9" s="4" t="s">
        <v>11</v>
      </c>
      <c r="C9" s="5" t="s">
        <v>12</v>
      </c>
      <c r="D9" s="6" t="s">
        <v>13</v>
      </c>
      <c r="E9" s="6" t="s">
        <v>14</v>
      </c>
      <c r="F9" s="6" t="s">
        <v>15</v>
      </c>
      <c r="G9" s="7" t="s">
        <v>16</v>
      </c>
      <c r="H9" s="8"/>
      <c r="I9" s="6" t="s">
        <v>15</v>
      </c>
      <c r="J9" s="6" t="s">
        <v>13</v>
      </c>
      <c r="K9" s="6" t="s">
        <v>14</v>
      </c>
      <c r="L9" s="7" t="s">
        <v>16</v>
      </c>
      <c r="N9" s="9" t="s">
        <v>17</v>
      </c>
      <c r="O9" s="9" t="s">
        <v>18</v>
      </c>
      <c r="P9" s="10" t="s">
        <v>19</v>
      </c>
    </row>
    <row r="10" spans="1:16" ht="15" x14ac:dyDescent="0.25">
      <c r="A10" s="11">
        <v>1</v>
      </c>
      <c r="B10" s="12" t="s">
        <v>20</v>
      </c>
      <c r="C10" s="12" t="s">
        <v>21</v>
      </c>
      <c r="D10" s="13">
        <v>8</v>
      </c>
      <c r="E10" s="13">
        <v>4</v>
      </c>
      <c r="F10" s="13">
        <v>12</v>
      </c>
      <c r="G10" s="14">
        <v>66.666666666666657</v>
      </c>
      <c r="H10" s="15"/>
      <c r="I10" s="16">
        <f t="shared" ref="I10:I22" si="0">SUM(J10:K10)</f>
        <v>22</v>
      </c>
      <c r="J10" s="17">
        <v>13</v>
      </c>
      <c r="K10" s="17">
        <v>9</v>
      </c>
      <c r="L10" s="18">
        <v>0.59</v>
      </c>
      <c r="N10" s="19">
        <f t="shared" ref="N10:N22" si="1">I10+F10</f>
        <v>34</v>
      </c>
      <c r="O10" s="20">
        <f t="shared" ref="O10:O22" si="2">J10+D10</f>
        <v>21</v>
      </c>
      <c r="P10" s="21">
        <f t="shared" ref="P10:P22" si="3">O10*100/34</f>
        <v>61.764705882352942</v>
      </c>
    </row>
    <row r="11" spans="1:16" ht="15" x14ac:dyDescent="0.25">
      <c r="A11" s="11">
        <v>2</v>
      </c>
      <c r="B11" s="12" t="s">
        <v>22</v>
      </c>
      <c r="C11" s="12" t="s">
        <v>23</v>
      </c>
      <c r="D11" s="13">
        <v>11</v>
      </c>
      <c r="E11" s="13">
        <v>1</v>
      </c>
      <c r="F11" s="13">
        <v>12</v>
      </c>
      <c r="G11" s="14">
        <v>91.666666666666657</v>
      </c>
      <c r="H11" s="15"/>
      <c r="I11" s="16">
        <f t="shared" si="0"/>
        <v>22</v>
      </c>
      <c r="J11" s="17">
        <v>17</v>
      </c>
      <c r="K11" s="17">
        <v>5</v>
      </c>
      <c r="L11" s="18">
        <v>0.77</v>
      </c>
      <c r="N11" s="19">
        <f t="shared" si="1"/>
        <v>34</v>
      </c>
      <c r="O11" s="20">
        <f t="shared" si="2"/>
        <v>28</v>
      </c>
      <c r="P11" s="21">
        <f t="shared" si="3"/>
        <v>82.352941176470594</v>
      </c>
    </row>
    <row r="12" spans="1:16" ht="15" x14ac:dyDescent="0.25">
      <c r="A12" s="11">
        <v>3</v>
      </c>
      <c r="B12" s="12" t="s">
        <v>24</v>
      </c>
      <c r="C12" s="12" t="s">
        <v>25</v>
      </c>
      <c r="D12" s="13">
        <v>10</v>
      </c>
      <c r="E12" s="13">
        <v>2</v>
      </c>
      <c r="F12" s="13">
        <v>12</v>
      </c>
      <c r="G12" s="14">
        <v>83.333333333333343</v>
      </c>
      <c r="H12" s="15"/>
      <c r="I12" s="16">
        <f t="shared" si="0"/>
        <v>22</v>
      </c>
      <c r="J12" s="17">
        <v>18</v>
      </c>
      <c r="K12" s="17">
        <v>4</v>
      </c>
      <c r="L12" s="18">
        <v>0.82</v>
      </c>
      <c r="N12" s="19">
        <f t="shared" si="1"/>
        <v>34</v>
      </c>
      <c r="O12" s="20">
        <f t="shared" si="2"/>
        <v>28</v>
      </c>
      <c r="P12" s="21">
        <f t="shared" si="3"/>
        <v>82.352941176470594</v>
      </c>
    </row>
    <row r="13" spans="1:16" ht="15" x14ac:dyDescent="0.25">
      <c r="A13" s="22">
        <v>4</v>
      </c>
      <c r="B13" s="12" t="s">
        <v>26</v>
      </c>
      <c r="C13" s="12" t="s">
        <v>27</v>
      </c>
      <c r="D13" s="13">
        <v>11</v>
      </c>
      <c r="E13" s="13">
        <v>1</v>
      </c>
      <c r="F13" s="13">
        <v>12</v>
      </c>
      <c r="G13" s="14">
        <v>91.666666666666657</v>
      </c>
      <c r="H13" s="23"/>
      <c r="I13" s="16">
        <f t="shared" si="0"/>
        <v>22</v>
      </c>
      <c r="J13" s="17">
        <v>17</v>
      </c>
      <c r="K13" s="17">
        <v>5</v>
      </c>
      <c r="L13" s="18">
        <v>0.77</v>
      </c>
      <c r="N13" s="19">
        <f t="shared" si="1"/>
        <v>34</v>
      </c>
      <c r="O13" s="20">
        <f t="shared" si="2"/>
        <v>28</v>
      </c>
      <c r="P13" s="21">
        <f t="shared" si="3"/>
        <v>82.352941176470594</v>
      </c>
    </row>
    <row r="14" spans="1:16" ht="15" x14ac:dyDescent="0.25">
      <c r="A14" s="11">
        <v>5</v>
      </c>
      <c r="B14" s="12" t="s">
        <v>28</v>
      </c>
      <c r="C14" s="12" t="s">
        <v>29</v>
      </c>
      <c r="D14" s="13">
        <v>11</v>
      </c>
      <c r="E14" s="13">
        <v>1</v>
      </c>
      <c r="F14" s="13">
        <v>12</v>
      </c>
      <c r="G14" s="14">
        <v>91.666666666666657</v>
      </c>
      <c r="H14" s="15"/>
      <c r="I14" s="16">
        <f t="shared" si="0"/>
        <v>22</v>
      </c>
      <c r="J14" s="17">
        <v>16</v>
      </c>
      <c r="K14" s="17">
        <v>6</v>
      </c>
      <c r="L14" s="18">
        <v>0.73</v>
      </c>
      <c r="N14" s="19">
        <f t="shared" si="1"/>
        <v>34</v>
      </c>
      <c r="O14" s="20">
        <f t="shared" si="2"/>
        <v>27</v>
      </c>
      <c r="P14" s="21">
        <f t="shared" si="3"/>
        <v>79.411764705882348</v>
      </c>
    </row>
    <row r="15" spans="1:16" ht="15" x14ac:dyDescent="0.25">
      <c r="A15" s="11">
        <v>6</v>
      </c>
      <c r="B15" s="12" t="s">
        <v>30</v>
      </c>
      <c r="C15" s="12" t="s">
        <v>31</v>
      </c>
      <c r="D15" s="13">
        <v>8</v>
      </c>
      <c r="E15" s="13">
        <v>4</v>
      </c>
      <c r="F15" s="13">
        <v>12</v>
      </c>
      <c r="G15" s="14">
        <v>66.666666666666657</v>
      </c>
      <c r="H15" s="23"/>
      <c r="I15" s="16">
        <f t="shared" si="0"/>
        <v>22</v>
      </c>
      <c r="J15" s="17">
        <v>17</v>
      </c>
      <c r="K15" s="17">
        <v>5</v>
      </c>
      <c r="L15" s="18">
        <v>0.77</v>
      </c>
      <c r="N15" s="19">
        <f t="shared" si="1"/>
        <v>34</v>
      </c>
      <c r="O15" s="20">
        <f t="shared" si="2"/>
        <v>25</v>
      </c>
      <c r="P15" s="21">
        <f t="shared" si="3"/>
        <v>73.529411764705884</v>
      </c>
    </row>
    <row r="16" spans="1:16" ht="15" x14ac:dyDescent="0.25">
      <c r="A16" s="11">
        <v>7</v>
      </c>
      <c r="B16" s="12" t="s">
        <v>32</v>
      </c>
      <c r="C16" s="12" t="s">
        <v>33</v>
      </c>
      <c r="D16" s="13">
        <v>8</v>
      </c>
      <c r="E16" s="13">
        <v>4</v>
      </c>
      <c r="F16" s="13">
        <v>12</v>
      </c>
      <c r="G16" s="14">
        <v>66.666666666666657</v>
      </c>
      <c r="H16" s="15"/>
      <c r="I16" s="16">
        <f t="shared" si="0"/>
        <v>22</v>
      </c>
      <c r="J16" s="17">
        <v>16</v>
      </c>
      <c r="K16" s="17">
        <v>6</v>
      </c>
      <c r="L16" s="18">
        <v>0.73</v>
      </c>
      <c r="N16" s="19">
        <f t="shared" si="1"/>
        <v>34</v>
      </c>
      <c r="O16" s="20">
        <f t="shared" si="2"/>
        <v>24</v>
      </c>
      <c r="P16" s="21">
        <f t="shared" si="3"/>
        <v>70.588235294117652</v>
      </c>
    </row>
    <row r="17" spans="1:16" ht="15" x14ac:dyDescent="0.25">
      <c r="A17" s="22">
        <v>8</v>
      </c>
      <c r="B17" s="12" t="s">
        <v>34</v>
      </c>
      <c r="C17" s="12" t="s">
        <v>35</v>
      </c>
      <c r="D17" s="13">
        <v>11</v>
      </c>
      <c r="E17" s="13">
        <v>1</v>
      </c>
      <c r="F17" s="13">
        <v>12</v>
      </c>
      <c r="G17" s="14">
        <v>91.666666666666657</v>
      </c>
      <c r="H17" s="23"/>
      <c r="I17" s="16">
        <f t="shared" si="0"/>
        <v>22</v>
      </c>
      <c r="J17" s="17">
        <v>18</v>
      </c>
      <c r="K17" s="17">
        <v>4</v>
      </c>
      <c r="L17" s="18">
        <v>0.82</v>
      </c>
      <c r="N17" s="19">
        <f t="shared" si="1"/>
        <v>34</v>
      </c>
      <c r="O17" s="20">
        <f t="shared" si="2"/>
        <v>29</v>
      </c>
      <c r="P17" s="21">
        <f t="shared" si="3"/>
        <v>85.294117647058826</v>
      </c>
    </row>
    <row r="18" spans="1:16" ht="15" x14ac:dyDescent="0.25">
      <c r="A18" s="11">
        <v>9</v>
      </c>
      <c r="B18" s="12" t="s">
        <v>36</v>
      </c>
      <c r="C18" s="12" t="s">
        <v>37</v>
      </c>
      <c r="D18" s="13">
        <v>11</v>
      </c>
      <c r="E18" s="13">
        <v>1</v>
      </c>
      <c r="F18" s="13">
        <v>12</v>
      </c>
      <c r="G18" s="14">
        <v>91.666666666666657</v>
      </c>
      <c r="H18" s="15"/>
      <c r="I18" s="16">
        <f t="shared" si="0"/>
        <v>22</v>
      </c>
      <c r="J18" s="17">
        <v>18</v>
      </c>
      <c r="K18" s="17">
        <v>4</v>
      </c>
      <c r="L18" s="18">
        <v>0.82</v>
      </c>
      <c r="N18" s="19">
        <f t="shared" si="1"/>
        <v>34</v>
      </c>
      <c r="O18" s="20">
        <f t="shared" si="2"/>
        <v>29</v>
      </c>
      <c r="P18" s="21">
        <f t="shared" si="3"/>
        <v>85.294117647058826</v>
      </c>
    </row>
    <row r="19" spans="1:16" ht="15" x14ac:dyDescent="0.25">
      <c r="A19" s="11">
        <v>10</v>
      </c>
      <c r="B19" s="12" t="s">
        <v>38</v>
      </c>
      <c r="C19" s="12" t="s">
        <v>39</v>
      </c>
      <c r="D19" s="13">
        <v>10</v>
      </c>
      <c r="E19" s="13">
        <v>2</v>
      </c>
      <c r="F19" s="13">
        <v>12</v>
      </c>
      <c r="G19" s="14">
        <v>83.333333333333343</v>
      </c>
      <c r="H19" s="15"/>
      <c r="I19" s="16">
        <f t="shared" si="0"/>
        <v>22</v>
      </c>
      <c r="J19" s="17">
        <v>18</v>
      </c>
      <c r="K19" s="17">
        <v>4</v>
      </c>
      <c r="L19" s="18">
        <v>0.82</v>
      </c>
      <c r="N19" s="19">
        <f t="shared" si="1"/>
        <v>34</v>
      </c>
      <c r="O19" s="20">
        <f t="shared" si="2"/>
        <v>28</v>
      </c>
      <c r="P19" s="21">
        <f t="shared" si="3"/>
        <v>82.352941176470594</v>
      </c>
    </row>
    <row r="20" spans="1:16" ht="15" x14ac:dyDescent="0.25">
      <c r="A20" s="11">
        <v>11</v>
      </c>
      <c r="B20" s="12" t="s">
        <v>40</v>
      </c>
      <c r="C20" s="12" t="s">
        <v>41</v>
      </c>
      <c r="D20" s="13">
        <v>10</v>
      </c>
      <c r="E20" s="13">
        <v>2</v>
      </c>
      <c r="F20" s="13">
        <v>12</v>
      </c>
      <c r="G20" s="14">
        <v>83.333333333333343</v>
      </c>
      <c r="H20" s="23"/>
      <c r="I20" s="16">
        <f t="shared" si="0"/>
        <v>22</v>
      </c>
      <c r="J20" s="17">
        <v>17</v>
      </c>
      <c r="K20" s="17">
        <v>5</v>
      </c>
      <c r="L20" s="18">
        <v>0.77</v>
      </c>
      <c r="N20" s="19">
        <f t="shared" si="1"/>
        <v>34</v>
      </c>
      <c r="O20" s="20">
        <f t="shared" si="2"/>
        <v>27</v>
      </c>
      <c r="P20" s="21">
        <f t="shared" si="3"/>
        <v>79.411764705882348</v>
      </c>
    </row>
    <row r="21" spans="1:16" ht="15" x14ac:dyDescent="0.25">
      <c r="A21" s="22">
        <v>12</v>
      </c>
      <c r="B21" s="12" t="s">
        <v>42</v>
      </c>
      <c r="C21" s="24" t="s">
        <v>43</v>
      </c>
      <c r="D21" s="13">
        <v>10</v>
      </c>
      <c r="E21" s="13">
        <v>2</v>
      </c>
      <c r="F21" s="13">
        <v>12</v>
      </c>
      <c r="G21" s="14">
        <v>83.333333333333343</v>
      </c>
      <c r="H21" s="15"/>
      <c r="I21" s="16">
        <f t="shared" si="0"/>
        <v>22</v>
      </c>
      <c r="J21" s="17">
        <v>17</v>
      </c>
      <c r="K21" s="17">
        <v>5</v>
      </c>
      <c r="L21" s="18">
        <v>0.77</v>
      </c>
      <c r="N21" s="19">
        <f t="shared" si="1"/>
        <v>34</v>
      </c>
      <c r="O21" s="20">
        <f t="shared" si="2"/>
        <v>27</v>
      </c>
      <c r="P21" s="21">
        <f t="shared" si="3"/>
        <v>79.411764705882348</v>
      </c>
    </row>
    <row r="22" spans="1:16" ht="15" x14ac:dyDescent="0.25">
      <c r="A22" s="25">
        <v>13</v>
      </c>
      <c r="B22" s="12" t="s">
        <v>44</v>
      </c>
      <c r="C22" s="2"/>
      <c r="D22" s="26">
        <v>6</v>
      </c>
      <c r="E22" s="26">
        <v>6</v>
      </c>
      <c r="F22" s="26">
        <v>12</v>
      </c>
      <c r="G22" s="27">
        <v>50</v>
      </c>
      <c r="H22" s="1"/>
      <c r="I22" s="16">
        <f t="shared" si="0"/>
        <v>22</v>
      </c>
      <c r="J22" s="25">
        <v>12</v>
      </c>
      <c r="K22" s="25">
        <v>10</v>
      </c>
      <c r="L22" s="28">
        <v>0.55000000000000004</v>
      </c>
      <c r="M22" s="1"/>
      <c r="N22" s="19">
        <f t="shared" si="1"/>
        <v>34</v>
      </c>
      <c r="O22" s="20">
        <f t="shared" si="2"/>
        <v>18</v>
      </c>
      <c r="P22" s="21">
        <f t="shared" si="3"/>
        <v>52.941176470588232</v>
      </c>
    </row>
    <row r="23" spans="1:1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</sheetData>
  <mergeCells count="10">
    <mergeCell ref="D8:G8"/>
    <mergeCell ref="I8:L8"/>
    <mergeCell ref="N8:P8"/>
    <mergeCell ref="A4:P4"/>
    <mergeCell ref="A7:P7"/>
    <mergeCell ref="A1:P1"/>
    <mergeCell ref="A2:P2"/>
    <mergeCell ref="A3:P3"/>
    <mergeCell ref="A5:P5"/>
    <mergeCell ref="A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mtech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2025-11-25T07:02:17Z</dcterms:modified>
</cp:coreProperties>
</file>