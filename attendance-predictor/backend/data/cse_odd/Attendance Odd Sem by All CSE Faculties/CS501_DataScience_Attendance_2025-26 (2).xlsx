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_CSE_SDP" sheetId="1" r:id="rId4"/>
    <sheet state="visible" name="LAB_B1" sheetId="2" r:id="rId5"/>
    <sheet state="visible" name="LAB_B2" sheetId="3" r:id="rId6"/>
    <sheet state="visible" name="Total_CSE" sheetId="4" r:id="rId7"/>
    <sheet state="visible" name="CSE Less than 75%" sheetId="5" r:id="rId8"/>
  </sheets>
  <definedNames/>
  <calcPr/>
  <extLst>
    <ext uri="GoogleSheetsCustomDataVersion2">
      <go:sheetsCustomData xmlns:go="http://customooxmlschemas.google.com/" r:id="rId9" roundtripDataChecksum="lRsY2Tr1c+8kg28ARouOCVdNsPiAc0VW8TgsGwag1eg="/>
    </ext>
  </extLst>
</workbook>
</file>

<file path=xl/sharedStrings.xml><?xml version="1.0" encoding="utf-8"?>
<sst xmlns="http://schemas.openxmlformats.org/spreadsheetml/2006/main" count="3954" uniqueCount="190">
  <si>
    <t>Indian Institute of Information Technology (IIIT), Surat</t>
  </si>
  <si>
    <t xml:space="preserve">Computer Science and Engineering Department                                                                                                             </t>
  </si>
  <si>
    <t>B.Tech - II Semester - V</t>
  </si>
  <si>
    <t>Subject Name: Data Science - (CS501) - Theory</t>
  </si>
  <si>
    <t>Subject Coordinator:  Mr Anandatheertan Srinivasan</t>
  </si>
  <si>
    <t>Academic Year: 2025-2026</t>
  </si>
  <si>
    <t>SEPT</t>
  </si>
  <si>
    <t>OCT</t>
  </si>
  <si>
    <t>Nov</t>
  </si>
  <si>
    <t>Total P</t>
  </si>
  <si>
    <t>Total A</t>
  </si>
  <si>
    <t>Total</t>
  </si>
  <si>
    <t>Present</t>
  </si>
  <si>
    <t>Sr. No</t>
  </si>
  <si>
    <t>Enrollment No.</t>
  </si>
  <si>
    <t>Name</t>
  </si>
  <si>
    <t>UI23CS01</t>
  </si>
  <si>
    <t>ABHINAV</t>
  </si>
  <si>
    <t>P</t>
  </si>
  <si>
    <t>A</t>
  </si>
  <si>
    <t>UI23CS02</t>
  </si>
  <si>
    <t>ABHISHEK YADAV</t>
  </si>
  <si>
    <t>UI23CS03</t>
  </si>
  <si>
    <t>AKHILESH SINGH</t>
  </si>
  <si>
    <t>UI23CS05</t>
  </si>
  <si>
    <t>AMAN DUDI</t>
  </si>
  <si>
    <t>UI23CS06</t>
  </si>
  <si>
    <t>AMAN KUMAR</t>
  </si>
  <si>
    <t>UI23CS07</t>
  </si>
  <si>
    <t>ANJALI</t>
  </si>
  <si>
    <t>UI23CS08</t>
  </si>
  <si>
    <t>ANUBHAV RAJPUT</t>
  </si>
  <si>
    <t>UI23CS09</t>
  </si>
  <si>
    <t>AVIRAL PANDEY</t>
  </si>
  <si>
    <t>UI23CS10</t>
  </si>
  <si>
    <t>BAPATHI VENKATA SHV REDDY</t>
  </si>
  <si>
    <t>UI23CS11</t>
  </si>
  <si>
    <t>BELLAM APOORVA</t>
  </si>
  <si>
    <t>UI23CS12</t>
  </si>
  <si>
    <t>BHUKYA LINGANNA</t>
  </si>
  <si>
    <t>UI23CS13</t>
  </si>
  <si>
    <t>BHUPENDRA KUMAR</t>
  </si>
  <si>
    <t>UI23CS16</t>
  </si>
  <si>
    <t>DARSHAN DIXIT</t>
  </si>
  <si>
    <t>UI23CS17</t>
  </si>
  <si>
    <t>DEEPAK SINGH</t>
  </si>
  <si>
    <t>UI23CS18</t>
  </si>
  <si>
    <t>DEEPESH DANGI</t>
  </si>
  <si>
    <t>UI23CS19</t>
  </si>
  <si>
    <t>DHRUV RAGHAV</t>
  </si>
  <si>
    <t>UI23CS20</t>
  </si>
  <si>
    <t>DINESH KUMAR</t>
  </si>
  <si>
    <t>UI23CS21</t>
  </si>
  <si>
    <t>FARAAZ AHMAD</t>
  </si>
  <si>
    <t>UI23CS22</t>
  </si>
  <si>
    <t>GAYATRI</t>
  </si>
  <si>
    <t>UI23CS23</t>
  </si>
  <si>
    <t>HARSH ASHOKBHAI ZADAFIYA</t>
  </si>
  <si>
    <t>UI23CS24</t>
  </si>
  <si>
    <t>HARSH SURESHBHAI PATEL</t>
  </si>
  <si>
    <t>UI23CS25</t>
  </si>
  <si>
    <t>HARSH VARDHAN SINGH</t>
  </si>
  <si>
    <t>UI23CS26</t>
  </si>
  <si>
    <t>HARSH KHULBE</t>
  </si>
  <si>
    <t>UI23CS27</t>
  </si>
  <si>
    <t>HARSH SINGH</t>
  </si>
  <si>
    <t>UI23CS28</t>
  </si>
  <si>
    <t>HARSH SHARMA</t>
  </si>
  <si>
    <t>UI23CS29</t>
  </si>
  <si>
    <t>JASH KAPOOR</t>
  </si>
  <si>
    <t>UI23CS30</t>
  </si>
  <si>
    <t>JEEVANT</t>
  </si>
  <si>
    <t>UI23CS31</t>
  </si>
  <si>
    <t>KALPANA SINGH</t>
  </si>
  <si>
    <t>UI23CS32</t>
  </si>
  <si>
    <t>KAPIL YADAV</t>
  </si>
  <si>
    <t>UI23CS33</t>
  </si>
  <si>
    <t>KARTIK RAJ</t>
  </si>
  <si>
    <t>UI23CS34</t>
  </si>
  <si>
    <t>KAVYA ASHOKBHAI PATEL</t>
  </si>
  <si>
    <t>UI23CS35</t>
  </si>
  <si>
    <t>KSHITIJ AMITBHAI PATEL</t>
  </si>
  <si>
    <t>UI23CS36</t>
  </si>
  <si>
    <t>KUMOD KUMAR</t>
  </si>
  <si>
    <t>UI23CS37</t>
  </si>
  <si>
    <t>LADDA RIDHI</t>
  </si>
  <si>
    <t>UI23CS38</t>
  </si>
  <si>
    <t>MAHYAVANSHI ASAV MAHESHBHAI</t>
  </si>
  <si>
    <t>UI23CS39</t>
  </si>
  <si>
    <t>MATE SAKHEE SHRIKANT</t>
  </si>
  <si>
    <t>UI23CS40</t>
  </si>
  <si>
    <t>MAYANK KUMAR SAGAR</t>
  </si>
  <si>
    <t>UI23CS41</t>
  </si>
  <si>
    <t>MEET MANOJBHAI PATEL</t>
  </si>
  <si>
    <t>UI23CS42</t>
  </si>
  <si>
    <t>MEET PARESH PARMAR</t>
  </si>
  <si>
    <t>UI23CS43</t>
  </si>
  <si>
    <t>MEET SHAH</t>
  </si>
  <si>
    <t>UI23CS44</t>
  </si>
  <si>
    <t>MEETIKSHA</t>
  </si>
  <si>
    <t>UI23CS45</t>
  </si>
  <si>
    <t>MOHAMMAD SAQUIB</t>
  </si>
  <si>
    <t>UI23CS46</t>
  </si>
  <si>
    <t>MUDAVATH PRAVEEN NAYAK</t>
  </si>
  <si>
    <t>UI23CS47</t>
  </si>
  <si>
    <t>NAGANDLA SIDDHARRDHAA</t>
  </si>
  <si>
    <t>UI23CS48</t>
  </si>
  <si>
    <t>NITISH</t>
  </si>
  <si>
    <t>UI23CS49</t>
  </si>
  <si>
    <t>PANKAJ KUMAR</t>
  </si>
  <si>
    <t>UI23CS50</t>
  </si>
  <si>
    <t>PERAM PRIYATHAM REDDY</t>
  </si>
  <si>
    <t>UI23CS51</t>
  </si>
  <si>
    <t>PIPALIYA MOHIT SHAILESHBHAI</t>
  </si>
  <si>
    <t>UI23CS52</t>
  </si>
  <si>
    <t>PRAMITH SAI THALLA</t>
  </si>
  <si>
    <t>UI23CS53</t>
  </si>
  <si>
    <t>PRANSHU NARESHKUMAR PATEL</t>
  </si>
  <si>
    <t>UI23CS54</t>
  </si>
  <si>
    <t>PRATIK DNYANESHWAR AVHAD</t>
  </si>
  <si>
    <t>UI23CS55</t>
  </si>
  <si>
    <t>PRIYANSHU SINGH DOHAREY</t>
  </si>
  <si>
    <t>UI23CS56</t>
  </si>
  <si>
    <t>PULIKANTI VARSHA</t>
  </si>
  <si>
    <t>UI23CS57</t>
  </si>
  <si>
    <t>RADADIYA DISHANTKUMAR BHARATBHAI</t>
  </si>
  <si>
    <t>UI23CS58</t>
  </si>
  <si>
    <t>RONIT CHOUDHARY</t>
  </si>
  <si>
    <t>UI23CS59</t>
  </si>
  <si>
    <t>SAHIL SINGH</t>
  </si>
  <si>
    <t>UI23CS60</t>
  </si>
  <si>
    <t>SANDHYA KUDIYAM</t>
  </si>
  <si>
    <t>UI23CS61</t>
  </si>
  <si>
    <t>SANKET NANDKISHOR ZILPE</t>
  </si>
  <si>
    <t>UI23CS62</t>
  </si>
  <si>
    <t>SEJAL MAURYA</t>
  </si>
  <si>
    <t>UI23CS63</t>
  </si>
  <si>
    <t>SHREYANSH VISHWAKARMA</t>
  </si>
  <si>
    <t>UI23CS64</t>
  </si>
  <si>
    <t>SHREYASH GOVINDWAR</t>
  </si>
  <si>
    <t>UI23CS65</t>
  </si>
  <si>
    <t>SONGARA BHAVIKKUMAR JAGDISHBHAI</t>
  </si>
  <si>
    <t>UI23CS66</t>
  </si>
  <si>
    <t>SRIPADHI RAKSHITH</t>
  </si>
  <si>
    <t>UI23CS67</t>
  </si>
  <si>
    <t>SUMIT PAREEK</t>
  </si>
  <si>
    <t>UI23CS68</t>
  </si>
  <si>
    <t>SURYA NAMDEV</t>
  </si>
  <si>
    <t>UI23CS69</t>
  </si>
  <si>
    <t>TARUN</t>
  </si>
  <si>
    <t>UI23CS70</t>
  </si>
  <si>
    <t>TEJAVATH SIMHADRI</t>
  </si>
  <si>
    <t>UI23CS72</t>
  </si>
  <si>
    <t>VAGHASIYA DAKSH HASMUKHBHAI</t>
  </si>
  <si>
    <t>UI23CS73</t>
  </si>
  <si>
    <t>VASAVA AKSHAYKUMAR AMARSINGBHAI</t>
  </si>
  <si>
    <t>UI23CS74</t>
  </si>
  <si>
    <t>VASU CHETANKUMAR GOTI</t>
  </si>
  <si>
    <t>UI23CS76</t>
  </si>
  <si>
    <t>VISHNU TELI</t>
  </si>
  <si>
    <t>UI23CS77</t>
  </si>
  <si>
    <t>VIVEK BAYA</t>
  </si>
  <si>
    <t>UI23CS78</t>
  </si>
  <si>
    <t>YUG PATEL</t>
  </si>
  <si>
    <t>UI22CS11</t>
  </si>
  <si>
    <t>BANOTH VENKATESH</t>
  </si>
  <si>
    <t>UI22CS42</t>
  </si>
  <si>
    <t>Kanvi Makwana</t>
  </si>
  <si>
    <t>No. of Present Student</t>
  </si>
  <si>
    <t>No. of Absent Student</t>
  </si>
  <si>
    <t>Subject Name: Data Science - (CS501) - Lab_B1</t>
  </si>
  <si>
    <t>August</t>
  </si>
  <si>
    <t>September</t>
  </si>
  <si>
    <t>Oct</t>
  </si>
  <si>
    <t>Subject Name: Data Science - (CS501) - Lab_B2</t>
  </si>
  <si>
    <t>Hugging Face Spaces Gradio Streamlit</t>
  </si>
  <si>
    <t>AUG</t>
  </si>
  <si>
    <t>Sep</t>
  </si>
  <si>
    <t>Subject Name: Data Science - (CS501)</t>
  </si>
  <si>
    <t>Attended_Lec_SDP</t>
  </si>
  <si>
    <t>Attended_Lec_AB</t>
  </si>
  <si>
    <t>Total_Attended_Lec</t>
  </si>
  <si>
    <t>Attended_Lab</t>
  </si>
  <si>
    <t xml:space="preserve">Total Lec </t>
  </si>
  <si>
    <t>Total_Attendance</t>
  </si>
  <si>
    <t>Total Lab</t>
  </si>
  <si>
    <t>Total_Lec_Lab</t>
  </si>
  <si>
    <t>Present Percentage Theory (%)</t>
  </si>
  <si>
    <t>Present Percentage Lab (%)</t>
  </si>
  <si>
    <t>Present Percentage 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</si>
</sst>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rgb="FF000000"/>
      <name val="Calibri"/>
      <scheme val="minor"/>
    </font>
    <font>
      <b/>
      <sz val="11.0"/>
      <color rgb="FF000000"/>
      <name val="Calibri"/>
    </font>
    <font/>
    <font>
      <sz val="11.0"/>
      <color rgb="FF000000"/>
      <name val="Calibri"/>
    </font>
    <font>
      <sz val="11.0"/>
      <color theme="1"/>
      <name val="Calibri"/>
    </font>
    <font>
      <sz val="11.0"/>
      <color rgb="FF70AD47"/>
      <name val="Calibri"/>
    </font>
    <font>
      <sz val="11.0"/>
      <color rgb="FFFF0000"/>
      <name val="Calibri"/>
    </font>
    <font>
      <b/>
      <sz val="11.0"/>
      <color rgb="FF70AD47"/>
      <name val="Times New Roman"/>
    </font>
    <font>
      <sz val="11.0"/>
      <color rgb="FFFF0000"/>
      <name val="Inconsolata"/>
    </font>
    <font>
      <b/>
      <sz val="11.0"/>
      <color theme="1"/>
      <name val="Calibri"/>
    </font>
    <font>
      <b/>
      <sz val="11.0"/>
      <color theme="9"/>
      <name val="Times New Roman"/>
    </font>
    <font>
      <b/>
      <sz val="11.0"/>
      <color rgb="FFFF0000"/>
      <name val="Times New Roman"/>
    </font>
    <font>
      <sz val="9.0"/>
      <color rgb="FF7E3794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F1C232"/>
        <bgColor rgb="FFF1C232"/>
      </patternFill>
    </fill>
  </fills>
  <borders count="2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/>
    </border>
    <border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/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shrinkToFit="0" vertical="center" wrapText="0"/>
    </xf>
    <xf borderId="1" fillId="2" fontId="1" numFmtId="0" xfId="0" applyAlignment="1" applyBorder="1" applyFont="1">
      <alignment horizontal="left" readingOrder="0" shrinkToFit="0" vertical="center" wrapText="1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center" shrinkToFit="0" vertical="bottom" wrapText="0"/>
    </xf>
    <xf borderId="1" fillId="3" fontId="1" numFmtId="0" xfId="0" applyAlignment="1" applyBorder="1" applyFill="1" applyFont="1">
      <alignment horizontal="center" shrinkToFit="0" vertical="center" wrapText="1"/>
    </xf>
    <xf borderId="4" fillId="0" fontId="2" numFmtId="0" xfId="0" applyBorder="1" applyFont="1"/>
    <xf borderId="5" fillId="3" fontId="1" numFmtId="0" xfId="0" applyAlignment="1" applyBorder="1" applyFont="1">
      <alignment horizontal="center" shrinkToFit="0" vertical="center" wrapText="1"/>
    </xf>
    <xf borderId="6" fillId="3" fontId="1" numFmtId="0" xfId="0" applyAlignment="1" applyBorder="1" applyFont="1">
      <alignment horizontal="center" shrinkToFit="0" vertical="center" wrapText="1"/>
    </xf>
    <xf borderId="7" fillId="3" fontId="1" numFmtId="0" xfId="0" applyAlignment="1" applyBorder="1" applyFont="1">
      <alignment horizontal="center" shrinkToFit="0" vertical="center" wrapText="1"/>
    </xf>
    <xf borderId="8" fillId="3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center" wrapText="0"/>
    </xf>
    <xf borderId="3" fillId="0" fontId="1" numFmtId="0" xfId="0" applyAlignment="1" applyBorder="1" applyFont="1">
      <alignment shrinkToFit="0" vertical="center" wrapText="0"/>
    </xf>
    <xf borderId="8" fillId="3" fontId="1" numFmtId="0" xfId="0" applyAlignment="1" applyBorder="1" applyFont="1">
      <alignment readingOrder="0" shrinkToFit="0" vertical="bottom" wrapText="0"/>
    </xf>
    <xf borderId="7" fillId="3" fontId="1" numFmtId="0" xfId="0" applyAlignment="1" applyBorder="1" applyFont="1">
      <alignment horizontal="center" shrinkToFit="0" vertical="bottom" wrapText="0"/>
    </xf>
    <xf borderId="7" fillId="3" fontId="1" numFmtId="0" xfId="0" applyAlignment="1" applyBorder="1" applyFont="1">
      <alignment horizontal="center" shrinkToFit="0" vertical="center" wrapText="0"/>
    </xf>
    <xf borderId="7" fillId="4" fontId="3" numFmtId="0" xfId="0" applyAlignment="1" applyBorder="1" applyFill="1" applyFont="1">
      <alignment horizontal="center" shrinkToFit="0" vertical="bottom" wrapText="0"/>
    </xf>
    <xf borderId="9" fillId="0" fontId="4" numFmtId="0" xfId="0" applyAlignment="1" applyBorder="1" applyFont="1">
      <alignment horizontal="center" shrinkToFit="0" vertical="bottom" wrapText="0"/>
    </xf>
    <xf borderId="3" fillId="0" fontId="4" numFmtId="0" xfId="0" applyAlignment="1" applyBorder="1" applyFont="1">
      <alignment shrinkToFit="0" vertical="bottom" wrapText="0"/>
    </xf>
    <xf borderId="7" fillId="2" fontId="3" numFmtId="0" xfId="0" applyAlignment="1" applyBorder="1" applyFont="1">
      <alignment horizontal="center" readingOrder="0" shrinkToFit="0" vertical="center" wrapText="0"/>
    </xf>
    <xf borderId="7" fillId="2" fontId="5" numFmtId="0" xfId="0" applyAlignment="1" applyBorder="1" applyFont="1">
      <alignment horizontal="center" shrinkToFit="0" vertical="center" wrapText="0"/>
    </xf>
    <xf borderId="7" fillId="0" fontId="1" numFmtId="0" xfId="0" applyAlignment="1" applyBorder="1" applyFont="1">
      <alignment horizontal="center" shrinkToFit="0" vertical="bottom" wrapText="0"/>
    </xf>
    <xf borderId="7" fillId="0" fontId="1" numFmtId="2" xfId="0" applyAlignment="1" applyBorder="1" applyFont="1" applyNumberFormat="1">
      <alignment horizontal="center" shrinkToFit="0" vertical="center" wrapText="0"/>
    </xf>
    <xf borderId="10" fillId="0" fontId="4" numFmtId="0" xfId="0" applyAlignment="1" applyBorder="1" applyFont="1">
      <alignment shrinkToFit="0" vertical="bottom" wrapText="0"/>
    </xf>
    <xf borderId="7" fillId="2" fontId="3" numFmtId="0" xfId="0" applyAlignment="1" applyBorder="1" applyFont="1">
      <alignment horizontal="center" shrinkToFit="0" vertical="bottom" wrapText="0"/>
    </xf>
    <xf borderId="11" fillId="2" fontId="4" numFmtId="0" xfId="0" applyAlignment="1" applyBorder="1" applyFont="1">
      <alignment horizontal="center" shrinkToFit="0" vertical="bottom" wrapText="0"/>
    </xf>
    <xf borderId="12" fillId="2" fontId="4" numFmtId="0" xfId="0" applyAlignment="1" applyBorder="1" applyFont="1">
      <alignment shrinkToFit="0" vertical="bottom" wrapText="0"/>
    </xf>
    <xf borderId="7" fillId="2" fontId="6" numFmtId="0" xfId="0" applyAlignment="1" applyBorder="1" applyFont="1">
      <alignment horizontal="center" readingOrder="0" shrinkToFit="0" vertical="center" wrapText="0"/>
    </xf>
    <xf borderId="7" fillId="0" fontId="3" numFmtId="0" xfId="0" applyAlignment="1" applyBorder="1" applyFont="1">
      <alignment horizontal="center" shrinkToFit="0" vertical="center" wrapText="0"/>
    </xf>
    <xf borderId="13" fillId="2" fontId="4" numFmtId="0" xfId="0" applyAlignment="1" applyBorder="1" applyFont="1">
      <alignment horizontal="center" shrinkToFit="0" vertical="bottom" wrapText="0"/>
    </xf>
    <xf borderId="7" fillId="2" fontId="4" numFmtId="0" xfId="0" applyAlignment="1" applyBorder="1" applyFont="1">
      <alignment horizontal="center" shrinkToFit="0" vertical="bottom" wrapText="0"/>
    </xf>
    <xf borderId="7" fillId="4" fontId="3" numFmtId="0" xfId="0" applyAlignment="1" applyBorder="1" applyFont="1">
      <alignment horizontal="center" readingOrder="0" shrinkToFit="0" vertical="bottom" wrapText="0"/>
    </xf>
    <xf borderId="7" fillId="0" fontId="4" numFmtId="0" xfId="0" applyAlignment="1" applyBorder="1" applyFont="1">
      <alignment horizontal="center" shrinkToFit="0" vertical="bottom" wrapText="0"/>
    </xf>
    <xf borderId="7" fillId="0" fontId="4" numFmtId="0" xfId="0" applyAlignment="1" applyBorder="1" applyFont="1">
      <alignment shrinkToFit="0" vertical="bottom" wrapText="0"/>
    </xf>
    <xf borderId="7" fillId="2" fontId="3" numFmtId="0" xfId="0" applyAlignment="1" applyBorder="1" applyFont="1">
      <alignment horizontal="center" shrinkToFit="0" vertical="center" wrapText="0"/>
    </xf>
    <xf borderId="7" fillId="2" fontId="1" numFmtId="0" xfId="0" applyAlignment="1" applyBorder="1" applyFont="1">
      <alignment horizontal="center" shrinkToFit="0" vertical="center" wrapText="1"/>
    </xf>
    <xf borderId="7" fillId="2" fontId="5" numFmtId="0" xfId="0" applyAlignment="1" applyBorder="1" applyFont="1">
      <alignment horizontal="center" shrinkToFit="0" vertical="bottom" wrapText="0"/>
    </xf>
    <xf borderId="0" fillId="0" fontId="3" numFmtId="0" xfId="0" applyAlignment="1" applyFont="1">
      <alignment shrinkToFit="0" vertical="center" wrapText="0"/>
    </xf>
    <xf borderId="12" fillId="5" fontId="4" numFmtId="0" xfId="0" applyAlignment="1" applyBorder="1" applyFill="1" applyFont="1">
      <alignment shrinkToFit="0" vertical="bottom" wrapText="0"/>
    </xf>
    <xf borderId="12" fillId="5" fontId="7" numFmtId="0" xfId="0" applyAlignment="1" applyBorder="1" applyFont="1">
      <alignment horizontal="center" shrinkToFit="0" vertical="bottom" wrapText="0"/>
    </xf>
    <xf borderId="12" fillId="5" fontId="7" numFmtId="0" xfId="0" applyAlignment="1" applyBorder="1" applyFont="1">
      <alignment horizontal="center" readingOrder="0" shrinkToFit="0" vertical="bottom" wrapText="0"/>
    </xf>
    <xf borderId="12" fillId="5" fontId="8" numFmtId="0" xfId="0" applyAlignment="1" applyBorder="1" applyFont="1">
      <alignment horizontal="right" shrinkToFit="0" vertical="bottom" wrapText="0"/>
    </xf>
    <xf borderId="12" fillId="5" fontId="8" numFmtId="0" xfId="0" applyAlignment="1" applyBorder="1" applyFont="1">
      <alignment horizontal="right" readingOrder="0" shrinkToFit="0" vertical="bottom" wrapText="0"/>
    </xf>
    <xf borderId="0" fillId="2" fontId="1" numFmtId="0" xfId="0" applyAlignment="1" applyFont="1">
      <alignment horizontal="left" shrinkToFit="0" vertical="center" wrapText="1"/>
    </xf>
    <xf borderId="14" fillId="0" fontId="4" numFmtId="0" xfId="0" applyAlignment="1" applyBorder="1" applyFont="1">
      <alignment shrinkToFit="0" vertical="bottom" wrapText="0"/>
    </xf>
    <xf borderId="14" fillId="0" fontId="4" numFmtId="0" xfId="0" applyAlignment="1" applyBorder="1" applyFont="1">
      <alignment horizontal="center" shrinkToFit="0" vertical="bottom" wrapText="0"/>
    </xf>
    <xf borderId="1" fillId="3" fontId="9" numFmtId="0" xfId="0" applyAlignment="1" applyBorder="1" applyFont="1">
      <alignment horizontal="center" shrinkToFit="0" vertical="bottom" wrapText="1"/>
    </xf>
    <xf borderId="15" fillId="3" fontId="9" numFmtId="0" xfId="0" applyAlignment="1" applyBorder="1" applyFont="1">
      <alignment horizontal="center" shrinkToFit="0" vertical="bottom" wrapText="1"/>
    </xf>
    <xf borderId="15" fillId="0" fontId="2" numFmtId="0" xfId="0" applyBorder="1" applyFont="1"/>
    <xf borderId="16" fillId="0" fontId="2" numFmtId="0" xfId="0" applyBorder="1" applyFont="1"/>
    <xf borderId="17" fillId="3" fontId="9" numFmtId="0" xfId="0" applyAlignment="1" applyBorder="1" applyFont="1">
      <alignment horizontal="center" shrinkToFit="0" vertical="bottom" wrapText="0"/>
    </xf>
    <xf borderId="12" fillId="3" fontId="4" numFmtId="0" xfId="0" applyAlignment="1" applyBorder="1" applyFont="1">
      <alignment shrinkToFit="0" vertical="bottom" wrapText="0"/>
    </xf>
    <xf borderId="18" fillId="3" fontId="4" numFmtId="0" xfId="0" applyAlignment="1" applyBorder="1" applyFont="1">
      <alignment shrinkToFit="0" vertical="bottom" wrapText="0"/>
    </xf>
    <xf borderId="0" fillId="3" fontId="4" numFmtId="0" xfId="0" applyAlignment="1" applyFont="1">
      <alignment shrinkToFit="0" vertical="bottom" wrapText="0"/>
    </xf>
    <xf borderId="7" fillId="3" fontId="9" numFmtId="0" xfId="0" applyAlignment="1" applyBorder="1" applyFont="1">
      <alignment shrinkToFit="0" vertical="bottom" wrapText="0"/>
    </xf>
    <xf borderId="16" fillId="3" fontId="9" numFmtId="0" xfId="0" applyAlignment="1" applyBorder="1" applyFont="1">
      <alignment horizontal="center" readingOrder="0" shrinkToFit="0" vertical="bottom" wrapText="0"/>
    </xf>
    <xf borderId="12" fillId="3" fontId="9" numFmtId="0" xfId="0" applyAlignment="1" applyBorder="1" applyFont="1">
      <alignment horizontal="center" readingOrder="0" shrinkToFit="0" vertical="bottom" wrapText="0"/>
    </xf>
    <xf borderId="12" fillId="3" fontId="9" numFmtId="0" xfId="0" applyAlignment="1" applyBorder="1" applyFont="1">
      <alignment readingOrder="0" shrinkToFit="0" vertical="bottom" wrapText="0"/>
    </xf>
    <xf borderId="12" fillId="2" fontId="10" numFmtId="0" xfId="0" applyAlignment="1" applyBorder="1" applyFont="1">
      <alignment horizontal="center" readingOrder="0" shrinkToFit="0" vertical="bottom" wrapText="0"/>
    </xf>
    <xf borderId="10" fillId="0" fontId="9" numFmtId="0" xfId="0" applyAlignment="1" applyBorder="1" applyFont="1">
      <alignment horizontal="center" shrinkToFit="0" vertical="bottom" wrapText="0"/>
    </xf>
    <xf borderId="10" fillId="0" fontId="9" numFmtId="2" xfId="0" applyAlignment="1" applyBorder="1" applyFont="1" applyNumberFormat="1">
      <alignment horizontal="center" shrinkToFit="0" vertical="bottom" wrapText="0"/>
    </xf>
    <xf borderId="0" fillId="0" fontId="9" numFmtId="2" xfId="0" applyAlignment="1" applyFont="1" applyNumberFormat="1">
      <alignment horizontal="center" shrinkToFit="0" vertical="bottom" wrapText="0"/>
    </xf>
    <xf borderId="19" fillId="4" fontId="4" numFmtId="0" xfId="0" applyAlignment="1" applyBorder="1" applyFont="1">
      <alignment horizontal="center" shrinkToFit="0" vertical="bottom" wrapText="0"/>
    </xf>
    <xf borderId="12" fillId="2" fontId="11" numFmtId="0" xfId="0" applyAlignment="1" applyBorder="1" applyFont="1">
      <alignment horizontal="center" shrinkToFit="0" vertical="bottom" wrapText="0"/>
    </xf>
    <xf borderId="10" fillId="0" fontId="4" numFmtId="0" xfId="0" applyAlignment="1" applyBorder="1" applyFont="1">
      <alignment horizontal="center" shrinkToFit="0" vertical="bottom" wrapText="0"/>
    </xf>
    <xf borderId="12" fillId="5" fontId="8" numFmtId="0" xfId="0" applyAlignment="1" applyBorder="1" applyFont="1">
      <alignment horizontal="center" shrinkToFit="0" vertical="bottom" wrapText="0"/>
    </xf>
    <xf borderId="18" fillId="5" fontId="8" numFmtId="0" xfId="0" applyAlignment="1" applyBorder="1" applyFont="1">
      <alignment horizontal="right" shrinkToFit="0" vertical="bottom" wrapText="0"/>
    </xf>
    <xf borderId="1" fillId="2" fontId="9" numFmtId="0" xfId="0" applyAlignment="1" applyBorder="1" applyFont="1">
      <alignment horizontal="left" shrinkToFit="0" wrapText="1"/>
    </xf>
    <xf borderId="1" fillId="2" fontId="9" numFmtId="0" xfId="0" applyAlignment="1" applyBorder="1" applyFont="1">
      <alignment horizontal="left" readingOrder="0" shrinkToFit="0" wrapText="1"/>
    </xf>
    <xf borderId="20" fillId="2" fontId="9" numFmtId="0" xfId="0" applyAlignment="1" applyBorder="1" applyFont="1">
      <alignment horizontal="center" shrinkToFit="0" vertical="bottom" wrapText="1"/>
    </xf>
    <xf borderId="14" fillId="0" fontId="2" numFmtId="0" xfId="0" applyBorder="1" applyFont="1"/>
    <xf borderId="10" fillId="0" fontId="2" numFmtId="0" xfId="0" applyBorder="1" applyFont="1"/>
    <xf borderId="0" fillId="0" fontId="4" numFmtId="0" xfId="0" applyAlignment="1" applyFont="1">
      <alignment readingOrder="0" shrinkToFit="0" vertical="bottom" wrapText="0"/>
    </xf>
    <xf borderId="14" fillId="0" fontId="4" numFmtId="4" xfId="0" applyAlignment="1" applyBorder="1" applyFont="1" applyNumberFormat="1">
      <alignment shrinkToFit="0" vertical="bottom" wrapText="0"/>
    </xf>
    <xf borderId="21" fillId="0" fontId="4" numFmtId="0" xfId="0" applyAlignment="1" applyBorder="1" applyFont="1">
      <alignment shrinkToFit="0" vertical="bottom" wrapText="0"/>
    </xf>
    <xf borderId="17" fillId="3" fontId="9" numFmtId="0" xfId="0" applyAlignment="1" applyBorder="1" applyFont="1">
      <alignment horizontal="center" shrinkToFit="0" vertical="bottom" wrapText="1"/>
    </xf>
    <xf borderId="2" fillId="3" fontId="9" numFmtId="0" xfId="0" applyAlignment="1" applyBorder="1" applyFont="1">
      <alignment horizontal="center" shrinkToFit="0" vertical="bottom" wrapText="1"/>
    </xf>
    <xf borderId="16" fillId="3" fontId="9" numFmtId="0" xfId="0" applyAlignment="1" applyBorder="1" applyFont="1">
      <alignment horizontal="center" shrinkToFit="0" vertical="bottom" wrapText="1"/>
    </xf>
    <xf borderId="12" fillId="3" fontId="9" numFmtId="0" xfId="0" applyAlignment="1" applyBorder="1" applyFont="1">
      <alignment horizontal="center" shrinkToFit="0" vertical="bottom" wrapText="1"/>
    </xf>
    <xf borderId="12" fillId="3" fontId="9" numFmtId="4" xfId="0" applyAlignment="1" applyBorder="1" applyFont="1" applyNumberFormat="1">
      <alignment horizontal="center" shrinkToFit="0" vertical="bottom" wrapText="1"/>
    </xf>
    <xf borderId="19" fillId="3" fontId="9" numFmtId="0" xfId="0" applyAlignment="1" applyBorder="1" applyFont="1">
      <alignment shrinkToFit="0" vertical="bottom" wrapText="0"/>
    </xf>
    <xf borderId="12" fillId="3" fontId="9" numFmtId="0" xfId="0" applyAlignment="1" applyBorder="1" applyFont="1">
      <alignment shrinkToFit="0" vertical="bottom" wrapText="0"/>
    </xf>
    <xf borderId="22" fillId="3" fontId="9" numFmtId="0" xfId="0" applyAlignment="1" applyBorder="1" applyFont="1">
      <alignment horizontal="center" readingOrder="0" shrinkToFit="0" vertical="bottom" wrapText="0"/>
    </xf>
    <xf borderId="12" fillId="3" fontId="4" numFmtId="4" xfId="0" applyAlignment="1" applyBorder="1" applyFont="1" applyNumberFormat="1">
      <alignment shrinkToFit="0" vertical="bottom" wrapText="0"/>
    </xf>
    <xf borderId="10" fillId="2" fontId="10" numFmtId="0" xfId="0" applyAlignment="1" applyBorder="1" applyFont="1">
      <alignment horizontal="center" readingOrder="0" shrinkToFit="0" vertical="bottom" wrapText="0"/>
    </xf>
    <xf borderId="10" fillId="0" fontId="9" numFmtId="4" xfId="0" applyAlignment="1" applyBorder="1" applyFont="1" applyNumberFormat="1">
      <alignment horizontal="center" shrinkToFit="0" vertical="bottom" wrapText="0"/>
    </xf>
    <xf borderId="23" fillId="0" fontId="4" numFmtId="0" xfId="0" applyAlignment="1" applyBorder="1" applyFont="1">
      <alignment horizontal="center" shrinkToFit="0" vertical="bottom" wrapText="0"/>
    </xf>
    <xf borderId="18" fillId="4" fontId="4" numFmtId="0" xfId="0" applyAlignment="1" applyBorder="1" applyFont="1">
      <alignment horizontal="center" readingOrder="0" shrinkToFit="0" vertical="bottom" wrapText="0"/>
    </xf>
    <xf borderId="18" fillId="4" fontId="4" numFmtId="0" xfId="0" applyAlignment="1" applyBorder="1" applyFont="1">
      <alignment horizontal="center" shrinkToFit="0" vertical="bottom" wrapText="0"/>
    </xf>
    <xf borderId="7" fillId="2" fontId="11" numFmtId="0" xfId="0" applyAlignment="1" applyBorder="1" applyFont="1">
      <alignment horizontal="center" shrinkToFit="0" vertical="bottom" wrapText="0"/>
    </xf>
    <xf borderId="10" fillId="2" fontId="11" numFmtId="0" xfId="0" applyAlignment="1" applyBorder="1" applyFont="1">
      <alignment horizontal="center" shrinkToFit="0" vertical="bottom" wrapText="0"/>
    </xf>
    <xf borderId="18" fillId="2" fontId="4" numFmtId="0" xfId="0" applyAlignment="1" applyBorder="1" applyFont="1">
      <alignment shrinkToFit="0" vertical="bottom" wrapText="0"/>
    </xf>
    <xf borderId="24" fillId="2" fontId="4" numFmtId="0" xfId="0" applyAlignment="1" applyBorder="1" applyFont="1">
      <alignment shrinkToFit="0" vertical="bottom" wrapText="0"/>
    </xf>
    <xf borderId="0" fillId="0" fontId="9" numFmtId="0" xfId="0" applyAlignment="1" applyFont="1">
      <alignment horizontal="center" shrinkToFit="0" vertical="bottom" wrapText="0"/>
    </xf>
    <xf borderId="0" fillId="0" fontId="9" numFmtId="4" xfId="0" applyAlignment="1" applyFont="1" applyNumberFormat="1">
      <alignment horizontal="center" shrinkToFit="0" vertical="bottom" wrapText="0"/>
    </xf>
    <xf borderId="0" fillId="2" fontId="4" numFmtId="0" xfId="0" applyAlignment="1" applyFont="1">
      <alignment shrinkToFit="0" vertical="bottom" wrapText="0"/>
    </xf>
    <xf borderId="0" fillId="0" fontId="4" numFmtId="4" xfId="0" applyAlignment="1" applyFont="1" applyNumberFormat="1">
      <alignment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1" numFmtId="4" xfId="0" applyAlignment="1" applyFont="1" applyNumberFormat="1">
      <alignment horizontal="center" shrinkToFit="0" vertical="bottom" wrapText="0"/>
    </xf>
    <xf borderId="0" fillId="0" fontId="3" numFmtId="0" xfId="0" applyAlignment="1" applyFont="1">
      <alignment shrinkToFit="0" vertical="bottom" wrapText="0"/>
    </xf>
    <xf borderId="25" fillId="3" fontId="1" numFmtId="0" xfId="0" applyAlignment="1" applyBorder="1" applyFont="1">
      <alignment horizontal="center" shrinkToFit="0" vertical="center" wrapText="1"/>
    </xf>
    <xf borderId="25" fillId="3" fontId="9" numFmtId="0" xfId="0" applyAlignment="1" applyBorder="1" applyFont="1">
      <alignment horizontal="center" shrinkToFit="0" vertical="bottom" wrapText="1"/>
    </xf>
    <xf borderId="25" fillId="3" fontId="9" numFmtId="4" xfId="0" applyAlignment="1" applyBorder="1" applyFont="1" applyNumberFormat="1">
      <alignment horizontal="center" shrinkToFit="0" vertical="bottom" wrapText="1"/>
    </xf>
    <xf borderId="25" fillId="3" fontId="1" numFmtId="4" xfId="0" applyAlignment="1" applyBorder="1" applyFont="1" applyNumberFormat="1">
      <alignment horizontal="center" shrinkToFit="0" vertical="center" wrapText="1"/>
    </xf>
    <xf borderId="26" fillId="0" fontId="2" numFmtId="0" xfId="0" applyBorder="1" applyFont="1"/>
    <xf borderId="27" fillId="0" fontId="2" numFmtId="0" xfId="0" applyBorder="1" applyFont="1"/>
    <xf borderId="7" fillId="3" fontId="1" numFmtId="0" xfId="0" applyAlignment="1" applyBorder="1" applyFont="1">
      <alignment shrinkToFit="0" vertical="bottom" wrapText="0"/>
    </xf>
    <xf borderId="7" fillId="0" fontId="3" numFmtId="0" xfId="0" applyAlignment="1" applyBorder="1" applyFont="1">
      <alignment horizontal="center" shrinkToFit="0" vertical="bottom" wrapText="0"/>
    </xf>
    <xf borderId="27" fillId="0" fontId="4" numFmtId="0" xfId="0" applyAlignment="1" applyBorder="1" applyFont="1">
      <alignment shrinkToFit="0" vertical="bottom" wrapText="0"/>
    </xf>
    <xf borderId="27" fillId="0" fontId="4" numFmtId="4" xfId="0" applyAlignment="1" applyBorder="1" applyFont="1" applyNumberFormat="1">
      <alignment shrinkToFit="0" vertical="bottom" wrapText="0"/>
    </xf>
    <xf borderId="27" fillId="0" fontId="1" numFmtId="4" xfId="0" applyAlignment="1" applyBorder="1" applyFont="1" applyNumberFormat="1">
      <alignment horizontal="center" shrinkToFit="0" vertical="bottom" wrapText="0"/>
    </xf>
    <xf borderId="7" fillId="0" fontId="1" numFmtId="4" xfId="0" applyAlignment="1" applyBorder="1" applyFont="1" applyNumberFormat="1">
      <alignment horizontal="center" shrinkToFit="0" vertical="bottom" wrapText="0"/>
    </xf>
    <xf borderId="7" fillId="4" fontId="4" numFmtId="0" xfId="0" applyAlignment="1" applyBorder="1" applyFont="1">
      <alignment horizontal="center" shrinkToFit="0" vertical="bottom" wrapText="0"/>
    </xf>
    <xf borderId="7" fillId="2" fontId="12" numFmtId="0" xfId="0" applyAlignment="1" applyBorder="1" applyFont="1">
      <alignment horizontal="center" shrinkToFit="0" vertical="bottom" wrapText="0"/>
    </xf>
    <xf borderId="27" fillId="0" fontId="4" numFmtId="0" xfId="0" applyAlignment="1" applyBorder="1" applyFont="1">
      <alignment horizontal="center" shrinkToFit="0" vertical="bottom" wrapText="0"/>
    </xf>
    <xf borderId="27" fillId="0" fontId="4" numFmtId="4" xfId="0" applyAlignment="1" applyBorder="1" applyFont="1" applyNumberFormat="1">
      <alignment horizontal="center" shrinkToFit="0" vertical="bottom" wrapText="0"/>
    </xf>
    <xf borderId="7" fillId="0" fontId="4" numFmtId="4" xfId="0" applyAlignment="1" applyBorder="1" applyFont="1" applyNumberFormat="1">
      <alignment horizontal="center" shrinkToFit="0" vertical="bottom" wrapText="0"/>
    </xf>
    <xf borderId="7" fillId="0" fontId="4" numFmtId="4" xfId="0" applyAlignment="1" applyBorder="1" applyFont="1" applyNumberFormat="1">
      <alignment shrinkToFit="0" vertical="bottom" wrapText="0"/>
    </xf>
    <xf borderId="7" fillId="0" fontId="3" numFmtId="4" xfId="0" applyAlignment="1" applyBorder="1" applyFont="1" applyNumberFormat="1">
      <alignment horizontal="center" shrinkToFit="0" vertical="center" wrapText="0"/>
    </xf>
    <xf borderId="7" fillId="0" fontId="3" numFmtId="4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5">
    <dxf>
      <font>
        <b/>
        <color rgb="FFFF0000"/>
      </font>
      <fill>
        <patternFill patternType="none"/>
      </fill>
      <border/>
    </dxf>
    <dxf>
      <font>
        <b/>
        <color rgb="FF70AD47"/>
      </font>
      <fill>
        <patternFill patternType="none"/>
      </fill>
      <border/>
    </dxf>
    <dxf>
      <font>
        <color rgb="FF70AD47"/>
      </font>
      <fill>
        <patternFill patternType="solid">
          <fgColor rgb="FFFFFFFF"/>
          <bgColor rgb="FFFFFFFF"/>
        </patternFill>
      </fill>
      <border/>
    </dxf>
    <dxf>
      <font>
        <color rgb="FFFF0000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4.0"/>
    <col customWidth="1" min="3" max="3" width="31.86"/>
    <col customWidth="1" min="4" max="4" width="4.0"/>
    <col customWidth="1" min="5" max="5" width="5.57"/>
    <col customWidth="1" min="6" max="7" width="5.0"/>
    <col customWidth="1" min="8" max="15" width="5.86"/>
    <col customWidth="1" min="16" max="16" width="5.71"/>
    <col customWidth="1" min="17" max="17" width="6.43"/>
    <col customWidth="1" min="18" max="18" width="6.14"/>
    <col customWidth="1" min="19" max="24" width="5.86"/>
    <col customWidth="1" min="25" max="26" width="5.71"/>
    <col customWidth="1" min="27" max="29" width="5.29"/>
    <col customWidth="1" min="30" max="31" width="5.43"/>
    <col customWidth="1" min="32" max="32" width="5.0"/>
    <col customWidth="1" min="33" max="34" width="5.43"/>
    <col customWidth="1" min="35" max="36" width="5.57"/>
    <col customWidth="1" min="37" max="37" width="5.43"/>
    <col customWidth="1" min="38" max="38" width="5.57"/>
    <col customWidth="1" min="39" max="39" width="5.29"/>
    <col customWidth="1" min="40" max="40" width="5.14"/>
    <col customWidth="1" min="41" max="41" width="5.43"/>
    <col customWidth="1" min="42" max="43" width="7.0"/>
    <col customWidth="1" min="44" max="44" width="6.71"/>
    <col customWidth="1" min="45" max="45" width="12.29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3"/>
      <c r="AR1" s="4"/>
      <c r="AS1" s="5"/>
    </row>
    <row r="2" ht="15.0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3"/>
      <c r="AR2" s="4"/>
      <c r="AS2" s="5"/>
    </row>
    <row r="3" ht="15.0" customHeight="1">
      <c r="A3" s="6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3"/>
      <c r="AR3" s="4"/>
      <c r="AS3" s="5"/>
    </row>
    <row r="4" ht="15.0" customHeight="1">
      <c r="A4" s="6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3"/>
      <c r="AR4" s="4"/>
      <c r="AS4" s="5"/>
    </row>
    <row r="5" ht="15.0" customHeight="1">
      <c r="A5" s="6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3"/>
      <c r="AR5" s="4"/>
      <c r="AS5" s="5"/>
    </row>
    <row r="6" ht="15.0" customHeight="1">
      <c r="A6" s="6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3"/>
      <c r="AR6" s="4"/>
      <c r="AS6" s="5"/>
    </row>
    <row r="7">
      <c r="C7" s="7"/>
      <c r="D7" s="4"/>
      <c r="E7" s="5"/>
      <c r="F7" s="5"/>
      <c r="G7" s="5"/>
      <c r="R7" s="8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5"/>
    </row>
    <row r="8" ht="15.0" customHeight="1">
      <c r="C8" s="7"/>
      <c r="D8" s="9"/>
      <c r="E8" s="2"/>
      <c r="F8" s="2"/>
      <c r="G8" s="2"/>
      <c r="H8" s="2"/>
      <c r="I8" s="2"/>
      <c r="J8" s="2"/>
      <c r="K8" s="2"/>
      <c r="L8" s="2"/>
      <c r="M8" s="3"/>
      <c r="N8" s="9" t="s">
        <v>6</v>
      </c>
      <c r="O8" s="2"/>
      <c r="P8" s="2"/>
      <c r="Q8" s="2"/>
      <c r="R8" s="2"/>
      <c r="S8" s="2"/>
      <c r="T8" s="2"/>
      <c r="U8" s="2"/>
      <c r="V8" s="10"/>
      <c r="W8" s="9" t="s">
        <v>7</v>
      </c>
      <c r="X8" s="2"/>
      <c r="Y8" s="2"/>
      <c r="Z8" s="2"/>
      <c r="AA8" s="2"/>
      <c r="AB8" s="2"/>
      <c r="AC8" s="3"/>
      <c r="AD8" s="9" t="s">
        <v>8</v>
      </c>
      <c r="AE8" s="2"/>
      <c r="AF8" s="2"/>
      <c r="AG8" s="2"/>
      <c r="AH8" s="2"/>
      <c r="AI8" s="2"/>
      <c r="AJ8" s="2"/>
      <c r="AK8" s="2"/>
      <c r="AL8" s="3"/>
      <c r="AM8" s="11"/>
      <c r="AN8" s="11"/>
      <c r="AO8" s="12"/>
      <c r="AP8" s="13" t="s">
        <v>9</v>
      </c>
      <c r="AQ8" s="13" t="s">
        <v>10</v>
      </c>
      <c r="AR8" s="13" t="s">
        <v>11</v>
      </c>
      <c r="AS8" s="13" t="s">
        <v>12</v>
      </c>
    </row>
    <row r="9">
      <c r="C9" s="7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</row>
    <row r="10">
      <c r="A10" s="14" t="s">
        <v>13</v>
      </c>
      <c r="B10" s="15" t="s">
        <v>14</v>
      </c>
      <c r="C10" s="16" t="s">
        <v>15</v>
      </c>
      <c r="D10" s="14">
        <v>5.0</v>
      </c>
      <c r="E10" s="17">
        <v>6.0</v>
      </c>
      <c r="F10" s="17">
        <v>8.0</v>
      </c>
      <c r="G10" s="17">
        <v>12.0</v>
      </c>
      <c r="H10" s="17">
        <v>13.0</v>
      </c>
      <c r="I10" s="17">
        <v>20.0</v>
      </c>
      <c r="J10" s="17">
        <v>21.0</v>
      </c>
      <c r="K10" s="17">
        <v>22.0</v>
      </c>
      <c r="L10" s="17">
        <v>28.0</v>
      </c>
      <c r="M10" s="17">
        <v>29.0</v>
      </c>
      <c r="N10" s="17">
        <v>3.0</v>
      </c>
      <c r="O10" s="17">
        <v>4.0</v>
      </c>
      <c r="P10" s="17">
        <v>8.0</v>
      </c>
      <c r="Q10" s="17">
        <v>10.0</v>
      </c>
      <c r="R10" s="17">
        <v>11.0</v>
      </c>
      <c r="S10" s="17">
        <v>12.0</v>
      </c>
      <c r="T10" s="17">
        <v>17.0</v>
      </c>
      <c r="U10" s="17">
        <v>18.0</v>
      </c>
      <c r="V10" s="17">
        <v>19.0</v>
      </c>
      <c r="W10" s="14">
        <v>7.0</v>
      </c>
      <c r="X10" s="14">
        <v>8.0</v>
      </c>
      <c r="Y10" s="14">
        <v>10.0</v>
      </c>
      <c r="Z10" s="14">
        <v>10.0</v>
      </c>
      <c r="AA10" s="14">
        <v>13.0</v>
      </c>
      <c r="AB10" s="14">
        <v>14.0</v>
      </c>
      <c r="AC10" s="14">
        <v>28.0</v>
      </c>
      <c r="AD10" s="14">
        <v>7.0</v>
      </c>
      <c r="AE10" s="17">
        <v>8.0</v>
      </c>
      <c r="AF10" s="14">
        <v>9.0</v>
      </c>
      <c r="AG10" s="14">
        <v>11.0</v>
      </c>
      <c r="AH10" s="17">
        <v>14.0</v>
      </c>
      <c r="AI10" s="14">
        <v>17.0</v>
      </c>
      <c r="AJ10" s="17">
        <v>20.0</v>
      </c>
      <c r="AK10" s="17">
        <v>21.0</v>
      </c>
      <c r="AL10" s="17">
        <v>24.0</v>
      </c>
      <c r="AM10" s="14"/>
      <c r="AN10" s="14"/>
      <c r="AO10" s="14"/>
      <c r="AP10" s="18"/>
      <c r="AQ10" s="18"/>
      <c r="AR10" s="18"/>
      <c r="AS10" s="19"/>
    </row>
    <row r="11">
      <c r="A11" s="20">
        <v>1.0</v>
      </c>
      <c r="B11" s="21" t="s">
        <v>16</v>
      </c>
      <c r="C11" s="22" t="s">
        <v>17</v>
      </c>
      <c r="D11" s="23" t="s">
        <v>18</v>
      </c>
      <c r="E11" s="23" t="s">
        <v>18</v>
      </c>
      <c r="F11" s="23" t="s">
        <v>18</v>
      </c>
      <c r="G11" s="23" t="s">
        <v>19</v>
      </c>
      <c r="H11" s="23" t="s">
        <v>18</v>
      </c>
      <c r="I11" s="23" t="s">
        <v>18</v>
      </c>
      <c r="J11" s="23" t="s">
        <v>18</v>
      </c>
      <c r="K11" s="23" t="s">
        <v>18</v>
      </c>
      <c r="L11" s="23" t="s">
        <v>18</v>
      </c>
      <c r="M11" s="23" t="s">
        <v>19</v>
      </c>
      <c r="N11" s="23" t="s">
        <v>18</v>
      </c>
      <c r="O11" s="23" t="s">
        <v>18</v>
      </c>
      <c r="P11" s="23" t="s">
        <v>18</v>
      </c>
      <c r="Q11" s="23" t="s">
        <v>18</v>
      </c>
      <c r="R11" s="23" t="s">
        <v>18</v>
      </c>
      <c r="S11" s="23" t="s">
        <v>18</v>
      </c>
      <c r="T11" s="23" t="s">
        <v>18</v>
      </c>
      <c r="U11" s="23" t="s">
        <v>18</v>
      </c>
      <c r="V11" s="23" t="s">
        <v>18</v>
      </c>
      <c r="W11" s="23" t="s">
        <v>18</v>
      </c>
      <c r="X11" s="23" t="s">
        <v>18</v>
      </c>
      <c r="Y11" s="23" t="s">
        <v>18</v>
      </c>
      <c r="Z11" s="23" t="s">
        <v>18</v>
      </c>
      <c r="AA11" s="23" t="s">
        <v>18</v>
      </c>
      <c r="AB11" s="23" t="s">
        <v>18</v>
      </c>
      <c r="AC11" s="23" t="s">
        <v>18</v>
      </c>
      <c r="AD11" s="23" t="s">
        <v>18</v>
      </c>
      <c r="AE11" s="23" t="s">
        <v>18</v>
      </c>
      <c r="AF11" s="23" t="s">
        <v>18</v>
      </c>
      <c r="AG11" s="23" t="s">
        <v>18</v>
      </c>
      <c r="AH11" s="23" t="s">
        <v>19</v>
      </c>
      <c r="AI11" s="23" t="s">
        <v>18</v>
      </c>
      <c r="AJ11" s="23" t="s">
        <v>18</v>
      </c>
      <c r="AK11" s="23" t="s">
        <v>18</v>
      </c>
      <c r="AL11" s="23" t="s">
        <v>18</v>
      </c>
      <c r="AM11" s="24"/>
      <c r="AN11" s="24"/>
      <c r="AO11" s="24"/>
      <c r="AP11" s="25">
        <f t="shared" ref="AP11:AP83" si="1">COUNTIF(D11:AO11,"P") + COUNTIF(D11:AO11, "1")</f>
        <v>32</v>
      </c>
      <c r="AQ11" s="25">
        <f t="shared" ref="AQ11:AQ83" si="2">COUNTIF(D11:AO11,"A") + COUNTIF(D11:AO11,"0")</f>
        <v>3</v>
      </c>
      <c r="AR11" s="25">
        <f t="shared" ref="AR11:AR83" si="3">SUM(AP11:AQ11)</f>
        <v>35</v>
      </c>
      <c r="AS11" s="26">
        <f t="shared" ref="AS11:AS83" si="4">(AP11/AR11)*100</f>
        <v>91.42857143</v>
      </c>
    </row>
    <row r="12">
      <c r="A12" s="20">
        <v>2.0</v>
      </c>
      <c r="B12" s="21" t="s">
        <v>20</v>
      </c>
      <c r="C12" s="27" t="s">
        <v>21</v>
      </c>
      <c r="D12" s="23" t="s">
        <v>18</v>
      </c>
      <c r="E12" s="23" t="s">
        <v>18</v>
      </c>
      <c r="F12" s="23" t="s">
        <v>18</v>
      </c>
      <c r="G12" s="23" t="s">
        <v>18</v>
      </c>
      <c r="H12" s="23" t="s">
        <v>18</v>
      </c>
      <c r="I12" s="23" t="s">
        <v>18</v>
      </c>
      <c r="J12" s="23" t="s">
        <v>18</v>
      </c>
      <c r="K12" s="23" t="s">
        <v>18</v>
      </c>
      <c r="L12" s="23" t="s">
        <v>18</v>
      </c>
      <c r="M12" s="23" t="s">
        <v>18</v>
      </c>
      <c r="N12" s="23" t="s">
        <v>18</v>
      </c>
      <c r="O12" s="23" t="s">
        <v>18</v>
      </c>
      <c r="P12" s="23" t="s">
        <v>18</v>
      </c>
      <c r="Q12" s="23" t="s">
        <v>18</v>
      </c>
      <c r="R12" s="23" t="s">
        <v>18</v>
      </c>
      <c r="S12" s="23" t="s">
        <v>18</v>
      </c>
      <c r="T12" s="23" t="s">
        <v>18</v>
      </c>
      <c r="U12" s="23" t="s">
        <v>18</v>
      </c>
      <c r="V12" s="23" t="s">
        <v>18</v>
      </c>
      <c r="W12" s="23" t="s">
        <v>18</v>
      </c>
      <c r="X12" s="23" t="s">
        <v>18</v>
      </c>
      <c r="Y12" s="23" t="s">
        <v>18</v>
      </c>
      <c r="Z12" s="23" t="s">
        <v>18</v>
      </c>
      <c r="AA12" s="23" t="s">
        <v>18</v>
      </c>
      <c r="AB12" s="23" t="s">
        <v>18</v>
      </c>
      <c r="AC12" s="23" t="s">
        <v>18</v>
      </c>
      <c r="AD12" s="23" t="s">
        <v>18</v>
      </c>
      <c r="AE12" s="23" t="s">
        <v>18</v>
      </c>
      <c r="AF12" s="23" t="s">
        <v>18</v>
      </c>
      <c r="AG12" s="23" t="s">
        <v>18</v>
      </c>
      <c r="AH12" s="23" t="s">
        <v>19</v>
      </c>
      <c r="AI12" s="23" t="s">
        <v>18</v>
      </c>
      <c r="AJ12" s="23" t="s">
        <v>18</v>
      </c>
      <c r="AK12" s="23" t="s">
        <v>18</v>
      </c>
      <c r="AL12" s="23" t="s">
        <v>18</v>
      </c>
      <c r="AM12" s="24"/>
      <c r="AN12" s="24"/>
      <c r="AO12" s="24"/>
      <c r="AP12" s="25">
        <f t="shared" si="1"/>
        <v>34</v>
      </c>
      <c r="AQ12" s="25">
        <f t="shared" si="2"/>
        <v>1</v>
      </c>
      <c r="AR12" s="25">
        <f t="shared" si="3"/>
        <v>35</v>
      </c>
      <c r="AS12" s="26">
        <f t="shared" si="4"/>
        <v>97.14285714</v>
      </c>
    </row>
    <row r="13">
      <c r="A13" s="20">
        <v>3.0</v>
      </c>
      <c r="B13" s="21" t="s">
        <v>22</v>
      </c>
      <c r="C13" s="27" t="s">
        <v>23</v>
      </c>
      <c r="D13" s="23" t="s">
        <v>18</v>
      </c>
      <c r="E13" s="23" t="s">
        <v>18</v>
      </c>
      <c r="F13" s="23" t="s">
        <v>18</v>
      </c>
      <c r="G13" s="23" t="s">
        <v>18</v>
      </c>
      <c r="H13" s="23" t="s">
        <v>19</v>
      </c>
      <c r="I13" s="23" t="s">
        <v>19</v>
      </c>
      <c r="J13" s="23" t="s">
        <v>18</v>
      </c>
      <c r="K13" s="23" t="s">
        <v>18</v>
      </c>
      <c r="L13" s="23" t="s">
        <v>18</v>
      </c>
      <c r="M13" s="23" t="s">
        <v>18</v>
      </c>
      <c r="N13" s="23" t="s">
        <v>18</v>
      </c>
      <c r="O13" s="23" t="s">
        <v>18</v>
      </c>
      <c r="P13" s="23" t="s">
        <v>18</v>
      </c>
      <c r="Q13" s="23" t="s">
        <v>18</v>
      </c>
      <c r="R13" s="23" t="s">
        <v>18</v>
      </c>
      <c r="S13" s="23" t="s">
        <v>18</v>
      </c>
      <c r="T13" s="23" t="s">
        <v>18</v>
      </c>
      <c r="U13" s="23" t="s">
        <v>18</v>
      </c>
      <c r="V13" s="23" t="s">
        <v>18</v>
      </c>
      <c r="W13" s="23" t="s">
        <v>18</v>
      </c>
      <c r="X13" s="23" t="s">
        <v>18</v>
      </c>
      <c r="Y13" s="23" t="s">
        <v>18</v>
      </c>
      <c r="Z13" s="23" t="s">
        <v>18</v>
      </c>
      <c r="AA13" s="23" t="s">
        <v>18</v>
      </c>
      <c r="AB13" s="23" t="s">
        <v>18</v>
      </c>
      <c r="AC13" s="23" t="s">
        <v>18</v>
      </c>
      <c r="AD13" s="23" t="s">
        <v>18</v>
      </c>
      <c r="AE13" s="23" t="s">
        <v>18</v>
      </c>
      <c r="AF13" s="23" t="s">
        <v>18</v>
      </c>
      <c r="AG13" s="23" t="s">
        <v>18</v>
      </c>
      <c r="AH13" s="23" t="s">
        <v>18</v>
      </c>
      <c r="AI13" s="23" t="s">
        <v>18</v>
      </c>
      <c r="AJ13" s="23" t="s">
        <v>18</v>
      </c>
      <c r="AK13" s="23" t="s">
        <v>18</v>
      </c>
      <c r="AL13" s="23" t="s">
        <v>18</v>
      </c>
      <c r="AM13" s="24"/>
      <c r="AN13" s="24"/>
      <c r="AO13" s="24"/>
      <c r="AP13" s="25">
        <f t="shared" si="1"/>
        <v>33</v>
      </c>
      <c r="AQ13" s="25">
        <f t="shared" si="2"/>
        <v>2</v>
      </c>
      <c r="AR13" s="25">
        <f t="shared" si="3"/>
        <v>35</v>
      </c>
      <c r="AS13" s="26">
        <f t="shared" si="4"/>
        <v>94.28571429</v>
      </c>
    </row>
    <row r="14">
      <c r="A14" s="28">
        <v>4.0</v>
      </c>
      <c r="B14" s="29" t="s">
        <v>24</v>
      </c>
      <c r="C14" s="30" t="s">
        <v>25</v>
      </c>
      <c r="D14" s="23" t="s">
        <v>18</v>
      </c>
      <c r="E14" s="23" t="s">
        <v>18</v>
      </c>
      <c r="F14" s="23" t="s">
        <v>18</v>
      </c>
      <c r="G14" s="23" t="s">
        <v>18</v>
      </c>
      <c r="H14" s="23" t="s">
        <v>18</v>
      </c>
      <c r="I14" s="23" t="s">
        <v>18</v>
      </c>
      <c r="J14" s="23" t="s">
        <v>18</v>
      </c>
      <c r="K14" s="23" t="s">
        <v>18</v>
      </c>
      <c r="L14" s="23" t="s">
        <v>18</v>
      </c>
      <c r="M14" s="23" t="s">
        <v>18</v>
      </c>
      <c r="N14" s="23" t="s">
        <v>18</v>
      </c>
      <c r="O14" s="23" t="s">
        <v>18</v>
      </c>
      <c r="P14" s="23" t="s">
        <v>18</v>
      </c>
      <c r="Q14" s="23" t="s">
        <v>18</v>
      </c>
      <c r="R14" s="23" t="s">
        <v>18</v>
      </c>
      <c r="S14" s="23" t="s">
        <v>18</v>
      </c>
      <c r="T14" s="23" t="s">
        <v>18</v>
      </c>
      <c r="U14" s="23" t="s">
        <v>18</v>
      </c>
      <c r="V14" s="23" t="s">
        <v>18</v>
      </c>
      <c r="W14" s="23" t="s">
        <v>18</v>
      </c>
      <c r="X14" s="23" t="s">
        <v>18</v>
      </c>
      <c r="Y14" s="23" t="s">
        <v>18</v>
      </c>
      <c r="Z14" s="23" t="s">
        <v>18</v>
      </c>
      <c r="AA14" s="23" t="s">
        <v>18</v>
      </c>
      <c r="AB14" s="23" t="s">
        <v>18</v>
      </c>
      <c r="AC14" s="23" t="s">
        <v>18</v>
      </c>
      <c r="AD14" s="23" t="s">
        <v>18</v>
      </c>
      <c r="AE14" s="23" t="s">
        <v>18</v>
      </c>
      <c r="AF14" s="23" t="s">
        <v>18</v>
      </c>
      <c r="AG14" s="23" t="s">
        <v>18</v>
      </c>
      <c r="AH14" s="23" t="s">
        <v>18</v>
      </c>
      <c r="AI14" s="23" t="s">
        <v>18</v>
      </c>
      <c r="AJ14" s="23" t="s">
        <v>18</v>
      </c>
      <c r="AK14" s="23" t="s">
        <v>18</v>
      </c>
      <c r="AL14" s="23" t="s">
        <v>18</v>
      </c>
      <c r="AM14" s="24"/>
      <c r="AN14" s="24"/>
      <c r="AO14" s="24"/>
      <c r="AP14" s="25">
        <f t="shared" si="1"/>
        <v>35</v>
      </c>
      <c r="AQ14" s="25">
        <f t="shared" si="2"/>
        <v>0</v>
      </c>
      <c r="AR14" s="25">
        <f t="shared" si="3"/>
        <v>35</v>
      </c>
      <c r="AS14" s="26">
        <f t="shared" si="4"/>
        <v>100</v>
      </c>
    </row>
    <row r="15">
      <c r="A15" s="28">
        <v>5.0</v>
      </c>
      <c r="B15" s="29" t="s">
        <v>26</v>
      </c>
      <c r="C15" s="30" t="s">
        <v>27</v>
      </c>
      <c r="D15" s="23" t="s">
        <v>18</v>
      </c>
      <c r="E15" s="23" t="s">
        <v>18</v>
      </c>
      <c r="F15" s="23" t="s">
        <v>18</v>
      </c>
      <c r="G15" s="23" t="s">
        <v>18</v>
      </c>
      <c r="H15" s="23" t="s">
        <v>18</v>
      </c>
      <c r="I15" s="23" t="s">
        <v>18</v>
      </c>
      <c r="J15" s="23" t="s">
        <v>18</v>
      </c>
      <c r="K15" s="23" t="s">
        <v>18</v>
      </c>
      <c r="L15" s="23" t="s">
        <v>19</v>
      </c>
      <c r="M15" s="23" t="s">
        <v>19</v>
      </c>
      <c r="N15" s="23" t="s">
        <v>18</v>
      </c>
      <c r="O15" s="23" t="s">
        <v>18</v>
      </c>
      <c r="P15" s="23" t="s">
        <v>18</v>
      </c>
      <c r="Q15" s="23" t="s">
        <v>18</v>
      </c>
      <c r="R15" s="31" t="s">
        <v>19</v>
      </c>
      <c r="S15" s="23" t="s">
        <v>18</v>
      </c>
      <c r="T15" s="23" t="s">
        <v>18</v>
      </c>
      <c r="U15" s="23" t="s">
        <v>18</v>
      </c>
      <c r="V15" s="23" t="s">
        <v>18</v>
      </c>
      <c r="W15" s="23" t="s">
        <v>18</v>
      </c>
      <c r="X15" s="23" t="s">
        <v>18</v>
      </c>
      <c r="Y15" s="23" t="s">
        <v>18</v>
      </c>
      <c r="Z15" s="23" t="s">
        <v>18</v>
      </c>
      <c r="AA15" s="23" t="s">
        <v>18</v>
      </c>
      <c r="AB15" s="23" t="s">
        <v>18</v>
      </c>
      <c r="AC15" s="23" t="s">
        <v>18</v>
      </c>
      <c r="AD15" s="23" t="s">
        <v>18</v>
      </c>
      <c r="AE15" s="23" t="s">
        <v>18</v>
      </c>
      <c r="AF15" s="23" t="s">
        <v>18</v>
      </c>
      <c r="AG15" s="23" t="s">
        <v>18</v>
      </c>
      <c r="AH15" s="23" t="s">
        <v>19</v>
      </c>
      <c r="AI15" s="23" t="s">
        <v>18</v>
      </c>
      <c r="AJ15" s="23" t="s">
        <v>18</v>
      </c>
      <c r="AK15" s="23" t="s">
        <v>18</v>
      </c>
      <c r="AL15" s="23" t="s">
        <v>18</v>
      </c>
      <c r="AM15" s="24"/>
      <c r="AN15" s="24"/>
      <c r="AO15" s="24"/>
      <c r="AP15" s="25">
        <f t="shared" si="1"/>
        <v>31</v>
      </c>
      <c r="AQ15" s="25">
        <f t="shared" si="2"/>
        <v>4</v>
      </c>
      <c r="AR15" s="25">
        <f t="shared" si="3"/>
        <v>35</v>
      </c>
      <c r="AS15" s="26">
        <f t="shared" si="4"/>
        <v>88.57142857</v>
      </c>
    </row>
    <row r="16">
      <c r="A16" s="28">
        <v>6.0</v>
      </c>
      <c r="B16" s="29" t="s">
        <v>28</v>
      </c>
      <c r="C16" s="30" t="s">
        <v>29</v>
      </c>
      <c r="D16" s="23" t="s">
        <v>18</v>
      </c>
      <c r="E16" s="23" t="s">
        <v>18</v>
      </c>
      <c r="F16" s="23" t="s">
        <v>18</v>
      </c>
      <c r="G16" s="23" t="s">
        <v>18</v>
      </c>
      <c r="H16" s="23" t="s">
        <v>18</v>
      </c>
      <c r="I16" s="23" t="s">
        <v>18</v>
      </c>
      <c r="J16" s="23" t="s">
        <v>18</v>
      </c>
      <c r="K16" s="23" t="s">
        <v>18</v>
      </c>
      <c r="L16" s="23" t="s">
        <v>18</v>
      </c>
      <c r="M16" s="23" t="s">
        <v>18</v>
      </c>
      <c r="N16" s="23" t="s">
        <v>18</v>
      </c>
      <c r="O16" s="23" t="s">
        <v>18</v>
      </c>
      <c r="P16" s="23" t="s">
        <v>18</v>
      </c>
      <c r="Q16" s="23" t="s">
        <v>18</v>
      </c>
      <c r="R16" s="23" t="s">
        <v>18</v>
      </c>
      <c r="S16" s="23" t="s">
        <v>18</v>
      </c>
      <c r="T16" s="23" t="s">
        <v>18</v>
      </c>
      <c r="U16" s="23" t="s">
        <v>18</v>
      </c>
      <c r="V16" s="23" t="s">
        <v>18</v>
      </c>
      <c r="W16" s="23" t="s">
        <v>18</v>
      </c>
      <c r="X16" s="23" t="s">
        <v>18</v>
      </c>
      <c r="Y16" s="23" t="s">
        <v>18</v>
      </c>
      <c r="Z16" s="23" t="s">
        <v>18</v>
      </c>
      <c r="AA16" s="23" t="s">
        <v>18</v>
      </c>
      <c r="AB16" s="23" t="s">
        <v>18</v>
      </c>
      <c r="AC16" s="23" t="s">
        <v>18</v>
      </c>
      <c r="AD16" s="23" t="s">
        <v>18</v>
      </c>
      <c r="AE16" s="23" t="s">
        <v>18</v>
      </c>
      <c r="AF16" s="23" t="s">
        <v>18</v>
      </c>
      <c r="AG16" s="23" t="s">
        <v>18</v>
      </c>
      <c r="AH16" s="23" t="s">
        <v>18</v>
      </c>
      <c r="AI16" s="23" t="s">
        <v>18</v>
      </c>
      <c r="AJ16" s="23" t="s">
        <v>18</v>
      </c>
      <c r="AK16" s="23" t="s">
        <v>18</v>
      </c>
      <c r="AL16" s="23" t="s">
        <v>18</v>
      </c>
      <c r="AM16" s="24"/>
      <c r="AN16" s="24"/>
      <c r="AO16" s="24"/>
      <c r="AP16" s="25">
        <f t="shared" si="1"/>
        <v>35</v>
      </c>
      <c r="AQ16" s="25">
        <f t="shared" si="2"/>
        <v>0</v>
      </c>
      <c r="AR16" s="25">
        <f t="shared" si="3"/>
        <v>35</v>
      </c>
      <c r="AS16" s="26">
        <f t="shared" si="4"/>
        <v>100</v>
      </c>
    </row>
    <row r="17">
      <c r="A17" s="28">
        <v>7.0</v>
      </c>
      <c r="B17" s="29" t="s">
        <v>30</v>
      </c>
      <c r="C17" s="30" t="s">
        <v>31</v>
      </c>
      <c r="D17" s="23" t="s">
        <v>18</v>
      </c>
      <c r="E17" s="23" t="s">
        <v>18</v>
      </c>
      <c r="F17" s="23" t="s">
        <v>18</v>
      </c>
      <c r="G17" s="23" t="s">
        <v>18</v>
      </c>
      <c r="H17" s="23" t="s">
        <v>18</v>
      </c>
      <c r="I17" s="23" t="s">
        <v>18</v>
      </c>
      <c r="J17" s="23" t="s">
        <v>18</v>
      </c>
      <c r="K17" s="23" t="s">
        <v>18</v>
      </c>
      <c r="L17" s="23" t="s">
        <v>19</v>
      </c>
      <c r="M17" s="23" t="s">
        <v>18</v>
      </c>
      <c r="N17" s="23" t="s">
        <v>18</v>
      </c>
      <c r="O17" s="23" t="s">
        <v>18</v>
      </c>
      <c r="P17" s="23" t="s">
        <v>18</v>
      </c>
      <c r="Q17" s="23" t="s">
        <v>18</v>
      </c>
      <c r="R17" s="23" t="s">
        <v>18</v>
      </c>
      <c r="S17" s="23" t="s">
        <v>18</v>
      </c>
      <c r="T17" s="23" t="s">
        <v>18</v>
      </c>
      <c r="U17" s="23" t="s">
        <v>18</v>
      </c>
      <c r="V17" s="23" t="s">
        <v>18</v>
      </c>
      <c r="W17" s="23" t="s">
        <v>18</v>
      </c>
      <c r="X17" s="23" t="s">
        <v>18</v>
      </c>
      <c r="Y17" s="23" t="s">
        <v>18</v>
      </c>
      <c r="Z17" s="23" t="s">
        <v>18</v>
      </c>
      <c r="AA17" s="23" t="s">
        <v>18</v>
      </c>
      <c r="AB17" s="23" t="s">
        <v>18</v>
      </c>
      <c r="AC17" s="23" t="s">
        <v>18</v>
      </c>
      <c r="AD17" s="23" t="s">
        <v>18</v>
      </c>
      <c r="AE17" s="23" t="s">
        <v>18</v>
      </c>
      <c r="AF17" s="23" t="s">
        <v>18</v>
      </c>
      <c r="AG17" s="23" t="s">
        <v>18</v>
      </c>
      <c r="AH17" s="23" t="s">
        <v>19</v>
      </c>
      <c r="AI17" s="23" t="s">
        <v>18</v>
      </c>
      <c r="AJ17" s="23" t="s">
        <v>18</v>
      </c>
      <c r="AK17" s="23" t="s">
        <v>18</v>
      </c>
      <c r="AL17" s="23" t="s">
        <v>18</v>
      </c>
      <c r="AM17" s="24"/>
      <c r="AN17" s="24"/>
      <c r="AO17" s="24"/>
      <c r="AP17" s="25">
        <f t="shared" si="1"/>
        <v>33</v>
      </c>
      <c r="AQ17" s="25">
        <f t="shared" si="2"/>
        <v>2</v>
      </c>
      <c r="AR17" s="25">
        <f t="shared" si="3"/>
        <v>35</v>
      </c>
      <c r="AS17" s="26">
        <f t="shared" si="4"/>
        <v>94.28571429</v>
      </c>
    </row>
    <row r="18">
      <c r="A18" s="28">
        <v>8.0</v>
      </c>
      <c r="B18" s="29" t="s">
        <v>32</v>
      </c>
      <c r="C18" s="30" t="s">
        <v>33</v>
      </c>
      <c r="D18" s="23" t="s">
        <v>18</v>
      </c>
      <c r="E18" s="23" t="s">
        <v>18</v>
      </c>
      <c r="F18" s="23" t="s">
        <v>18</v>
      </c>
      <c r="G18" s="23" t="s">
        <v>18</v>
      </c>
      <c r="H18" s="23" t="s">
        <v>19</v>
      </c>
      <c r="I18" s="23" t="s">
        <v>18</v>
      </c>
      <c r="J18" s="23" t="s">
        <v>18</v>
      </c>
      <c r="K18" s="23" t="s">
        <v>18</v>
      </c>
      <c r="L18" s="23" t="s">
        <v>18</v>
      </c>
      <c r="M18" s="23" t="s">
        <v>18</v>
      </c>
      <c r="N18" s="23" t="s">
        <v>18</v>
      </c>
      <c r="O18" s="23" t="s">
        <v>18</v>
      </c>
      <c r="P18" s="23" t="s">
        <v>18</v>
      </c>
      <c r="Q18" s="23" t="s">
        <v>18</v>
      </c>
      <c r="R18" s="23" t="s">
        <v>18</v>
      </c>
      <c r="S18" s="23" t="s">
        <v>18</v>
      </c>
      <c r="T18" s="23" t="s">
        <v>18</v>
      </c>
      <c r="U18" s="23" t="s">
        <v>18</v>
      </c>
      <c r="V18" s="23" t="s">
        <v>18</v>
      </c>
      <c r="W18" s="23" t="s">
        <v>18</v>
      </c>
      <c r="X18" s="23" t="s">
        <v>18</v>
      </c>
      <c r="Y18" s="23" t="s">
        <v>18</v>
      </c>
      <c r="Z18" s="23" t="s">
        <v>18</v>
      </c>
      <c r="AA18" s="23" t="s">
        <v>18</v>
      </c>
      <c r="AB18" s="23" t="s">
        <v>18</v>
      </c>
      <c r="AC18" s="23" t="s">
        <v>18</v>
      </c>
      <c r="AD18" s="23" t="s">
        <v>18</v>
      </c>
      <c r="AE18" s="23" t="s">
        <v>18</v>
      </c>
      <c r="AF18" s="23" t="s">
        <v>18</v>
      </c>
      <c r="AG18" s="23" t="s">
        <v>18</v>
      </c>
      <c r="AH18" s="23" t="s">
        <v>18</v>
      </c>
      <c r="AI18" s="23" t="s">
        <v>18</v>
      </c>
      <c r="AJ18" s="23" t="s">
        <v>18</v>
      </c>
      <c r="AK18" s="23" t="s">
        <v>18</v>
      </c>
      <c r="AL18" s="23" t="s">
        <v>18</v>
      </c>
      <c r="AM18" s="24"/>
      <c r="AN18" s="24"/>
      <c r="AO18" s="24"/>
      <c r="AP18" s="25">
        <f t="shared" si="1"/>
        <v>34</v>
      </c>
      <c r="AQ18" s="25">
        <f t="shared" si="2"/>
        <v>1</v>
      </c>
      <c r="AR18" s="25">
        <f t="shared" si="3"/>
        <v>35</v>
      </c>
      <c r="AS18" s="26">
        <f t="shared" si="4"/>
        <v>97.14285714</v>
      </c>
    </row>
    <row r="19">
      <c r="A19" s="28">
        <v>9.0</v>
      </c>
      <c r="B19" s="29" t="s">
        <v>34</v>
      </c>
      <c r="C19" s="30" t="s">
        <v>35</v>
      </c>
      <c r="D19" s="23" t="s">
        <v>18</v>
      </c>
      <c r="E19" s="23" t="s">
        <v>18</v>
      </c>
      <c r="F19" s="23" t="s">
        <v>18</v>
      </c>
      <c r="G19" s="23" t="s">
        <v>18</v>
      </c>
      <c r="H19" s="23" t="s">
        <v>18</v>
      </c>
      <c r="I19" s="23" t="s">
        <v>18</v>
      </c>
      <c r="J19" s="23" t="s">
        <v>18</v>
      </c>
      <c r="K19" s="23" t="s">
        <v>18</v>
      </c>
      <c r="L19" s="23" t="s">
        <v>18</v>
      </c>
      <c r="M19" s="23" t="s">
        <v>18</v>
      </c>
      <c r="N19" s="23" t="s">
        <v>18</v>
      </c>
      <c r="O19" s="23" t="s">
        <v>18</v>
      </c>
      <c r="P19" s="23" t="s">
        <v>18</v>
      </c>
      <c r="Q19" s="23" t="s">
        <v>18</v>
      </c>
      <c r="R19" s="23" t="s">
        <v>18</v>
      </c>
      <c r="S19" s="23" t="s">
        <v>18</v>
      </c>
      <c r="T19" s="23" t="s">
        <v>18</v>
      </c>
      <c r="U19" s="23" t="s">
        <v>18</v>
      </c>
      <c r="V19" s="23" t="s">
        <v>18</v>
      </c>
      <c r="W19" s="23" t="s">
        <v>18</v>
      </c>
      <c r="X19" s="23" t="s">
        <v>18</v>
      </c>
      <c r="Y19" s="23" t="s">
        <v>18</v>
      </c>
      <c r="Z19" s="23" t="s">
        <v>18</v>
      </c>
      <c r="AA19" s="23" t="s">
        <v>18</v>
      </c>
      <c r="AB19" s="23" t="s">
        <v>18</v>
      </c>
      <c r="AC19" s="23" t="s">
        <v>18</v>
      </c>
      <c r="AD19" s="23" t="s">
        <v>18</v>
      </c>
      <c r="AE19" s="23" t="s">
        <v>18</v>
      </c>
      <c r="AF19" s="23" t="s">
        <v>18</v>
      </c>
      <c r="AG19" s="23" t="s">
        <v>18</v>
      </c>
      <c r="AH19" s="23" t="s">
        <v>18</v>
      </c>
      <c r="AI19" s="23" t="s">
        <v>18</v>
      </c>
      <c r="AJ19" s="23" t="s">
        <v>18</v>
      </c>
      <c r="AK19" s="23" t="s">
        <v>18</v>
      </c>
      <c r="AL19" s="23" t="s">
        <v>18</v>
      </c>
      <c r="AM19" s="24"/>
      <c r="AN19" s="24"/>
      <c r="AO19" s="24"/>
      <c r="AP19" s="25">
        <f t="shared" si="1"/>
        <v>35</v>
      </c>
      <c r="AQ19" s="25">
        <f t="shared" si="2"/>
        <v>0</v>
      </c>
      <c r="AR19" s="25">
        <f t="shared" si="3"/>
        <v>35</v>
      </c>
      <c r="AS19" s="26">
        <f t="shared" si="4"/>
        <v>100</v>
      </c>
    </row>
    <row r="20">
      <c r="A20" s="28">
        <v>10.0</v>
      </c>
      <c r="B20" s="29" t="s">
        <v>36</v>
      </c>
      <c r="C20" s="30" t="s">
        <v>37</v>
      </c>
      <c r="D20" s="23" t="s">
        <v>18</v>
      </c>
      <c r="E20" s="23" t="s">
        <v>18</v>
      </c>
      <c r="F20" s="23" t="s">
        <v>18</v>
      </c>
      <c r="G20" s="23" t="s">
        <v>18</v>
      </c>
      <c r="H20" s="23" t="s">
        <v>18</v>
      </c>
      <c r="I20" s="23" t="s">
        <v>18</v>
      </c>
      <c r="J20" s="23" t="s">
        <v>18</v>
      </c>
      <c r="K20" s="23" t="s">
        <v>18</v>
      </c>
      <c r="L20" s="23" t="s">
        <v>18</v>
      </c>
      <c r="M20" s="23" t="s">
        <v>18</v>
      </c>
      <c r="N20" s="23" t="s">
        <v>18</v>
      </c>
      <c r="O20" s="23" t="s">
        <v>18</v>
      </c>
      <c r="P20" s="23" t="s">
        <v>18</v>
      </c>
      <c r="Q20" s="23" t="s">
        <v>18</v>
      </c>
      <c r="R20" s="23" t="s">
        <v>18</v>
      </c>
      <c r="S20" s="23" t="s">
        <v>18</v>
      </c>
      <c r="T20" s="23" t="s">
        <v>18</v>
      </c>
      <c r="U20" s="23" t="s">
        <v>18</v>
      </c>
      <c r="V20" s="23" t="s">
        <v>18</v>
      </c>
      <c r="W20" s="23" t="s">
        <v>18</v>
      </c>
      <c r="X20" s="23" t="s">
        <v>18</v>
      </c>
      <c r="Y20" s="23" t="s">
        <v>18</v>
      </c>
      <c r="Z20" s="23" t="s">
        <v>18</v>
      </c>
      <c r="AA20" s="23" t="s">
        <v>18</v>
      </c>
      <c r="AB20" s="23" t="s">
        <v>18</v>
      </c>
      <c r="AC20" s="23" t="s">
        <v>18</v>
      </c>
      <c r="AD20" s="23" t="s">
        <v>18</v>
      </c>
      <c r="AE20" s="23" t="s">
        <v>18</v>
      </c>
      <c r="AF20" s="23" t="s">
        <v>18</v>
      </c>
      <c r="AG20" s="23" t="s">
        <v>18</v>
      </c>
      <c r="AH20" s="23" t="s">
        <v>18</v>
      </c>
      <c r="AI20" s="23" t="s">
        <v>18</v>
      </c>
      <c r="AJ20" s="23" t="s">
        <v>18</v>
      </c>
      <c r="AK20" s="23" t="s">
        <v>18</v>
      </c>
      <c r="AL20" s="23" t="s">
        <v>18</v>
      </c>
      <c r="AM20" s="24"/>
      <c r="AN20" s="24"/>
      <c r="AO20" s="24"/>
      <c r="AP20" s="25">
        <f t="shared" si="1"/>
        <v>35</v>
      </c>
      <c r="AQ20" s="25">
        <f t="shared" si="2"/>
        <v>0</v>
      </c>
      <c r="AR20" s="25">
        <f t="shared" si="3"/>
        <v>35</v>
      </c>
      <c r="AS20" s="26">
        <f t="shared" si="4"/>
        <v>100</v>
      </c>
    </row>
    <row r="21" ht="15.75" customHeight="1">
      <c r="A21" s="28">
        <v>11.0</v>
      </c>
      <c r="B21" s="29" t="s">
        <v>38</v>
      </c>
      <c r="C21" s="30" t="s">
        <v>39</v>
      </c>
      <c r="D21" s="23" t="s">
        <v>19</v>
      </c>
      <c r="E21" s="23" t="s">
        <v>19</v>
      </c>
      <c r="F21" s="23" t="s">
        <v>19</v>
      </c>
      <c r="G21" s="23" t="s">
        <v>19</v>
      </c>
      <c r="H21" s="23" t="s">
        <v>19</v>
      </c>
      <c r="I21" s="23" t="s">
        <v>19</v>
      </c>
      <c r="J21" s="23" t="s">
        <v>19</v>
      </c>
      <c r="K21" s="23" t="s">
        <v>19</v>
      </c>
      <c r="L21" s="23" t="s">
        <v>19</v>
      </c>
      <c r="M21" s="23" t="s">
        <v>19</v>
      </c>
      <c r="N21" s="23" t="s">
        <v>19</v>
      </c>
      <c r="O21" s="23" t="s">
        <v>19</v>
      </c>
      <c r="P21" s="23" t="s">
        <v>19</v>
      </c>
      <c r="Q21" s="23" t="s">
        <v>19</v>
      </c>
      <c r="R21" s="23" t="s">
        <v>19</v>
      </c>
      <c r="S21" s="23" t="s">
        <v>19</v>
      </c>
      <c r="T21" s="23" t="s">
        <v>19</v>
      </c>
      <c r="U21" s="23" t="s">
        <v>19</v>
      </c>
      <c r="V21" s="23" t="s">
        <v>19</v>
      </c>
      <c r="W21" s="23" t="s">
        <v>19</v>
      </c>
      <c r="X21" s="23" t="s">
        <v>19</v>
      </c>
      <c r="Y21" s="23" t="s">
        <v>19</v>
      </c>
      <c r="Z21" s="23" t="s">
        <v>19</v>
      </c>
      <c r="AA21" s="23" t="s">
        <v>19</v>
      </c>
      <c r="AB21" s="23" t="s">
        <v>19</v>
      </c>
      <c r="AC21" s="23" t="s">
        <v>19</v>
      </c>
      <c r="AD21" s="23" t="s">
        <v>19</v>
      </c>
      <c r="AE21" s="23" t="s">
        <v>19</v>
      </c>
      <c r="AF21" s="23" t="s">
        <v>19</v>
      </c>
      <c r="AG21" s="23" t="s">
        <v>19</v>
      </c>
      <c r="AH21" s="23" t="s">
        <v>19</v>
      </c>
      <c r="AI21" s="23" t="s">
        <v>19</v>
      </c>
      <c r="AJ21" s="23" t="s">
        <v>19</v>
      </c>
      <c r="AK21" s="23" t="s">
        <v>19</v>
      </c>
      <c r="AL21" s="23" t="s">
        <v>19</v>
      </c>
      <c r="AM21" s="24"/>
      <c r="AN21" s="24"/>
      <c r="AO21" s="24"/>
      <c r="AP21" s="25">
        <f t="shared" si="1"/>
        <v>0</v>
      </c>
      <c r="AQ21" s="25">
        <f t="shared" si="2"/>
        <v>35</v>
      </c>
      <c r="AR21" s="25">
        <f t="shared" si="3"/>
        <v>35</v>
      </c>
      <c r="AS21" s="26">
        <f t="shared" si="4"/>
        <v>0</v>
      </c>
    </row>
    <row r="22" ht="15.75" customHeight="1">
      <c r="A22" s="28">
        <v>12.0</v>
      </c>
      <c r="B22" s="29" t="s">
        <v>40</v>
      </c>
      <c r="C22" s="30" t="s">
        <v>41</v>
      </c>
      <c r="D22" s="23" t="s">
        <v>18</v>
      </c>
      <c r="E22" s="23" t="s">
        <v>18</v>
      </c>
      <c r="F22" s="23" t="s">
        <v>18</v>
      </c>
      <c r="G22" s="23" t="s">
        <v>18</v>
      </c>
      <c r="H22" s="23" t="s">
        <v>18</v>
      </c>
      <c r="I22" s="23" t="s">
        <v>18</v>
      </c>
      <c r="J22" s="23" t="s">
        <v>19</v>
      </c>
      <c r="K22" s="23" t="s">
        <v>18</v>
      </c>
      <c r="L22" s="23" t="s">
        <v>18</v>
      </c>
      <c r="M22" s="23" t="s">
        <v>18</v>
      </c>
      <c r="N22" s="23" t="s">
        <v>18</v>
      </c>
      <c r="O22" s="23" t="s">
        <v>18</v>
      </c>
      <c r="P22" s="23" t="s">
        <v>18</v>
      </c>
      <c r="Q22" s="23" t="s">
        <v>18</v>
      </c>
      <c r="R22" s="23" t="s">
        <v>18</v>
      </c>
      <c r="S22" s="23" t="s">
        <v>18</v>
      </c>
      <c r="T22" s="23" t="s">
        <v>18</v>
      </c>
      <c r="U22" s="23" t="s">
        <v>18</v>
      </c>
      <c r="V22" s="23" t="s">
        <v>18</v>
      </c>
      <c r="W22" s="23" t="s">
        <v>18</v>
      </c>
      <c r="X22" s="23" t="s">
        <v>18</v>
      </c>
      <c r="Y22" s="23" t="s">
        <v>18</v>
      </c>
      <c r="Z22" s="23" t="s">
        <v>18</v>
      </c>
      <c r="AA22" s="23" t="s">
        <v>18</v>
      </c>
      <c r="AB22" s="23" t="s">
        <v>18</v>
      </c>
      <c r="AC22" s="23" t="s">
        <v>18</v>
      </c>
      <c r="AD22" s="23" t="s">
        <v>18</v>
      </c>
      <c r="AE22" s="23" t="s">
        <v>18</v>
      </c>
      <c r="AF22" s="23" t="s">
        <v>18</v>
      </c>
      <c r="AG22" s="23" t="s">
        <v>18</v>
      </c>
      <c r="AH22" s="23" t="s">
        <v>18</v>
      </c>
      <c r="AI22" s="23" t="s">
        <v>18</v>
      </c>
      <c r="AJ22" s="23" t="s">
        <v>18</v>
      </c>
      <c r="AK22" s="23" t="s">
        <v>18</v>
      </c>
      <c r="AL22" s="23" t="s">
        <v>18</v>
      </c>
      <c r="AM22" s="24"/>
      <c r="AN22" s="24"/>
      <c r="AO22" s="24"/>
      <c r="AP22" s="25">
        <f t="shared" si="1"/>
        <v>34</v>
      </c>
      <c r="AQ22" s="25">
        <f t="shared" si="2"/>
        <v>1</v>
      </c>
      <c r="AR22" s="25">
        <f t="shared" si="3"/>
        <v>35</v>
      </c>
      <c r="AS22" s="26">
        <f t="shared" si="4"/>
        <v>97.14285714</v>
      </c>
    </row>
    <row r="23" ht="15.75" customHeight="1">
      <c r="A23" s="28">
        <v>13.0</v>
      </c>
      <c r="B23" s="29" t="s">
        <v>42</v>
      </c>
      <c r="C23" s="30" t="s">
        <v>43</v>
      </c>
      <c r="D23" s="23" t="s">
        <v>18</v>
      </c>
      <c r="E23" s="23" t="s">
        <v>18</v>
      </c>
      <c r="F23" s="23" t="s">
        <v>18</v>
      </c>
      <c r="G23" s="23" t="s">
        <v>18</v>
      </c>
      <c r="H23" s="23" t="s">
        <v>18</v>
      </c>
      <c r="I23" s="23" t="s">
        <v>18</v>
      </c>
      <c r="J23" s="23" t="s">
        <v>18</v>
      </c>
      <c r="K23" s="23" t="s">
        <v>18</v>
      </c>
      <c r="L23" s="23" t="s">
        <v>18</v>
      </c>
      <c r="M23" s="23" t="s">
        <v>18</v>
      </c>
      <c r="N23" s="23" t="s">
        <v>18</v>
      </c>
      <c r="O23" s="23" t="s">
        <v>18</v>
      </c>
      <c r="P23" s="23" t="s">
        <v>18</v>
      </c>
      <c r="Q23" s="23" t="s">
        <v>18</v>
      </c>
      <c r="R23" s="23" t="s">
        <v>18</v>
      </c>
      <c r="S23" s="23" t="s">
        <v>18</v>
      </c>
      <c r="T23" s="23" t="s">
        <v>18</v>
      </c>
      <c r="U23" s="23" t="s">
        <v>18</v>
      </c>
      <c r="V23" s="23" t="s">
        <v>18</v>
      </c>
      <c r="W23" s="23" t="s">
        <v>18</v>
      </c>
      <c r="X23" s="23" t="s">
        <v>18</v>
      </c>
      <c r="Y23" s="23" t="s">
        <v>18</v>
      </c>
      <c r="Z23" s="23" t="s">
        <v>18</v>
      </c>
      <c r="AA23" s="23" t="s">
        <v>18</v>
      </c>
      <c r="AB23" s="23" t="s">
        <v>18</v>
      </c>
      <c r="AC23" s="23" t="s">
        <v>18</v>
      </c>
      <c r="AD23" s="23" t="s">
        <v>18</v>
      </c>
      <c r="AE23" s="23" t="s">
        <v>18</v>
      </c>
      <c r="AF23" s="23" t="s">
        <v>18</v>
      </c>
      <c r="AG23" s="23" t="s">
        <v>18</v>
      </c>
      <c r="AH23" s="23" t="s">
        <v>18</v>
      </c>
      <c r="AI23" s="23" t="s">
        <v>18</v>
      </c>
      <c r="AJ23" s="23" t="s">
        <v>18</v>
      </c>
      <c r="AK23" s="23" t="s">
        <v>18</v>
      </c>
      <c r="AL23" s="23" t="s">
        <v>18</v>
      </c>
      <c r="AM23" s="24"/>
      <c r="AN23" s="24"/>
      <c r="AO23" s="24"/>
      <c r="AP23" s="25">
        <f t="shared" si="1"/>
        <v>35</v>
      </c>
      <c r="AQ23" s="25">
        <f t="shared" si="2"/>
        <v>0</v>
      </c>
      <c r="AR23" s="25">
        <f t="shared" si="3"/>
        <v>35</v>
      </c>
      <c r="AS23" s="26">
        <f t="shared" si="4"/>
        <v>100</v>
      </c>
    </row>
    <row r="24" ht="15.75" customHeight="1">
      <c r="A24" s="28">
        <v>14.0</v>
      </c>
      <c r="B24" s="29" t="s">
        <v>44</v>
      </c>
      <c r="C24" s="30" t="s">
        <v>45</v>
      </c>
      <c r="D24" s="23" t="s">
        <v>18</v>
      </c>
      <c r="E24" s="23" t="s">
        <v>18</v>
      </c>
      <c r="F24" s="23" t="s">
        <v>18</v>
      </c>
      <c r="G24" s="23" t="s">
        <v>18</v>
      </c>
      <c r="H24" s="23" t="s">
        <v>18</v>
      </c>
      <c r="I24" s="23" t="s">
        <v>18</v>
      </c>
      <c r="J24" s="23" t="s">
        <v>18</v>
      </c>
      <c r="K24" s="23" t="s">
        <v>18</v>
      </c>
      <c r="L24" s="23" t="s">
        <v>18</v>
      </c>
      <c r="M24" s="23" t="s">
        <v>18</v>
      </c>
      <c r="N24" s="23" t="s">
        <v>18</v>
      </c>
      <c r="O24" s="23" t="s">
        <v>18</v>
      </c>
      <c r="P24" s="23" t="s">
        <v>18</v>
      </c>
      <c r="Q24" s="23" t="s">
        <v>18</v>
      </c>
      <c r="R24" s="23" t="s">
        <v>18</v>
      </c>
      <c r="S24" s="23" t="s">
        <v>18</v>
      </c>
      <c r="T24" s="23" t="s">
        <v>18</v>
      </c>
      <c r="U24" s="23" t="s">
        <v>18</v>
      </c>
      <c r="V24" s="23" t="s">
        <v>18</v>
      </c>
      <c r="W24" s="23" t="s">
        <v>18</v>
      </c>
      <c r="X24" s="23" t="s">
        <v>18</v>
      </c>
      <c r="Y24" s="23" t="s">
        <v>18</v>
      </c>
      <c r="Z24" s="23" t="s">
        <v>18</v>
      </c>
      <c r="AA24" s="23" t="s">
        <v>18</v>
      </c>
      <c r="AB24" s="23" t="s">
        <v>18</v>
      </c>
      <c r="AC24" s="23" t="s">
        <v>18</v>
      </c>
      <c r="AD24" s="23" t="s">
        <v>18</v>
      </c>
      <c r="AE24" s="23" t="s">
        <v>18</v>
      </c>
      <c r="AF24" s="23" t="s">
        <v>18</v>
      </c>
      <c r="AG24" s="23" t="s">
        <v>18</v>
      </c>
      <c r="AH24" s="23" t="s">
        <v>19</v>
      </c>
      <c r="AI24" s="23" t="s">
        <v>18</v>
      </c>
      <c r="AJ24" s="23" t="s">
        <v>18</v>
      </c>
      <c r="AK24" s="23" t="s">
        <v>18</v>
      </c>
      <c r="AL24" s="23" t="s">
        <v>18</v>
      </c>
      <c r="AM24" s="24"/>
      <c r="AN24" s="24"/>
      <c r="AO24" s="24"/>
      <c r="AP24" s="25">
        <f t="shared" si="1"/>
        <v>34</v>
      </c>
      <c r="AQ24" s="25">
        <f t="shared" si="2"/>
        <v>1</v>
      </c>
      <c r="AR24" s="25">
        <f t="shared" si="3"/>
        <v>35</v>
      </c>
      <c r="AS24" s="26">
        <f t="shared" si="4"/>
        <v>97.14285714</v>
      </c>
    </row>
    <row r="25" ht="15.75" customHeight="1">
      <c r="A25" s="28">
        <v>15.0</v>
      </c>
      <c r="B25" s="29" t="s">
        <v>46</v>
      </c>
      <c r="C25" s="30" t="s">
        <v>47</v>
      </c>
      <c r="D25" s="23" t="s">
        <v>18</v>
      </c>
      <c r="E25" s="23" t="s">
        <v>18</v>
      </c>
      <c r="F25" s="23" t="s">
        <v>18</v>
      </c>
      <c r="G25" s="23" t="s">
        <v>18</v>
      </c>
      <c r="H25" s="23" t="s">
        <v>18</v>
      </c>
      <c r="I25" s="23" t="s">
        <v>18</v>
      </c>
      <c r="J25" s="23" t="s">
        <v>18</v>
      </c>
      <c r="K25" s="23" t="s">
        <v>18</v>
      </c>
      <c r="L25" s="23" t="s">
        <v>18</v>
      </c>
      <c r="M25" s="23" t="s">
        <v>18</v>
      </c>
      <c r="N25" s="23" t="s">
        <v>18</v>
      </c>
      <c r="O25" s="23" t="s">
        <v>18</v>
      </c>
      <c r="P25" s="23" t="s">
        <v>18</v>
      </c>
      <c r="Q25" s="23" t="s">
        <v>18</v>
      </c>
      <c r="R25" s="23" t="s">
        <v>18</v>
      </c>
      <c r="S25" s="23" t="s">
        <v>18</v>
      </c>
      <c r="T25" s="23" t="s">
        <v>18</v>
      </c>
      <c r="U25" s="23" t="s">
        <v>18</v>
      </c>
      <c r="V25" s="23" t="s">
        <v>18</v>
      </c>
      <c r="W25" s="23" t="s">
        <v>18</v>
      </c>
      <c r="X25" s="23" t="s">
        <v>18</v>
      </c>
      <c r="Y25" s="23" t="s">
        <v>18</v>
      </c>
      <c r="Z25" s="23" t="s">
        <v>18</v>
      </c>
      <c r="AA25" s="23" t="s">
        <v>18</v>
      </c>
      <c r="AB25" s="23" t="s">
        <v>18</v>
      </c>
      <c r="AC25" s="23" t="s">
        <v>18</v>
      </c>
      <c r="AD25" s="23" t="s">
        <v>18</v>
      </c>
      <c r="AE25" s="23" t="s">
        <v>18</v>
      </c>
      <c r="AF25" s="23" t="s">
        <v>18</v>
      </c>
      <c r="AG25" s="23" t="s">
        <v>18</v>
      </c>
      <c r="AH25" s="23" t="s">
        <v>18</v>
      </c>
      <c r="AI25" s="23" t="s">
        <v>18</v>
      </c>
      <c r="AJ25" s="23" t="s">
        <v>18</v>
      </c>
      <c r="AK25" s="23" t="s">
        <v>18</v>
      </c>
      <c r="AL25" s="23" t="s">
        <v>18</v>
      </c>
      <c r="AM25" s="24"/>
      <c r="AN25" s="24"/>
      <c r="AO25" s="24"/>
      <c r="AP25" s="25">
        <f t="shared" si="1"/>
        <v>35</v>
      </c>
      <c r="AQ25" s="25">
        <f t="shared" si="2"/>
        <v>0</v>
      </c>
      <c r="AR25" s="25">
        <f t="shared" si="3"/>
        <v>35</v>
      </c>
      <c r="AS25" s="26">
        <f t="shared" si="4"/>
        <v>100</v>
      </c>
    </row>
    <row r="26" ht="15.75" customHeight="1">
      <c r="A26" s="28">
        <v>16.0</v>
      </c>
      <c r="B26" s="29" t="s">
        <v>48</v>
      </c>
      <c r="C26" s="30" t="s">
        <v>49</v>
      </c>
      <c r="D26" s="23" t="s">
        <v>18</v>
      </c>
      <c r="E26" s="23" t="s">
        <v>18</v>
      </c>
      <c r="F26" s="23" t="s">
        <v>19</v>
      </c>
      <c r="G26" s="23" t="s">
        <v>19</v>
      </c>
      <c r="H26" s="23" t="s">
        <v>18</v>
      </c>
      <c r="I26" s="23" t="s">
        <v>18</v>
      </c>
      <c r="J26" s="23" t="s">
        <v>18</v>
      </c>
      <c r="K26" s="23" t="s">
        <v>18</v>
      </c>
      <c r="L26" s="23" t="s">
        <v>18</v>
      </c>
      <c r="M26" s="23" t="s">
        <v>18</v>
      </c>
      <c r="N26" s="23" t="s">
        <v>18</v>
      </c>
      <c r="O26" s="23" t="s">
        <v>18</v>
      </c>
      <c r="P26" s="23" t="s">
        <v>18</v>
      </c>
      <c r="Q26" s="23" t="s">
        <v>18</v>
      </c>
      <c r="R26" s="23" t="s">
        <v>18</v>
      </c>
      <c r="S26" s="23" t="s">
        <v>18</v>
      </c>
      <c r="T26" s="23" t="s">
        <v>18</v>
      </c>
      <c r="U26" s="23" t="s">
        <v>18</v>
      </c>
      <c r="V26" s="23" t="s">
        <v>18</v>
      </c>
      <c r="W26" s="23" t="s">
        <v>18</v>
      </c>
      <c r="X26" s="23" t="s">
        <v>18</v>
      </c>
      <c r="Y26" s="23" t="s">
        <v>19</v>
      </c>
      <c r="Z26" s="23" t="s">
        <v>18</v>
      </c>
      <c r="AA26" s="23" t="s">
        <v>18</v>
      </c>
      <c r="AB26" s="23" t="s">
        <v>18</v>
      </c>
      <c r="AC26" s="23" t="s">
        <v>18</v>
      </c>
      <c r="AD26" s="23" t="s">
        <v>18</v>
      </c>
      <c r="AE26" s="23" t="s">
        <v>18</v>
      </c>
      <c r="AF26" s="23" t="s">
        <v>18</v>
      </c>
      <c r="AG26" s="23" t="s">
        <v>18</v>
      </c>
      <c r="AH26" s="23" t="s">
        <v>19</v>
      </c>
      <c r="AI26" s="23" t="s">
        <v>18</v>
      </c>
      <c r="AJ26" s="23" t="s">
        <v>18</v>
      </c>
      <c r="AK26" s="23" t="s">
        <v>18</v>
      </c>
      <c r="AL26" s="23" t="s">
        <v>18</v>
      </c>
      <c r="AM26" s="24"/>
      <c r="AN26" s="24"/>
      <c r="AO26" s="24"/>
      <c r="AP26" s="25">
        <f t="shared" si="1"/>
        <v>31</v>
      </c>
      <c r="AQ26" s="25">
        <f t="shared" si="2"/>
        <v>4</v>
      </c>
      <c r="AR26" s="25">
        <f t="shared" si="3"/>
        <v>35</v>
      </c>
      <c r="AS26" s="26">
        <f t="shared" si="4"/>
        <v>88.57142857</v>
      </c>
    </row>
    <row r="27" ht="15.75" customHeight="1">
      <c r="A27" s="28">
        <v>17.0</v>
      </c>
      <c r="B27" s="29" t="s">
        <v>50</v>
      </c>
      <c r="C27" s="30" t="s">
        <v>51</v>
      </c>
      <c r="D27" s="23" t="s">
        <v>18</v>
      </c>
      <c r="E27" s="23" t="s">
        <v>18</v>
      </c>
      <c r="F27" s="23" t="s">
        <v>18</v>
      </c>
      <c r="G27" s="23" t="s">
        <v>18</v>
      </c>
      <c r="H27" s="23" t="s">
        <v>18</v>
      </c>
      <c r="I27" s="23" t="s">
        <v>18</v>
      </c>
      <c r="J27" s="23" t="s">
        <v>18</v>
      </c>
      <c r="K27" s="23" t="s">
        <v>18</v>
      </c>
      <c r="L27" s="23" t="s">
        <v>18</v>
      </c>
      <c r="M27" s="23" t="s">
        <v>18</v>
      </c>
      <c r="N27" s="23" t="s">
        <v>18</v>
      </c>
      <c r="O27" s="23" t="s">
        <v>18</v>
      </c>
      <c r="P27" s="23" t="s">
        <v>18</v>
      </c>
      <c r="Q27" s="23" t="s">
        <v>18</v>
      </c>
      <c r="R27" s="23" t="s">
        <v>18</v>
      </c>
      <c r="S27" s="23" t="s">
        <v>18</v>
      </c>
      <c r="T27" s="23" t="s">
        <v>18</v>
      </c>
      <c r="U27" s="23" t="s">
        <v>18</v>
      </c>
      <c r="V27" s="23" t="s">
        <v>18</v>
      </c>
      <c r="W27" s="23" t="s">
        <v>18</v>
      </c>
      <c r="X27" s="23" t="s">
        <v>18</v>
      </c>
      <c r="Y27" s="23" t="s">
        <v>18</v>
      </c>
      <c r="Z27" s="23" t="s">
        <v>18</v>
      </c>
      <c r="AA27" s="23" t="s">
        <v>18</v>
      </c>
      <c r="AB27" s="23" t="s">
        <v>18</v>
      </c>
      <c r="AC27" s="23" t="s">
        <v>18</v>
      </c>
      <c r="AD27" s="23" t="s">
        <v>18</v>
      </c>
      <c r="AE27" s="23" t="s">
        <v>18</v>
      </c>
      <c r="AF27" s="23" t="s">
        <v>18</v>
      </c>
      <c r="AG27" s="23" t="s">
        <v>18</v>
      </c>
      <c r="AH27" s="23" t="s">
        <v>18</v>
      </c>
      <c r="AI27" s="23" t="s">
        <v>18</v>
      </c>
      <c r="AJ27" s="23" t="s">
        <v>18</v>
      </c>
      <c r="AK27" s="23" t="s">
        <v>18</v>
      </c>
      <c r="AL27" s="23" t="s">
        <v>18</v>
      </c>
      <c r="AM27" s="24"/>
      <c r="AN27" s="24"/>
      <c r="AO27" s="24"/>
      <c r="AP27" s="25">
        <f t="shared" si="1"/>
        <v>35</v>
      </c>
      <c r="AQ27" s="25">
        <f t="shared" si="2"/>
        <v>0</v>
      </c>
      <c r="AR27" s="25">
        <f t="shared" si="3"/>
        <v>35</v>
      </c>
      <c r="AS27" s="26">
        <f t="shared" si="4"/>
        <v>100</v>
      </c>
    </row>
    <row r="28" ht="15.75" customHeight="1">
      <c r="A28" s="28">
        <v>18.0</v>
      </c>
      <c r="B28" s="29" t="s">
        <v>52</v>
      </c>
      <c r="C28" s="30" t="s">
        <v>53</v>
      </c>
      <c r="D28" s="23" t="s">
        <v>18</v>
      </c>
      <c r="E28" s="23" t="s">
        <v>18</v>
      </c>
      <c r="F28" s="23" t="s">
        <v>18</v>
      </c>
      <c r="G28" s="23" t="s">
        <v>18</v>
      </c>
      <c r="H28" s="23" t="s">
        <v>18</v>
      </c>
      <c r="I28" s="23" t="s">
        <v>18</v>
      </c>
      <c r="J28" s="23" t="s">
        <v>18</v>
      </c>
      <c r="K28" s="23" t="s">
        <v>18</v>
      </c>
      <c r="L28" s="23" t="s">
        <v>18</v>
      </c>
      <c r="M28" s="23" t="s">
        <v>18</v>
      </c>
      <c r="N28" s="23" t="s">
        <v>18</v>
      </c>
      <c r="O28" s="23" t="s">
        <v>18</v>
      </c>
      <c r="P28" s="23" t="s">
        <v>18</v>
      </c>
      <c r="Q28" s="23" t="s">
        <v>18</v>
      </c>
      <c r="R28" s="23" t="s">
        <v>18</v>
      </c>
      <c r="S28" s="23" t="s">
        <v>18</v>
      </c>
      <c r="T28" s="23" t="s">
        <v>18</v>
      </c>
      <c r="U28" s="23" t="s">
        <v>18</v>
      </c>
      <c r="V28" s="23" t="s">
        <v>18</v>
      </c>
      <c r="W28" s="23" t="s">
        <v>18</v>
      </c>
      <c r="X28" s="23" t="s">
        <v>18</v>
      </c>
      <c r="Y28" s="23" t="s">
        <v>18</v>
      </c>
      <c r="Z28" s="23" t="s">
        <v>18</v>
      </c>
      <c r="AA28" s="23" t="s">
        <v>18</v>
      </c>
      <c r="AB28" s="23" t="s">
        <v>18</v>
      </c>
      <c r="AC28" s="23" t="s">
        <v>18</v>
      </c>
      <c r="AD28" s="23" t="s">
        <v>18</v>
      </c>
      <c r="AE28" s="23" t="s">
        <v>18</v>
      </c>
      <c r="AF28" s="23" t="s">
        <v>18</v>
      </c>
      <c r="AG28" s="23" t="s">
        <v>18</v>
      </c>
      <c r="AH28" s="23" t="s">
        <v>18</v>
      </c>
      <c r="AI28" s="23" t="s">
        <v>18</v>
      </c>
      <c r="AJ28" s="23" t="s">
        <v>18</v>
      </c>
      <c r="AK28" s="23" t="s">
        <v>18</v>
      </c>
      <c r="AL28" s="23" t="s">
        <v>18</v>
      </c>
      <c r="AM28" s="24"/>
      <c r="AN28" s="24"/>
      <c r="AO28" s="24"/>
      <c r="AP28" s="25">
        <f t="shared" si="1"/>
        <v>35</v>
      </c>
      <c r="AQ28" s="25">
        <f t="shared" si="2"/>
        <v>0</v>
      </c>
      <c r="AR28" s="25">
        <f t="shared" si="3"/>
        <v>35</v>
      </c>
      <c r="AS28" s="26">
        <f t="shared" si="4"/>
        <v>100</v>
      </c>
    </row>
    <row r="29" ht="15.75" customHeight="1">
      <c r="A29" s="28">
        <v>19.0</v>
      </c>
      <c r="B29" s="29" t="s">
        <v>54</v>
      </c>
      <c r="C29" s="30" t="s">
        <v>55</v>
      </c>
      <c r="D29" s="23" t="s">
        <v>18</v>
      </c>
      <c r="E29" s="23" t="s">
        <v>18</v>
      </c>
      <c r="F29" s="23" t="s">
        <v>18</v>
      </c>
      <c r="G29" s="23" t="s">
        <v>18</v>
      </c>
      <c r="H29" s="23" t="s">
        <v>18</v>
      </c>
      <c r="I29" s="23" t="s">
        <v>18</v>
      </c>
      <c r="J29" s="23" t="s">
        <v>18</v>
      </c>
      <c r="K29" s="23" t="s">
        <v>18</v>
      </c>
      <c r="L29" s="23" t="s">
        <v>18</v>
      </c>
      <c r="M29" s="23" t="s">
        <v>18</v>
      </c>
      <c r="N29" s="23" t="s">
        <v>18</v>
      </c>
      <c r="O29" s="23" t="s">
        <v>18</v>
      </c>
      <c r="P29" s="23" t="s">
        <v>18</v>
      </c>
      <c r="Q29" s="23" t="s">
        <v>18</v>
      </c>
      <c r="R29" s="23" t="s">
        <v>18</v>
      </c>
      <c r="S29" s="23" t="s">
        <v>18</v>
      </c>
      <c r="T29" s="23" t="s">
        <v>18</v>
      </c>
      <c r="U29" s="23" t="s">
        <v>18</v>
      </c>
      <c r="V29" s="23" t="s">
        <v>18</v>
      </c>
      <c r="W29" s="23" t="s">
        <v>18</v>
      </c>
      <c r="X29" s="23" t="s">
        <v>18</v>
      </c>
      <c r="Y29" s="23" t="s">
        <v>18</v>
      </c>
      <c r="Z29" s="23" t="s">
        <v>18</v>
      </c>
      <c r="AA29" s="23" t="s">
        <v>18</v>
      </c>
      <c r="AB29" s="23" t="s">
        <v>18</v>
      </c>
      <c r="AC29" s="23" t="s">
        <v>18</v>
      </c>
      <c r="AD29" s="23" t="s">
        <v>18</v>
      </c>
      <c r="AE29" s="23" t="s">
        <v>18</v>
      </c>
      <c r="AF29" s="23" t="s">
        <v>18</v>
      </c>
      <c r="AG29" s="23" t="s">
        <v>18</v>
      </c>
      <c r="AH29" s="23" t="s">
        <v>19</v>
      </c>
      <c r="AI29" s="23" t="s">
        <v>18</v>
      </c>
      <c r="AJ29" s="23" t="s">
        <v>18</v>
      </c>
      <c r="AK29" s="23" t="s">
        <v>18</v>
      </c>
      <c r="AL29" s="23" t="s">
        <v>18</v>
      </c>
      <c r="AM29" s="24"/>
      <c r="AN29" s="24"/>
      <c r="AO29" s="24"/>
      <c r="AP29" s="25">
        <f t="shared" si="1"/>
        <v>34</v>
      </c>
      <c r="AQ29" s="25">
        <f t="shared" si="2"/>
        <v>1</v>
      </c>
      <c r="AR29" s="25">
        <f t="shared" si="3"/>
        <v>35</v>
      </c>
      <c r="AS29" s="26">
        <f t="shared" si="4"/>
        <v>97.14285714</v>
      </c>
    </row>
    <row r="30" ht="15.75" customHeight="1">
      <c r="A30" s="28">
        <v>20.0</v>
      </c>
      <c r="B30" s="29" t="s">
        <v>56</v>
      </c>
      <c r="C30" s="30" t="s">
        <v>57</v>
      </c>
      <c r="D30" s="23" t="s">
        <v>18</v>
      </c>
      <c r="E30" s="23" t="s">
        <v>18</v>
      </c>
      <c r="F30" s="23" t="s">
        <v>18</v>
      </c>
      <c r="G30" s="23" t="s">
        <v>18</v>
      </c>
      <c r="H30" s="23" t="s">
        <v>18</v>
      </c>
      <c r="I30" s="23" t="s">
        <v>18</v>
      </c>
      <c r="J30" s="23" t="s">
        <v>18</v>
      </c>
      <c r="K30" s="23" t="s">
        <v>18</v>
      </c>
      <c r="L30" s="23" t="s">
        <v>18</v>
      </c>
      <c r="M30" s="23" t="s">
        <v>18</v>
      </c>
      <c r="N30" s="23" t="s">
        <v>18</v>
      </c>
      <c r="O30" s="23" t="s">
        <v>18</v>
      </c>
      <c r="P30" s="23" t="s">
        <v>18</v>
      </c>
      <c r="Q30" s="23" t="s">
        <v>18</v>
      </c>
      <c r="R30" s="23" t="s">
        <v>18</v>
      </c>
      <c r="S30" s="23" t="s">
        <v>18</v>
      </c>
      <c r="T30" s="23" t="s">
        <v>18</v>
      </c>
      <c r="U30" s="23" t="s">
        <v>18</v>
      </c>
      <c r="V30" s="23" t="s">
        <v>18</v>
      </c>
      <c r="W30" s="23" t="s">
        <v>18</v>
      </c>
      <c r="X30" s="23" t="s">
        <v>18</v>
      </c>
      <c r="Y30" s="23" t="s">
        <v>18</v>
      </c>
      <c r="Z30" s="23" t="s">
        <v>18</v>
      </c>
      <c r="AA30" s="23" t="s">
        <v>18</v>
      </c>
      <c r="AB30" s="23" t="s">
        <v>18</v>
      </c>
      <c r="AC30" s="23" t="s">
        <v>18</v>
      </c>
      <c r="AD30" s="23" t="s">
        <v>18</v>
      </c>
      <c r="AE30" s="23" t="s">
        <v>18</v>
      </c>
      <c r="AF30" s="23" t="s">
        <v>18</v>
      </c>
      <c r="AG30" s="23" t="s">
        <v>19</v>
      </c>
      <c r="AH30" s="23" t="s">
        <v>19</v>
      </c>
      <c r="AI30" s="23" t="s">
        <v>18</v>
      </c>
      <c r="AJ30" s="23" t="s">
        <v>18</v>
      </c>
      <c r="AK30" s="23" t="s">
        <v>18</v>
      </c>
      <c r="AL30" s="23" t="s">
        <v>18</v>
      </c>
      <c r="AM30" s="24"/>
      <c r="AN30" s="24"/>
      <c r="AO30" s="24"/>
      <c r="AP30" s="25">
        <f t="shared" si="1"/>
        <v>33</v>
      </c>
      <c r="AQ30" s="25">
        <f t="shared" si="2"/>
        <v>2</v>
      </c>
      <c r="AR30" s="25">
        <f t="shared" si="3"/>
        <v>35</v>
      </c>
      <c r="AS30" s="26">
        <f t="shared" si="4"/>
        <v>94.28571429</v>
      </c>
    </row>
    <row r="31" ht="15.75" customHeight="1">
      <c r="A31" s="28">
        <v>21.0</v>
      </c>
      <c r="B31" s="29" t="s">
        <v>58</v>
      </c>
      <c r="C31" s="30" t="s">
        <v>59</v>
      </c>
      <c r="D31" s="23" t="s">
        <v>18</v>
      </c>
      <c r="E31" s="23" t="s">
        <v>18</v>
      </c>
      <c r="F31" s="23" t="s">
        <v>18</v>
      </c>
      <c r="G31" s="23" t="s">
        <v>18</v>
      </c>
      <c r="H31" s="23" t="s">
        <v>18</v>
      </c>
      <c r="I31" s="23" t="s">
        <v>18</v>
      </c>
      <c r="J31" s="23" t="s">
        <v>19</v>
      </c>
      <c r="K31" s="23" t="s">
        <v>18</v>
      </c>
      <c r="L31" s="23" t="s">
        <v>18</v>
      </c>
      <c r="M31" s="23" t="s">
        <v>18</v>
      </c>
      <c r="N31" s="23" t="s">
        <v>18</v>
      </c>
      <c r="O31" s="23" t="s">
        <v>18</v>
      </c>
      <c r="P31" s="23" t="s">
        <v>18</v>
      </c>
      <c r="Q31" s="23" t="s">
        <v>18</v>
      </c>
      <c r="R31" s="23" t="s">
        <v>18</v>
      </c>
      <c r="S31" s="23" t="s">
        <v>18</v>
      </c>
      <c r="T31" s="23" t="s">
        <v>18</v>
      </c>
      <c r="U31" s="23" t="s">
        <v>18</v>
      </c>
      <c r="V31" s="23" t="s">
        <v>18</v>
      </c>
      <c r="W31" s="23" t="s">
        <v>18</v>
      </c>
      <c r="X31" s="23" t="s">
        <v>18</v>
      </c>
      <c r="Y31" s="23" t="s">
        <v>18</v>
      </c>
      <c r="Z31" s="23" t="s">
        <v>18</v>
      </c>
      <c r="AA31" s="23" t="s">
        <v>18</v>
      </c>
      <c r="AB31" s="23" t="s">
        <v>18</v>
      </c>
      <c r="AC31" s="23" t="s">
        <v>18</v>
      </c>
      <c r="AD31" s="23" t="s">
        <v>18</v>
      </c>
      <c r="AE31" s="23" t="s">
        <v>18</v>
      </c>
      <c r="AF31" s="23" t="s">
        <v>18</v>
      </c>
      <c r="AG31" s="23" t="s">
        <v>18</v>
      </c>
      <c r="AH31" s="23" t="s">
        <v>18</v>
      </c>
      <c r="AI31" s="23" t="s">
        <v>18</v>
      </c>
      <c r="AJ31" s="23" t="s">
        <v>18</v>
      </c>
      <c r="AK31" s="23" t="s">
        <v>18</v>
      </c>
      <c r="AL31" s="23" t="s">
        <v>18</v>
      </c>
      <c r="AM31" s="24"/>
      <c r="AN31" s="24"/>
      <c r="AO31" s="24"/>
      <c r="AP31" s="25">
        <f t="shared" si="1"/>
        <v>34</v>
      </c>
      <c r="AQ31" s="25">
        <f t="shared" si="2"/>
        <v>1</v>
      </c>
      <c r="AR31" s="25">
        <f t="shared" si="3"/>
        <v>35</v>
      </c>
      <c r="AS31" s="26">
        <f t="shared" si="4"/>
        <v>97.14285714</v>
      </c>
    </row>
    <row r="32" ht="15.75" customHeight="1">
      <c r="A32" s="28">
        <v>22.0</v>
      </c>
      <c r="B32" s="29" t="s">
        <v>60</v>
      </c>
      <c r="C32" s="30" t="s">
        <v>61</v>
      </c>
      <c r="D32" s="23" t="s">
        <v>18</v>
      </c>
      <c r="E32" s="23" t="s">
        <v>18</v>
      </c>
      <c r="F32" s="23" t="s">
        <v>18</v>
      </c>
      <c r="G32" s="23" t="s">
        <v>18</v>
      </c>
      <c r="H32" s="23" t="s">
        <v>18</v>
      </c>
      <c r="I32" s="23" t="s">
        <v>18</v>
      </c>
      <c r="J32" s="23" t="s">
        <v>18</v>
      </c>
      <c r="K32" s="23" t="s">
        <v>18</v>
      </c>
      <c r="L32" s="23" t="s">
        <v>18</v>
      </c>
      <c r="M32" s="23" t="s">
        <v>18</v>
      </c>
      <c r="N32" s="23" t="s">
        <v>18</v>
      </c>
      <c r="O32" s="23" t="s">
        <v>18</v>
      </c>
      <c r="P32" s="23" t="s">
        <v>18</v>
      </c>
      <c r="Q32" s="23" t="s">
        <v>18</v>
      </c>
      <c r="R32" s="23" t="s">
        <v>18</v>
      </c>
      <c r="S32" s="23" t="s">
        <v>18</v>
      </c>
      <c r="T32" s="23" t="s">
        <v>18</v>
      </c>
      <c r="U32" s="23" t="s">
        <v>18</v>
      </c>
      <c r="V32" s="23" t="s">
        <v>18</v>
      </c>
      <c r="W32" s="23" t="s">
        <v>18</v>
      </c>
      <c r="X32" s="23" t="s">
        <v>18</v>
      </c>
      <c r="Y32" s="23" t="s">
        <v>18</v>
      </c>
      <c r="Z32" s="23" t="s">
        <v>18</v>
      </c>
      <c r="AA32" s="23" t="s">
        <v>18</v>
      </c>
      <c r="AB32" s="23" t="s">
        <v>18</v>
      </c>
      <c r="AC32" s="23" t="s">
        <v>18</v>
      </c>
      <c r="AD32" s="23" t="s">
        <v>18</v>
      </c>
      <c r="AE32" s="23" t="s">
        <v>18</v>
      </c>
      <c r="AF32" s="23" t="s">
        <v>18</v>
      </c>
      <c r="AG32" s="23" t="s">
        <v>18</v>
      </c>
      <c r="AH32" s="23" t="s">
        <v>19</v>
      </c>
      <c r="AI32" s="23" t="s">
        <v>18</v>
      </c>
      <c r="AJ32" s="23" t="s">
        <v>18</v>
      </c>
      <c r="AK32" s="23" t="s">
        <v>18</v>
      </c>
      <c r="AL32" s="23" t="s">
        <v>18</v>
      </c>
      <c r="AM32" s="24"/>
      <c r="AN32" s="24"/>
      <c r="AO32" s="24"/>
      <c r="AP32" s="25">
        <f t="shared" si="1"/>
        <v>34</v>
      </c>
      <c r="AQ32" s="25">
        <f t="shared" si="2"/>
        <v>1</v>
      </c>
      <c r="AR32" s="25">
        <f t="shared" si="3"/>
        <v>35</v>
      </c>
      <c r="AS32" s="26">
        <f t="shared" si="4"/>
        <v>97.14285714</v>
      </c>
    </row>
    <row r="33" ht="15.75" customHeight="1">
      <c r="A33" s="28">
        <v>23.0</v>
      </c>
      <c r="B33" s="29" t="s">
        <v>62</v>
      </c>
      <c r="C33" s="30" t="s">
        <v>63</v>
      </c>
      <c r="D33" s="23" t="s">
        <v>18</v>
      </c>
      <c r="E33" s="23" t="s">
        <v>18</v>
      </c>
      <c r="F33" s="23" t="s">
        <v>18</v>
      </c>
      <c r="G33" s="23" t="s">
        <v>18</v>
      </c>
      <c r="H33" s="23" t="s">
        <v>18</v>
      </c>
      <c r="I33" s="23" t="s">
        <v>18</v>
      </c>
      <c r="J33" s="23" t="s">
        <v>19</v>
      </c>
      <c r="K33" s="23" t="s">
        <v>18</v>
      </c>
      <c r="L33" s="23" t="s">
        <v>18</v>
      </c>
      <c r="M33" s="23" t="s">
        <v>18</v>
      </c>
      <c r="N33" s="23" t="s">
        <v>18</v>
      </c>
      <c r="O33" s="23" t="s">
        <v>18</v>
      </c>
      <c r="P33" s="23" t="s">
        <v>18</v>
      </c>
      <c r="Q33" s="23" t="s">
        <v>18</v>
      </c>
      <c r="R33" s="23" t="s">
        <v>18</v>
      </c>
      <c r="S33" s="23" t="s">
        <v>18</v>
      </c>
      <c r="T33" s="23" t="s">
        <v>18</v>
      </c>
      <c r="U33" s="23" t="s">
        <v>18</v>
      </c>
      <c r="V33" s="23" t="s">
        <v>18</v>
      </c>
      <c r="W33" s="23" t="s">
        <v>19</v>
      </c>
      <c r="X33" s="23" t="s">
        <v>18</v>
      </c>
      <c r="Y33" s="23" t="s">
        <v>18</v>
      </c>
      <c r="Z33" s="23" t="s">
        <v>18</v>
      </c>
      <c r="AA33" s="23" t="s">
        <v>18</v>
      </c>
      <c r="AB33" s="23" t="s">
        <v>18</v>
      </c>
      <c r="AC33" s="23" t="s">
        <v>18</v>
      </c>
      <c r="AD33" s="23" t="s">
        <v>19</v>
      </c>
      <c r="AE33" s="23" t="s">
        <v>19</v>
      </c>
      <c r="AF33" s="23" t="s">
        <v>18</v>
      </c>
      <c r="AG33" s="23" t="s">
        <v>18</v>
      </c>
      <c r="AH33" s="23" t="s">
        <v>18</v>
      </c>
      <c r="AI33" s="23" t="s">
        <v>18</v>
      </c>
      <c r="AJ33" s="23" t="s">
        <v>18</v>
      </c>
      <c r="AK33" s="23" t="s">
        <v>18</v>
      </c>
      <c r="AL33" s="23" t="s">
        <v>18</v>
      </c>
      <c r="AM33" s="24"/>
      <c r="AN33" s="24"/>
      <c r="AO33" s="24"/>
      <c r="AP33" s="25">
        <f t="shared" si="1"/>
        <v>31</v>
      </c>
      <c r="AQ33" s="25">
        <f t="shared" si="2"/>
        <v>4</v>
      </c>
      <c r="AR33" s="25">
        <f t="shared" si="3"/>
        <v>35</v>
      </c>
      <c r="AS33" s="26">
        <f t="shared" si="4"/>
        <v>88.57142857</v>
      </c>
    </row>
    <row r="34" ht="15.75" customHeight="1">
      <c r="A34" s="28">
        <v>24.0</v>
      </c>
      <c r="B34" s="29" t="s">
        <v>64</v>
      </c>
      <c r="C34" s="30" t="s">
        <v>65</v>
      </c>
      <c r="D34" s="23" t="s">
        <v>18</v>
      </c>
      <c r="E34" s="23" t="s">
        <v>18</v>
      </c>
      <c r="F34" s="23" t="s">
        <v>18</v>
      </c>
      <c r="G34" s="23" t="s">
        <v>18</v>
      </c>
      <c r="H34" s="23" t="s">
        <v>18</v>
      </c>
      <c r="I34" s="23" t="s">
        <v>18</v>
      </c>
      <c r="J34" s="23" t="s">
        <v>18</v>
      </c>
      <c r="K34" s="23" t="s">
        <v>18</v>
      </c>
      <c r="L34" s="23" t="s">
        <v>18</v>
      </c>
      <c r="M34" s="23" t="s">
        <v>18</v>
      </c>
      <c r="N34" s="23" t="s">
        <v>18</v>
      </c>
      <c r="O34" s="23" t="s">
        <v>18</v>
      </c>
      <c r="P34" s="23" t="s">
        <v>18</v>
      </c>
      <c r="Q34" s="23" t="s">
        <v>18</v>
      </c>
      <c r="R34" s="23" t="s">
        <v>18</v>
      </c>
      <c r="S34" s="23" t="s">
        <v>18</v>
      </c>
      <c r="T34" s="23" t="s">
        <v>18</v>
      </c>
      <c r="U34" s="23" t="s">
        <v>18</v>
      </c>
      <c r="V34" s="23" t="s">
        <v>18</v>
      </c>
      <c r="W34" s="23" t="s">
        <v>18</v>
      </c>
      <c r="X34" s="23" t="s">
        <v>18</v>
      </c>
      <c r="Y34" s="23" t="s">
        <v>18</v>
      </c>
      <c r="Z34" s="23" t="s">
        <v>18</v>
      </c>
      <c r="AA34" s="23" t="s">
        <v>18</v>
      </c>
      <c r="AB34" s="23" t="s">
        <v>18</v>
      </c>
      <c r="AC34" s="23" t="s">
        <v>18</v>
      </c>
      <c r="AD34" s="23" t="s">
        <v>18</v>
      </c>
      <c r="AE34" s="23" t="s">
        <v>18</v>
      </c>
      <c r="AF34" s="23" t="s">
        <v>18</v>
      </c>
      <c r="AG34" s="23" t="s">
        <v>18</v>
      </c>
      <c r="AH34" s="23" t="s">
        <v>18</v>
      </c>
      <c r="AI34" s="23" t="s">
        <v>18</v>
      </c>
      <c r="AJ34" s="23" t="s">
        <v>18</v>
      </c>
      <c r="AK34" s="23" t="s">
        <v>18</v>
      </c>
      <c r="AL34" s="23" t="s">
        <v>18</v>
      </c>
      <c r="AM34" s="24"/>
      <c r="AN34" s="24"/>
      <c r="AO34" s="24"/>
      <c r="AP34" s="25">
        <f t="shared" si="1"/>
        <v>35</v>
      </c>
      <c r="AQ34" s="25">
        <f t="shared" si="2"/>
        <v>0</v>
      </c>
      <c r="AR34" s="25">
        <f t="shared" si="3"/>
        <v>35</v>
      </c>
      <c r="AS34" s="26">
        <f t="shared" si="4"/>
        <v>100</v>
      </c>
    </row>
    <row r="35" ht="15.75" customHeight="1">
      <c r="A35" s="28">
        <v>25.0</v>
      </c>
      <c r="B35" s="29" t="s">
        <v>66</v>
      </c>
      <c r="C35" s="30" t="s">
        <v>67</v>
      </c>
      <c r="D35" s="23" t="s">
        <v>18</v>
      </c>
      <c r="E35" s="23" t="s">
        <v>18</v>
      </c>
      <c r="F35" s="23" t="s">
        <v>18</v>
      </c>
      <c r="G35" s="23" t="s">
        <v>18</v>
      </c>
      <c r="H35" s="23" t="s">
        <v>18</v>
      </c>
      <c r="I35" s="23" t="s">
        <v>18</v>
      </c>
      <c r="J35" s="23" t="s">
        <v>19</v>
      </c>
      <c r="K35" s="23" t="s">
        <v>18</v>
      </c>
      <c r="L35" s="23" t="s">
        <v>18</v>
      </c>
      <c r="M35" s="23" t="s">
        <v>18</v>
      </c>
      <c r="N35" s="23" t="s">
        <v>18</v>
      </c>
      <c r="O35" s="23" t="s">
        <v>18</v>
      </c>
      <c r="P35" s="23" t="s">
        <v>18</v>
      </c>
      <c r="Q35" s="23" t="s">
        <v>18</v>
      </c>
      <c r="R35" s="23" t="s">
        <v>18</v>
      </c>
      <c r="S35" s="23" t="s">
        <v>18</v>
      </c>
      <c r="T35" s="23" t="s">
        <v>18</v>
      </c>
      <c r="U35" s="23" t="s">
        <v>18</v>
      </c>
      <c r="V35" s="23" t="s">
        <v>18</v>
      </c>
      <c r="W35" s="23" t="s">
        <v>18</v>
      </c>
      <c r="X35" s="23" t="s">
        <v>18</v>
      </c>
      <c r="Y35" s="23" t="s">
        <v>18</v>
      </c>
      <c r="Z35" s="23" t="s">
        <v>18</v>
      </c>
      <c r="AA35" s="23" t="s">
        <v>18</v>
      </c>
      <c r="AB35" s="23" t="s">
        <v>18</v>
      </c>
      <c r="AC35" s="23" t="s">
        <v>18</v>
      </c>
      <c r="AD35" s="23" t="s">
        <v>18</v>
      </c>
      <c r="AE35" s="23" t="s">
        <v>18</v>
      </c>
      <c r="AF35" s="23" t="s">
        <v>18</v>
      </c>
      <c r="AG35" s="23" t="s">
        <v>18</v>
      </c>
      <c r="AH35" s="23" t="s">
        <v>18</v>
      </c>
      <c r="AI35" s="23" t="s">
        <v>18</v>
      </c>
      <c r="AJ35" s="23" t="s">
        <v>18</v>
      </c>
      <c r="AK35" s="23" t="s">
        <v>18</v>
      </c>
      <c r="AL35" s="23" t="s">
        <v>18</v>
      </c>
      <c r="AM35" s="24"/>
      <c r="AN35" s="24"/>
      <c r="AO35" s="24"/>
      <c r="AP35" s="25">
        <f t="shared" si="1"/>
        <v>34</v>
      </c>
      <c r="AQ35" s="25">
        <f t="shared" si="2"/>
        <v>1</v>
      </c>
      <c r="AR35" s="25">
        <f t="shared" si="3"/>
        <v>35</v>
      </c>
      <c r="AS35" s="26">
        <f t="shared" si="4"/>
        <v>97.14285714</v>
      </c>
    </row>
    <row r="36" ht="15.75" customHeight="1">
      <c r="A36" s="28">
        <v>26.0</v>
      </c>
      <c r="B36" s="29" t="s">
        <v>68</v>
      </c>
      <c r="C36" s="30" t="s">
        <v>69</v>
      </c>
      <c r="D36" s="23" t="s">
        <v>18</v>
      </c>
      <c r="E36" s="23" t="s">
        <v>18</v>
      </c>
      <c r="F36" s="23" t="s">
        <v>18</v>
      </c>
      <c r="G36" s="23" t="s">
        <v>18</v>
      </c>
      <c r="H36" s="23" t="s">
        <v>18</v>
      </c>
      <c r="I36" s="23" t="s">
        <v>18</v>
      </c>
      <c r="J36" s="23" t="s">
        <v>18</v>
      </c>
      <c r="K36" s="23" t="s">
        <v>18</v>
      </c>
      <c r="L36" s="23" t="s">
        <v>18</v>
      </c>
      <c r="M36" s="23" t="s">
        <v>18</v>
      </c>
      <c r="N36" s="23" t="s">
        <v>18</v>
      </c>
      <c r="O36" s="23" t="s">
        <v>18</v>
      </c>
      <c r="P36" s="23" t="s">
        <v>18</v>
      </c>
      <c r="Q36" s="23" t="s">
        <v>18</v>
      </c>
      <c r="R36" s="23" t="s">
        <v>18</v>
      </c>
      <c r="S36" s="23" t="s">
        <v>18</v>
      </c>
      <c r="T36" s="23" t="s">
        <v>18</v>
      </c>
      <c r="U36" s="23" t="s">
        <v>18</v>
      </c>
      <c r="V36" s="23" t="s">
        <v>18</v>
      </c>
      <c r="W36" s="23" t="s">
        <v>18</v>
      </c>
      <c r="X36" s="23" t="s">
        <v>18</v>
      </c>
      <c r="Y36" s="23" t="s">
        <v>18</v>
      </c>
      <c r="Z36" s="23" t="s">
        <v>18</v>
      </c>
      <c r="AA36" s="23" t="s">
        <v>18</v>
      </c>
      <c r="AB36" s="23" t="s">
        <v>18</v>
      </c>
      <c r="AC36" s="23" t="s">
        <v>18</v>
      </c>
      <c r="AD36" s="23" t="s">
        <v>18</v>
      </c>
      <c r="AE36" s="23" t="s">
        <v>19</v>
      </c>
      <c r="AF36" s="23" t="s">
        <v>19</v>
      </c>
      <c r="AG36" s="23" t="s">
        <v>18</v>
      </c>
      <c r="AH36" s="23" t="s">
        <v>18</v>
      </c>
      <c r="AI36" s="23" t="s">
        <v>18</v>
      </c>
      <c r="AJ36" s="23" t="s">
        <v>18</v>
      </c>
      <c r="AK36" s="23" t="s">
        <v>18</v>
      </c>
      <c r="AL36" s="23" t="s">
        <v>18</v>
      </c>
      <c r="AM36" s="24"/>
      <c r="AN36" s="24"/>
      <c r="AO36" s="24"/>
      <c r="AP36" s="25">
        <f t="shared" si="1"/>
        <v>33</v>
      </c>
      <c r="AQ36" s="25">
        <f t="shared" si="2"/>
        <v>2</v>
      </c>
      <c r="AR36" s="25">
        <f t="shared" si="3"/>
        <v>35</v>
      </c>
      <c r="AS36" s="26">
        <f t="shared" si="4"/>
        <v>94.28571429</v>
      </c>
    </row>
    <row r="37" ht="15.75" customHeight="1">
      <c r="A37" s="28">
        <v>27.0</v>
      </c>
      <c r="B37" s="29" t="s">
        <v>70</v>
      </c>
      <c r="C37" s="30" t="s">
        <v>71</v>
      </c>
      <c r="D37" s="23" t="s">
        <v>18</v>
      </c>
      <c r="E37" s="23" t="s">
        <v>18</v>
      </c>
      <c r="F37" s="23" t="s">
        <v>18</v>
      </c>
      <c r="G37" s="23" t="s">
        <v>18</v>
      </c>
      <c r="H37" s="23" t="s">
        <v>18</v>
      </c>
      <c r="I37" s="23" t="s">
        <v>19</v>
      </c>
      <c r="J37" s="23" t="s">
        <v>18</v>
      </c>
      <c r="K37" s="23" t="s">
        <v>18</v>
      </c>
      <c r="L37" s="23" t="s">
        <v>18</v>
      </c>
      <c r="M37" s="23" t="s">
        <v>18</v>
      </c>
      <c r="N37" s="23" t="s">
        <v>18</v>
      </c>
      <c r="O37" s="23" t="s">
        <v>18</v>
      </c>
      <c r="P37" s="23" t="s">
        <v>18</v>
      </c>
      <c r="Q37" s="23" t="s">
        <v>18</v>
      </c>
      <c r="R37" s="23" t="s">
        <v>18</v>
      </c>
      <c r="S37" s="23" t="s">
        <v>18</v>
      </c>
      <c r="T37" s="23" t="s">
        <v>18</v>
      </c>
      <c r="U37" s="23" t="s">
        <v>18</v>
      </c>
      <c r="V37" s="23" t="s">
        <v>18</v>
      </c>
      <c r="W37" s="23" t="s">
        <v>18</v>
      </c>
      <c r="X37" s="23" t="s">
        <v>18</v>
      </c>
      <c r="Y37" s="23" t="s">
        <v>18</v>
      </c>
      <c r="Z37" s="23" t="s">
        <v>19</v>
      </c>
      <c r="AA37" s="23" t="s">
        <v>18</v>
      </c>
      <c r="AB37" s="23" t="s">
        <v>18</v>
      </c>
      <c r="AC37" s="23" t="s">
        <v>18</v>
      </c>
      <c r="AD37" s="23" t="s">
        <v>18</v>
      </c>
      <c r="AE37" s="23" t="s">
        <v>18</v>
      </c>
      <c r="AF37" s="23" t="s">
        <v>18</v>
      </c>
      <c r="AG37" s="23" t="s">
        <v>18</v>
      </c>
      <c r="AH37" s="23" t="s">
        <v>18</v>
      </c>
      <c r="AI37" s="23" t="s">
        <v>18</v>
      </c>
      <c r="AJ37" s="23" t="s">
        <v>18</v>
      </c>
      <c r="AK37" s="23" t="s">
        <v>18</v>
      </c>
      <c r="AL37" s="23" t="s">
        <v>18</v>
      </c>
      <c r="AM37" s="24"/>
      <c r="AN37" s="24"/>
      <c r="AO37" s="24"/>
      <c r="AP37" s="25">
        <f t="shared" si="1"/>
        <v>33</v>
      </c>
      <c r="AQ37" s="25">
        <f t="shared" si="2"/>
        <v>2</v>
      </c>
      <c r="AR37" s="25">
        <f t="shared" si="3"/>
        <v>35</v>
      </c>
      <c r="AS37" s="26">
        <f t="shared" si="4"/>
        <v>94.28571429</v>
      </c>
    </row>
    <row r="38" ht="15.75" customHeight="1">
      <c r="A38" s="28">
        <v>28.0</v>
      </c>
      <c r="B38" s="29" t="s">
        <v>72</v>
      </c>
      <c r="C38" s="30" t="s">
        <v>73</v>
      </c>
      <c r="D38" s="23" t="s">
        <v>18</v>
      </c>
      <c r="E38" s="23" t="s">
        <v>18</v>
      </c>
      <c r="F38" s="23" t="s">
        <v>18</v>
      </c>
      <c r="G38" s="23" t="s">
        <v>18</v>
      </c>
      <c r="H38" s="23" t="s">
        <v>18</v>
      </c>
      <c r="I38" s="23" t="s">
        <v>18</v>
      </c>
      <c r="J38" s="23" t="s">
        <v>18</v>
      </c>
      <c r="K38" s="23" t="s">
        <v>18</v>
      </c>
      <c r="L38" s="23" t="s">
        <v>18</v>
      </c>
      <c r="M38" s="23" t="s">
        <v>18</v>
      </c>
      <c r="N38" s="23" t="s">
        <v>18</v>
      </c>
      <c r="O38" s="23" t="s">
        <v>18</v>
      </c>
      <c r="P38" s="23" t="s">
        <v>18</v>
      </c>
      <c r="Q38" s="23" t="s">
        <v>18</v>
      </c>
      <c r="R38" s="23" t="s">
        <v>18</v>
      </c>
      <c r="S38" s="23" t="s">
        <v>18</v>
      </c>
      <c r="T38" s="23" t="s">
        <v>18</v>
      </c>
      <c r="U38" s="23" t="s">
        <v>18</v>
      </c>
      <c r="V38" s="23" t="s">
        <v>18</v>
      </c>
      <c r="W38" s="23" t="s">
        <v>18</v>
      </c>
      <c r="X38" s="23" t="s">
        <v>18</v>
      </c>
      <c r="Y38" s="23" t="s">
        <v>18</v>
      </c>
      <c r="Z38" s="23" t="s">
        <v>18</v>
      </c>
      <c r="AA38" s="23" t="s">
        <v>18</v>
      </c>
      <c r="AB38" s="23" t="s">
        <v>18</v>
      </c>
      <c r="AC38" s="23" t="s">
        <v>18</v>
      </c>
      <c r="AD38" s="23" t="s">
        <v>18</v>
      </c>
      <c r="AE38" s="23" t="s">
        <v>18</v>
      </c>
      <c r="AF38" s="23" t="s">
        <v>18</v>
      </c>
      <c r="AG38" s="23" t="s">
        <v>18</v>
      </c>
      <c r="AH38" s="23" t="s">
        <v>18</v>
      </c>
      <c r="AI38" s="23" t="s">
        <v>18</v>
      </c>
      <c r="AJ38" s="23" t="s">
        <v>19</v>
      </c>
      <c r="AK38" s="23" t="s">
        <v>18</v>
      </c>
      <c r="AL38" s="23" t="s">
        <v>18</v>
      </c>
      <c r="AM38" s="24"/>
      <c r="AN38" s="24"/>
      <c r="AO38" s="24"/>
      <c r="AP38" s="25">
        <f t="shared" si="1"/>
        <v>34</v>
      </c>
      <c r="AQ38" s="25">
        <f t="shared" si="2"/>
        <v>1</v>
      </c>
      <c r="AR38" s="25">
        <f t="shared" si="3"/>
        <v>35</v>
      </c>
      <c r="AS38" s="26">
        <f t="shared" si="4"/>
        <v>97.14285714</v>
      </c>
    </row>
    <row r="39" ht="15.75" customHeight="1">
      <c r="A39" s="28">
        <v>29.0</v>
      </c>
      <c r="B39" s="29" t="s">
        <v>74</v>
      </c>
      <c r="C39" s="30" t="s">
        <v>75</v>
      </c>
      <c r="D39" s="23" t="s">
        <v>18</v>
      </c>
      <c r="E39" s="23" t="s">
        <v>18</v>
      </c>
      <c r="F39" s="23" t="s">
        <v>18</v>
      </c>
      <c r="G39" s="23" t="s">
        <v>18</v>
      </c>
      <c r="H39" s="23" t="s">
        <v>18</v>
      </c>
      <c r="I39" s="23" t="s">
        <v>18</v>
      </c>
      <c r="J39" s="23" t="s">
        <v>18</v>
      </c>
      <c r="K39" s="23" t="s">
        <v>18</v>
      </c>
      <c r="L39" s="23" t="s">
        <v>18</v>
      </c>
      <c r="M39" s="23" t="s">
        <v>18</v>
      </c>
      <c r="N39" s="23" t="s">
        <v>18</v>
      </c>
      <c r="O39" s="23" t="s">
        <v>18</v>
      </c>
      <c r="P39" s="23" t="s">
        <v>18</v>
      </c>
      <c r="Q39" s="23" t="s">
        <v>18</v>
      </c>
      <c r="R39" s="23" t="s">
        <v>18</v>
      </c>
      <c r="S39" s="23" t="s">
        <v>18</v>
      </c>
      <c r="T39" s="23" t="s">
        <v>18</v>
      </c>
      <c r="U39" s="23" t="s">
        <v>18</v>
      </c>
      <c r="V39" s="23" t="s">
        <v>18</v>
      </c>
      <c r="W39" s="23" t="s">
        <v>18</v>
      </c>
      <c r="X39" s="23" t="s">
        <v>18</v>
      </c>
      <c r="Y39" s="23" t="s">
        <v>18</v>
      </c>
      <c r="Z39" s="23" t="s">
        <v>18</v>
      </c>
      <c r="AA39" s="23" t="s">
        <v>18</v>
      </c>
      <c r="AB39" s="23" t="s">
        <v>18</v>
      </c>
      <c r="AC39" s="23" t="s">
        <v>18</v>
      </c>
      <c r="AD39" s="23" t="s">
        <v>18</v>
      </c>
      <c r="AE39" s="23" t="s">
        <v>19</v>
      </c>
      <c r="AF39" s="23" t="s">
        <v>18</v>
      </c>
      <c r="AG39" s="23" t="s">
        <v>18</v>
      </c>
      <c r="AH39" s="23" t="s">
        <v>18</v>
      </c>
      <c r="AI39" s="23" t="s">
        <v>18</v>
      </c>
      <c r="AJ39" s="23" t="s">
        <v>18</v>
      </c>
      <c r="AK39" s="23" t="s">
        <v>18</v>
      </c>
      <c r="AL39" s="23" t="s">
        <v>18</v>
      </c>
      <c r="AM39" s="24"/>
      <c r="AN39" s="24"/>
      <c r="AO39" s="24"/>
      <c r="AP39" s="25">
        <f t="shared" si="1"/>
        <v>34</v>
      </c>
      <c r="AQ39" s="25">
        <f t="shared" si="2"/>
        <v>1</v>
      </c>
      <c r="AR39" s="25">
        <f t="shared" si="3"/>
        <v>35</v>
      </c>
      <c r="AS39" s="26">
        <f t="shared" si="4"/>
        <v>97.14285714</v>
      </c>
    </row>
    <row r="40" ht="15.75" customHeight="1">
      <c r="A40" s="28">
        <v>30.0</v>
      </c>
      <c r="B40" s="29" t="s">
        <v>76</v>
      </c>
      <c r="C40" s="30" t="s">
        <v>77</v>
      </c>
      <c r="D40" s="23" t="s">
        <v>18</v>
      </c>
      <c r="E40" s="23" t="s">
        <v>18</v>
      </c>
      <c r="F40" s="23" t="s">
        <v>18</v>
      </c>
      <c r="G40" s="23" t="s">
        <v>18</v>
      </c>
      <c r="H40" s="23" t="s">
        <v>18</v>
      </c>
      <c r="I40" s="23" t="s">
        <v>18</v>
      </c>
      <c r="J40" s="23" t="s">
        <v>18</v>
      </c>
      <c r="K40" s="23" t="s">
        <v>18</v>
      </c>
      <c r="L40" s="23" t="s">
        <v>18</v>
      </c>
      <c r="M40" s="23" t="s">
        <v>18</v>
      </c>
      <c r="N40" s="23" t="s">
        <v>18</v>
      </c>
      <c r="O40" s="23" t="s">
        <v>18</v>
      </c>
      <c r="P40" s="23" t="s">
        <v>18</v>
      </c>
      <c r="Q40" s="23" t="s">
        <v>18</v>
      </c>
      <c r="R40" s="23" t="s">
        <v>18</v>
      </c>
      <c r="S40" s="23" t="s">
        <v>18</v>
      </c>
      <c r="T40" s="23" t="s">
        <v>18</v>
      </c>
      <c r="U40" s="23" t="s">
        <v>18</v>
      </c>
      <c r="V40" s="23" t="s">
        <v>18</v>
      </c>
      <c r="W40" s="23" t="s">
        <v>18</v>
      </c>
      <c r="X40" s="23" t="s">
        <v>18</v>
      </c>
      <c r="Y40" s="23" t="s">
        <v>18</v>
      </c>
      <c r="Z40" s="23" t="s">
        <v>18</v>
      </c>
      <c r="AA40" s="23" t="s">
        <v>18</v>
      </c>
      <c r="AB40" s="23" t="s">
        <v>18</v>
      </c>
      <c r="AC40" s="23" t="s">
        <v>18</v>
      </c>
      <c r="AD40" s="23" t="s">
        <v>18</v>
      </c>
      <c r="AE40" s="23" t="s">
        <v>18</v>
      </c>
      <c r="AF40" s="23" t="s">
        <v>18</v>
      </c>
      <c r="AG40" s="23" t="s">
        <v>18</v>
      </c>
      <c r="AH40" s="23" t="s">
        <v>19</v>
      </c>
      <c r="AI40" s="23" t="s">
        <v>18</v>
      </c>
      <c r="AJ40" s="23" t="s">
        <v>18</v>
      </c>
      <c r="AK40" s="23" t="s">
        <v>18</v>
      </c>
      <c r="AL40" s="23" t="s">
        <v>18</v>
      </c>
      <c r="AM40" s="24"/>
      <c r="AN40" s="24"/>
      <c r="AO40" s="24"/>
      <c r="AP40" s="25">
        <f t="shared" si="1"/>
        <v>34</v>
      </c>
      <c r="AQ40" s="25">
        <f t="shared" si="2"/>
        <v>1</v>
      </c>
      <c r="AR40" s="25">
        <f t="shared" si="3"/>
        <v>35</v>
      </c>
      <c r="AS40" s="26">
        <f t="shared" si="4"/>
        <v>97.14285714</v>
      </c>
    </row>
    <row r="41" ht="15.75" customHeight="1">
      <c r="A41" s="28">
        <v>31.0</v>
      </c>
      <c r="B41" s="29" t="s">
        <v>78</v>
      </c>
      <c r="C41" s="30" t="s">
        <v>79</v>
      </c>
      <c r="D41" s="23" t="s">
        <v>18</v>
      </c>
      <c r="E41" s="23" t="s">
        <v>18</v>
      </c>
      <c r="F41" s="23" t="s">
        <v>18</v>
      </c>
      <c r="G41" s="23" t="s">
        <v>18</v>
      </c>
      <c r="H41" s="23" t="s">
        <v>18</v>
      </c>
      <c r="I41" s="23" t="s">
        <v>18</v>
      </c>
      <c r="J41" s="23" t="s">
        <v>18</v>
      </c>
      <c r="K41" s="23" t="s">
        <v>18</v>
      </c>
      <c r="L41" s="23" t="s">
        <v>18</v>
      </c>
      <c r="M41" s="23" t="s">
        <v>18</v>
      </c>
      <c r="N41" s="23" t="s">
        <v>18</v>
      </c>
      <c r="O41" s="23" t="s">
        <v>18</v>
      </c>
      <c r="P41" s="23" t="s">
        <v>18</v>
      </c>
      <c r="Q41" s="23" t="s">
        <v>18</v>
      </c>
      <c r="R41" s="23" t="s">
        <v>18</v>
      </c>
      <c r="S41" s="23" t="s">
        <v>18</v>
      </c>
      <c r="T41" s="23" t="s">
        <v>18</v>
      </c>
      <c r="U41" s="23" t="s">
        <v>18</v>
      </c>
      <c r="V41" s="23" t="s">
        <v>18</v>
      </c>
      <c r="W41" s="23" t="s">
        <v>18</v>
      </c>
      <c r="X41" s="23" t="s">
        <v>18</v>
      </c>
      <c r="Y41" s="23" t="s">
        <v>18</v>
      </c>
      <c r="Z41" s="23" t="s">
        <v>18</v>
      </c>
      <c r="AA41" s="23" t="s">
        <v>18</v>
      </c>
      <c r="AB41" s="23" t="s">
        <v>18</v>
      </c>
      <c r="AC41" s="23" t="s">
        <v>18</v>
      </c>
      <c r="AD41" s="23" t="s">
        <v>18</v>
      </c>
      <c r="AE41" s="23" t="s">
        <v>18</v>
      </c>
      <c r="AF41" s="23" t="s">
        <v>18</v>
      </c>
      <c r="AG41" s="23" t="s">
        <v>18</v>
      </c>
      <c r="AH41" s="23" t="s">
        <v>18</v>
      </c>
      <c r="AI41" s="23" t="s">
        <v>18</v>
      </c>
      <c r="AJ41" s="23" t="s">
        <v>18</v>
      </c>
      <c r="AK41" s="23" t="s">
        <v>18</v>
      </c>
      <c r="AL41" s="23" t="s">
        <v>18</v>
      </c>
      <c r="AM41" s="24"/>
      <c r="AN41" s="24"/>
      <c r="AO41" s="24"/>
      <c r="AP41" s="25">
        <f t="shared" si="1"/>
        <v>35</v>
      </c>
      <c r="AQ41" s="25">
        <f t="shared" si="2"/>
        <v>0</v>
      </c>
      <c r="AR41" s="25">
        <f t="shared" si="3"/>
        <v>35</v>
      </c>
      <c r="AS41" s="26">
        <f t="shared" si="4"/>
        <v>100</v>
      </c>
    </row>
    <row r="42" ht="15.75" customHeight="1">
      <c r="A42" s="28">
        <v>32.0</v>
      </c>
      <c r="B42" s="29" t="s">
        <v>80</v>
      </c>
      <c r="C42" s="30" t="s">
        <v>81</v>
      </c>
      <c r="D42" s="23" t="s">
        <v>18</v>
      </c>
      <c r="E42" s="23" t="s">
        <v>18</v>
      </c>
      <c r="F42" s="23" t="s">
        <v>18</v>
      </c>
      <c r="G42" s="23" t="s">
        <v>18</v>
      </c>
      <c r="H42" s="23" t="s">
        <v>18</v>
      </c>
      <c r="I42" s="23" t="s">
        <v>18</v>
      </c>
      <c r="J42" s="23" t="s">
        <v>18</v>
      </c>
      <c r="K42" s="23" t="s">
        <v>18</v>
      </c>
      <c r="L42" s="23" t="s">
        <v>18</v>
      </c>
      <c r="M42" s="23" t="s">
        <v>18</v>
      </c>
      <c r="N42" s="23" t="s">
        <v>18</v>
      </c>
      <c r="O42" s="23" t="s">
        <v>18</v>
      </c>
      <c r="P42" s="23" t="s">
        <v>18</v>
      </c>
      <c r="Q42" s="23" t="s">
        <v>18</v>
      </c>
      <c r="R42" s="23" t="s">
        <v>18</v>
      </c>
      <c r="S42" s="23" t="s">
        <v>18</v>
      </c>
      <c r="T42" s="23" t="s">
        <v>19</v>
      </c>
      <c r="U42" s="23" t="s">
        <v>18</v>
      </c>
      <c r="V42" s="23" t="s">
        <v>18</v>
      </c>
      <c r="W42" s="23" t="s">
        <v>18</v>
      </c>
      <c r="X42" s="23" t="s">
        <v>18</v>
      </c>
      <c r="Y42" s="23" t="s">
        <v>18</v>
      </c>
      <c r="Z42" s="23" t="s">
        <v>18</v>
      </c>
      <c r="AA42" s="23" t="s">
        <v>18</v>
      </c>
      <c r="AB42" s="23" t="s">
        <v>18</v>
      </c>
      <c r="AC42" s="23" t="s">
        <v>18</v>
      </c>
      <c r="AD42" s="23" t="s">
        <v>18</v>
      </c>
      <c r="AE42" s="23" t="s">
        <v>18</v>
      </c>
      <c r="AF42" s="23" t="s">
        <v>18</v>
      </c>
      <c r="AG42" s="23" t="s">
        <v>18</v>
      </c>
      <c r="AH42" s="23" t="s">
        <v>18</v>
      </c>
      <c r="AI42" s="23" t="s">
        <v>18</v>
      </c>
      <c r="AJ42" s="23" t="s">
        <v>18</v>
      </c>
      <c r="AK42" s="23" t="s">
        <v>18</v>
      </c>
      <c r="AL42" s="23" t="s">
        <v>18</v>
      </c>
      <c r="AM42" s="24"/>
      <c r="AN42" s="24"/>
      <c r="AO42" s="24"/>
      <c r="AP42" s="25">
        <f t="shared" si="1"/>
        <v>34</v>
      </c>
      <c r="AQ42" s="25">
        <f t="shared" si="2"/>
        <v>1</v>
      </c>
      <c r="AR42" s="25">
        <f t="shared" si="3"/>
        <v>35</v>
      </c>
      <c r="AS42" s="26">
        <f t="shared" si="4"/>
        <v>97.14285714</v>
      </c>
      <c r="AT42" s="32"/>
    </row>
    <row r="43" ht="15.75" customHeight="1">
      <c r="A43" s="28">
        <v>33.0</v>
      </c>
      <c r="B43" s="29" t="s">
        <v>82</v>
      </c>
      <c r="C43" s="30" t="s">
        <v>83</v>
      </c>
      <c r="D43" s="23" t="s">
        <v>18</v>
      </c>
      <c r="E43" s="23" t="s">
        <v>18</v>
      </c>
      <c r="F43" s="23" t="s">
        <v>18</v>
      </c>
      <c r="G43" s="23" t="s">
        <v>18</v>
      </c>
      <c r="H43" s="23" t="s">
        <v>18</v>
      </c>
      <c r="I43" s="23" t="s">
        <v>18</v>
      </c>
      <c r="J43" s="23" t="s">
        <v>19</v>
      </c>
      <c r="K43" s="23" t="s">
        <v>18</v>
      </c>
      <c r="L43" s="23" t="s">
        <v>18</v>
      </c>
      <c r="M43" s="23" t="s">
        <v>18</v>
      </c>
      <c r="N43" s="23" t="s">
        <v>18</v>
      </c>
      <c r="O43" s="23" t="s">
        <v>18</v>
      </c>
      <c r="P43" s="23" t="s">
        <v>18</v>
      </c>
      <c r="Q43" s="23" t="s">
        <v>18</v>
      </c>
      <c r="R43" s="23" t="s">
        <v>18</v>
      </c>
      <c r="S43" s="23" t="s">
        <v>18</v>
      </c>
      <c r="T43" s="23" t="s">
        <v>18</v>
      </c>
      <c r="U43" s="23" t="s">
        <v>18</v>
      </c>
      <c r="V43" s="23" t="s">
        <v>18</v>
      </c>
      <c r="W43" s="23" t="s">
        <v>18</v>
      </c>
      <c r="X43" s="23" t="s">
        <v>18</v>
      </c>
      <c r="Y43" s="23" t="s">
        <v>18</v>
      </c>
      <c r="Z43" s="23" t="s">
        <v>18</v>
      </c>
      <c r="AA43" s="23" t="s">
        <v>18</v>
      </c>
      <c r="AB43" s="23" t="s">
        <v>18</v>
      </c>
      <c r="AC43" s="23" t="s">
        <v>18</v>
      </c>
      <c r="AD43" s="23" t="s">
        <v>18</v>
      </c>
      <c r="AE43" s="23" t="s">
        <v>18</v>
      </c>
      <c r="AF43" s="23" t="s">
        <v>18</v>
      </c>
      <c r="AG43" s="23" t="s">
        <v>18</v>
      </c>
      <c r="AH43" s="23" t="s">
        <v>18</v>
      </c>
      <c r="AI43" s="23" t="s">
        <v>18</v>
      </c>
      <c r="AJ43" s="23" t="s">
        <v>18</v>
      </c>
      <c r="AK43" s="23" t="s">
        <v>18</v>
      </c>
      <c r="AL43" s="23" t="s">
        <v>18</v>
      </c>
      <c r="AM43" s="24"/>
      <c r="AN43" s="24"/>
      <c r="AO43" s="24"/>
      <c r="AP43" s="25">
        <f t="shared" si="1"/>
        <v>34</v>
      </c>
      <c r="AQ43" s="25">
        <f t="shared" si="2"/>
        <v>1</v>
      </c>
      <c r="AR43" s="25">
        <f t="shared" si="3"/>
        <v>35</v>
      </c>
      <c r="AS43" s="26">
        <f t="shared" si="4"/>
        <v>97.14285714</v>
      </c>
      <c r="AT43" s="32"/>
    </row>
    <row r="44" ht="15.75" customHeight="1">
      <c r="A44" s="28">
        <v>34.0</v>
      </c>
      <c r="B44" s="29" t="s">
        <v>84</v>
      </c>
      <c r="C44" s="30" t="s">
        <v>85</v>
      </c>
      <c r="D44" s="23" t="s">
        <v>18</v>
      </c>
      <c r="E44" s="23" t="s">
        <v>18</v>
      </c>
      <c r="F44" s="23" t="s">
        <v>18</v>
      </c>
      <c r="G44" s="23" t="s">
        <v>18</v>
      </c>
      <c r="H44" s="23" t="s">
        <v>18</v>
      </c>
      <c r="I44" s="23" t="s">
        <v>18</v>
      </c>
      <c r="J44" s="23" t="s">
        <v>18</v>
      </c>
      <c r="K44" s="23" t="s">
        <v>18</v>
      </c>
      <c r="L44" s="23" t="s">
        <v>18</v>
      </c>
      <c r="M44" s="23" t="s">
        <v>18</v>
      </c>
      <c r="N44" s="23" t="s">
        <v>18</v>
      </c>
      <c r="O44" s="23" t="s">
        <v>18</v>
      </c>
      <c r="P44" s="23" t="s">
        <v>18</v>
      </c>
      <c r="Q44" s="23" t="s">
        <v>18</v>
      </c>
      <c r="R44" s="23" t="s">
        <v>18</v>
      </c>
      <c r="S44" s="23" t="s">
        <v>18</v>
      </c>
      <c r="T44" s="23" t="s">
        <v>18</v>
      </c>
      <c r="U44" s="23" t="s">
        <v>18</v>
      </c>
      <c r="V44" s="23" t="s">
        <v>18</v>
      </c>
      <c r="W44" s="23" t="s">
        <v>18</v>
      </c>
      <c r="X44" s="23" t="s">
        <v>18</v>
      </c>
      <c r="Y44" s="23" t="s">
        <v>18</v>
      </c>
      <c r="Z44" s="23" t="s">
        <v>18</v>
      </c>
      <c r="AA44" s="23" t="s">
        <v>18</v>
      </c>
      <c r="AB44" s="23" t="s">
        <v>18</v>
      </c>
      <c r="AC44" s="23" t="s">
        <v>18</v>
      </c>
      <c r="AD44" s="23" t="s">
        <v>18</v>
      </c>
      <c r="AE44" s="23" t="s">
        <v>18</v>
      </c>
      <c r="AF44" s="23" t="s">
        <v>18</v>
      </c>
      <c r="AG44" s="23" t="s">
        <v>18</v>
      </c>
      <c r="AH44" s="23" t="s">
        <v>18</v>
      </c>
      <c r="AI44" s="23" t="s">
        <v>18</v>
      </c>
      <c r="AJ44" s="23" t="s">
        <v>18</v>
      </c>
      <c r="AK44" s="23" t="s">
        <v>18</v>
      </c>
      <c r="AL44" s="23" t="s">
        <v>18</v>
      </c>
      <c r="AM44" s="24"/>
      <c r="AN44" s="24"/>
      <c r="AO44" s="24"/>
      <c r="AP44" s="25">
        <f t="shared" si="1"/>
        <v>35</v>
      </c>
      <c r="AQ44" s="25">
        <f t="shared" si="2"/>
        <v>0</v>
      </c>
      <c r="AR44" s="25">
        <f t="shared" si="3"/>
        <v>35</v>
      </c>
      <c r="AS44" s="26">
        <f t="shared" si="4"/>
        <v>100</v>
      </c>
      <c r="AT44" s="32"/>
    </row>
    <row r="45" ht="15.75" customHeight="1">
      <c r="A45" s="28">
        <v>35.0</v>
      </c>
      <c r="B45" s="29" t="s">
        <v>86</v>
      </c>
      <c r="C45" s="30" t="s">
        <v>87</v>
      </c>
      <c r="D45" s="23" t="s">
        <v>18</v>
      </c>
      <c r="E45" s="23" t="s">
        <v>18</v>
      </c>
      <c r="F45" s="23" t="s">
        <v>18</v>
      </c>
      <c r="G45" s="23" t="s">
        <v>18</v>
      </c>
      <c r="H45" s="23" t="s">
        <v>18</v>
      </c>
      <c r="I45" s="23" t="s">
        <v>18</v>
      </c>
      <c r="J45" s="23" t="s">
        <v>18</v>
      </c>
      <c r="K45" s="23" t="s">
        <v>18</v>
      </c>
      <c r="L45" s="23" t="s">
        <v>18</v>
      </c>
      <c r="M45" s="23" t="s">
        <v>18</v>
      </c>
      <c r="N45" s="23" t="s">
        <v>18</v>
      </c>
      <c r="O45" s="23" t="s">
        <v>18</v>
      </c>
      <c r="P45" s="23" t="s">
        <v>18</v>
      </c>
      <c r="Q45" s="23" t="s">
        <v>18</v>
      </c>
      <c r="R45" s="23" t="s">
        <v>18</v>
      </c>
      <c r="S45" s="23" t="s">
        <v>18</v>
      </c>
      <c r="T45" s="23" t="s">
        <v>18</v>
      </c>
      <c r="U45" s="23" t="s">
        <v>18</v>
      </c>
      <c r="V45" s="23" t="s">
        <v>18</v>
      </c>
      <c r="W45" s="23" t="s">
        <v>18</v>
      </c>
      <c r="X45" s="23" t="s">
        <v>18</v>
      </c>
      <c r="Y45" s="23" t="s">
        <v>18</v>
      </c>
      <c r="Z45" s="23" t="s">
        <v>18</v>
      </c>
      <c r="AA45" s="23" t="s">
        <v>18</v>
      </c>
      <c r="AB45" s="23" t="s">
        <v>18</v>
      </c>
      <c r="AC45" s="23" t="s">
        <v>18</v>
      </c>
      <c r="AD45" s="23" t="s">
        <v>18</v>
      </c>
      <c r="AE45" s="23" t="s">
        <v>18</v>
      </c>
      <c r="AF45" s="23" t="s">
        <v>18</v>
      </c>
      <c r="AG45" s="23" t="s">
        <v>18</v>
      </c>
      <c r="AH45" s="23" t="s">
        <v>18</v>
      </c>
      <c r="AI45" s="23" t="s">
        <v>18</v>
      </c>
      <c r="AJ45" s="23" t="s">
        <v>18</v>
      </c>
      <c r="AK45" s="23" t="s">
        <v>18</v>
      </c>
      <c r="AL45" s="23" t="s">
        <v>18</v>
      </c>
      <c r="AM45" s="24"/>
      <c r="AN45" s="24"/>
      <c r="AO45" s="24"/>
      <c r="AP45" s="25">
        <f t="shared" si="1"/>
        <v>35</v>
      </c>
      <c r="AQ45" s="25">
        <f t="shared" si="2"/>
        <v>0</v>
      </c>
      <c r="AR45" s="25">
        <f t="shared" si="3"/>
        <v>35</v>
      </c>
      <c r="AS45" s="26">
        <f t="shared" si="4"/>
        <v>100</v>
      </c>
      <c r="AT45" s="32"/>
    </row>
    <row r="46" ht="15.75" customHeight="1">
      <c r="A46" s="28">
        <v>36.0</v>
      </c>
      <c r="B46" s="29" t="s">
        <v>88</v>
      </c>
      <c r="C46" s="30" t="s">
        <v>89</v>
      </c>
      <c r="D46" s="23" t="s">
        <v>18</v>
      </c>
      <c r="E46" s="23" t="s">
        <v>18</v>
      </c>
      <c r="F46" s="23" t="s">
        <v>18</v>
      </c>
      <c r="G46" s="23" t="s">
        <v>18</v>
      </c>
      <c r="H46" s="23" t="s">
        <v>18</v>
      </c>
      <c r="I46" s="23" t="s">
        <v>19</v>
      </c>
      <c r="J46" s="23" t="s">
        <v>18</v>
      </c>
      <c r="K46" s="23" t="s">
        <v>18</v>
      </c>
      <c r="L46" s="23" t="s">
        <v>18</v>
      </c>
      <c r="M46" s="23" t="s">
        <v>18</v>
      </c>
      <c r="N46" s="23" t="s">
        <v>18</v>
      </c>
      <c r="O46" s="23" t="s">
        <v>18</v>
      </c>
      <c r="P46" s="23" t="s">
        <v>18</v>
      </c>
      <c r="Q46" s="23" t="s">
        <v>18</v>
      </c>
      <c r="R46" s="23" t="s">
        <v>18</v>
      </c>
      <c r="S46" s="23" t="s">
        <v>18</v>
      </c>
      <c r="T46" s="23" t="s">
        <v>18</v>
      </c>
      <c r="U46" s="23" t="s">
        <v>18</v>
      </c>
      <c r="V46" s="23" t="s">
        <v>18</v>
      </c>
      <c r="W46" s="23" t="s">
        <v>18</v>
      </c>
      <c r="X46" s="23" t="s">
        <v>18</v>
      </c>
      <c r="Y46" s="23" t="s">
        <v>18</v>
      </c>
      <c r="Z46" s="23" t="s">
        <v>18</v>
      </c>
      <c r="AA46" s="23" t="s">
        <v>18</v>
      </c>
      <c r="AB46" s="23" t="s">
        <v>18</v>
      </c>
      <c r="AC46" s="23" t="s">
        <v>18</v>
      </c>
      <c r="AD46" s="23" t="s">
        <v>18</v>
      </c>
      <c r="AE46" s="23" t="s">
        <v>18</v>
      </c>
      <c r="AF46" s="23" t="s">
        <v>18</v>
      </c>
      <c r="AG46" s="23" t="s">
        <v>18</v>
      </c>
      <c r="AH46" s="23" t="s">
        <v>18</v>
      </c>
      <c r="AI46" s="23" t="s">
        <v>18</v>
      </c>
      <c r="AJ46" s="23" t="s">
        <v>18</v>
      </c>
      <c r="AK46" s="23" t="s">
        <v>18</v>
      </c>
      <c r="AL46" s="23" t="s">
        <v>18</v>
      </c>
      <c r="AM46" s="24"/>
      <c r="AN46" s="24"/>
      <c r="AO46" s="24"/>
      <c r="AP46" s="25">
        <f t="shared" si="1"/>
        <v>34</v>
      </c>
      <c r="AQ46" s="25">
        <f t="shared" si="2"/>
        <v>1</v>
      </c>
      <c r="AR46" s="25">
        <f t="shared" si="3"/>
        <v>35</v>
      </c>
      <c r="AS46" s="26">
        <f t="shared" si="4"/>
        <v>97.14285714</v>
      </c>
      <c r="AT46" s="32"/>
    </row>
    <row r="47" ht="15.75" customHeight="1">
      <c r="A47" s="28">
        <v>37.0</v>
      </c>
      <c r="B47" s="29" t="s">
        <v>90</v>
      </c>
      <c r="C47" s="30" t="s">
        <v>91</v>
      </c>
      <c r="D47" s="23" t="s">
        <v>18</v>
      </c>
      <c r="E47" s="23" t="s">
        <v>18</v>
      </c>
      <c r="F47" s="23" t="s">
        <v>18</v>
      </c>
      <c r="G47" s="23" t="s">
        <v>18</v>
      </c>
      <c r="H47" s="23" t="s">
        <v>18</v>
      </c>
      <c r="I47" s="23" t="s">
        <v>19</v>
      </c>
      <c r="J47" s="23" t="s">
        <v>18</v>
      </c>
      <c r="K47" s="23" t="s">
        <v>18</v>
      </c>
      <c r="L47" s="23" t="s">
        <v>18</v>
      </c>
      <c r="M47" s="23" t="s">
        <v>18</v>
      </c>
      <c r="N47" s="23" t="s">
        <v>18</v>
      </c>
      <c r="O47" s="23" t="s">
        <v>18</v>
      </c>
      <c r="P47" s="23" t="s">
        <v>18</v>
      </c>
      <c r="Q47" s="23" t="s">
        <v>18</v>
      </c>
      <c r="R47" s="23" t="s">
        <v>18</v>
      </c>
      <c r="S47" s="23" t="s">
        <v>18</v>
      </c>
      <c r="T47" s="23" t="s">
        <v>18</v>
      </c>
      <c r="U47" s="23" t="s">
        <v>18</v>
      </c>
      <c r="V47" s="23" t="s">
        <v>18</v>
      </c>
      <c r="W47" s="23" t="s">
        <v>18</v>
      </c>
      <c r="X47" s="23" t="s">
        <v>18</v>
      </c>
      <c r="Y47" s="23" t="s">
        <v>18</v>
      </c>
      <c r="Z47" s="23" t="s">
        <v>18</v>
      </c>
      <c r="AA47" s="23" t="s">
        <v>18</v>
      </c>
      <c r="AB47" s="23" t="s">
        <v>18</v>
      </c>
      <c r="AC47" s="23" t="s">
        <v>18</v>
      </c>
      <c r="AD47" s="23" t="s">
        <v>18</v>
      </c>
      <c r="AE47" s="23" t="s">
        <v>18</v>
      </c>
      <c r="AF47" s="23" t="s">
        <v>18</v>
      </c>
      <c r="AG47" s="23" t="s">
        <v>18</v>
      </c>
      <c r="AH47" s="23" t="s">
        <v>18</v>
      </c>
      <c r="AI47" s="23" t="s">
        <v>18</v>
      </c>
      <c r="AJ47" s="23" t="s">
        <v>18</v>
      </c>
      <c r="AK47" s="23" t="s">
        <v>18</v>
      </c>
      <c r="AL47" s="23" t="s">
        <v>18</v>
      </c>
      <c r="AM47" s="24"/>
      <c r="AN47" s="24"/>
      <c r="AO47" s="24"/>
      <c r="AP47" s="25">
        <f t="shared" si="1"/>
        <v>34</v>
      </c>
      <c r="AQ47" s="25">
        <f t="shared" si="2"/>
        <v>1</v>
      </c>
      <c r="AR47" s="25">
        <f t="shared" si="3"/>
        <v>35</v>
      </c>
      <c r="AS47" s="26">
        <f t="shared" si="4"/>
        <v>97.14285714</v>
      </c>
      <c r="AT47" s="32"/>
    </row>
    <row r="48" ht="15.75" customHeight="1">
      <c r="A48" s="28">
        <v>38.0</v>
      </c>
      <c r="B48" s="29" t="s">
        <v>92</v>
      </c>
      <c r="C48" s="30" t="s">
        <v>93</v>
      </c>
      <c r="D48" s="23" t="s">
        <v>18</v>
      </c>
      <c r="E48" s="23" t="s">
        <v>18</v>
      </c>
      <c r="F48" s="23" t="s">
        <v>18</v>
      </c>
      <c r="G48" s="23" t="s">
        <v>18</v>
      </c>
      <c r="H48" s="23" t="s">
        <v>18</v>
      </c>
      <c r="I48" s="23" t="s">
        <v>18</v>
      </c>
      <c r="J48" s="23" t="s">
        <v>18</v>
      </c>
      <c r="K48" s="23" t="s">
        <v>18</v>
      </c>
      <c r="L48" s="23" t="s">
        <v>18</v>
      </c>
      <c r="M48" s="23" t="s">
        <v>18</v>
      </c>
      <c r="N48" s="23" t="s">
        <v>18</v>
      </c>
      <c r="O48" s="23" t="s">
        <v>18</v>
      </c>
      <c r="P48" s="23" t="s">
        <v>18</v>
      </c>
      <c r="Q48" s="23" t="s">
        <v>18</v>
      </c>
      <c r="R48" s="23" t="s">
        <v>18</v>
      </c>
      <c r="S48" s="23" t="s">
        <v>18</v>
      </c>
      <c r="T48" s="23" t="s">
        <v>18</v>
      </c>
      <c r="U48" s="23" t="s">
        <v>18</v>
      </c>
      <c r="V48" s="23" t="s">
        <v>18</v>
      </c>
      <c r="W48" s="23" t="s">
        <v>18</v>
      </c>
      <c r="X48" s="23" t="s">
        <v>18</v>
      </c>
      <c r="Y48" s="23" t="s">
        <v>18</v>
      </c>
      <c r="Z48" s="23" t="s">
        <v>18</v>
      </c>
      <c r="AA48" s="23" t="s">
        <v>18</v>
      </c>
      <c r="AB48" s="23" t="s">
        <v>18</v>
      </c>
      <c r="AC48" s="23" t="s">
        <v>18</v>
      </c>
      <c r="AD48" s="23" t="s">
        <v>18</v>
      </c>
      <c r="AE48" s="23" t="s">
        <v>18</v>
      </c>
      <c r="AF48" s="23" t="s">
        <v>18</v>
      </c>
      <c r="AG48" s="23" t="s">
        <v>18</v>
      </c>
      <c r="AH48" s="23" t="s">
        <v>18</v>
      </c>
      <c r="AI48" s="23" t="s">
        <v>18</v>
      </c>
      <c r="AJ48" s="23" t="s">
        <v>18</v>
      </c>
      <c r="AK48" s="23" t="s">
        <v>18</v>
      </c>
      <c r="AL48" s="23" t="s">
        <v>18</v>
      </c>
      <c r="AM48" s="24"/>
      <c r="AN48" s="24"/>
      <c r="AO48" s="24"/>
      <c r="AP48" s="25">
        <f t="shared" si="1"/>
        <v>35</v>
      </c>
      <c r="AQ48" s="25">
        <f t="shared" si="2"/>
        <v>0</v>
      </c>
      <c r="AR48" s="25">
        <f t="shared" si="3"/>
        <v>35</v>
      </c>
      <c r="AS48" s="26">
        <f t="shared" si="4"/>
        <v>100</v>
      </c>
      <c r="AT48" s="32"/>
    </row>
    <row r="49" ht="15.75" customHeight="1">
      <c r="A49" s="28">
        <v>39.0</v>
      </c>
      <c r="B49" s="29" t="s">
        <v>94</v>
      </c>
      <c r="C49" s="30" t="s">
        <v>95</v>
      </c>
      <c r="D49" s="23" t="s">
        <v>18</v>
      </c>
      <c r="E49" s="23" t="s">
        <v>18</v>
      </c>
      <c r="F49" s="23" t="s">
        <v>18</v>
      </c>
      <c r="G49" s="23" t="s">
        <v>18</v>
      </c>
      <c r="H49" s="23" t="s">
        <v>18</v>
      </c>
      <c r="I49" s="23" t="s">
        <v>18</v>
      </c>
      <c r="J49" s="23" t="s">
        <v>18</v>
      </c>
      <c r="K49" s="23" t="s">
        <v>18</v>
      </c>
      <c r="L49" s="23" t="s">
        <v>18</v>
      </c>
      <c r="M49" s="23" t="s">
        <v>18</v>
      </c>
      <c r="N49" s="23" t="s">
        <v>18</v>
      </c>
      <c r="O49" s="23" t="s">
        <v>18</v>
      </c>
      <c r="P49" s="23" t="s">
        <v>18</v>
      </c>
      <c r="Q49" s="23" t="s">
        <v>18</v>
      </c>
      <c r="R49" s="23" t="s">
        <v>18</v>
      </c>
      <c r="S49" s="23" t="s">
        <v>18</v>
      </c>
      <c r="T49" s="23" t="s">
        <v>18</v>
      </c>
      <c r="U49" s="23" t="s">
        <v>18</v>
      </c>
      <c r="V49" s="23" t="s">
        <v>18</v>
      </c>
      <c r="W49" s="23" t="s">
        <v>18</v>
      </c>
      <c r="X49" s="23" t="s">
        <v>18</v>
      </c>
      <c r="Y49" s="23" t="s">
        <v>18</v>
      </c>
      <c r="Z49" s="23" t="s">
        <v>18</v>
      </c>
      <c r="AA49" s="23" t="s">
        <v>18</v>
      </c>
      <c r="AB49" s="23" t="s">
        <v>18</v>
      </c>
      <c r="AC49" s="23" t="s">
        <v>18</v>
      </c>
      <c r="AD49" s="23" t="s">
        <v>18</v>
      </c>
      <c r="AE49" s="23" t="s">
        <v>18</v>
      </c>
      <c r="AF49" s="23" t="s">
        <v>18</v>
      </c>
      <c r="AG49" s="23" t="s">
        <v>18</v>
      </c>
      <c r="AH49" s="23" t="s">
        <v>18</v>
      </c>
      <c r="AI49" s="23" t="s">
        <v>18</v>
      </c>
      <c r="AJ49" s="23" t="s">
        <v>18</v>
      </c>
      <c r="AK49" s="23" t="s">
        <v>18</v>
      </c>
      <c r="AL49" s="23" t="s">
        <v>18</v>
      </c>
      <c r="AM49" s="24"/>
      <c r="AN49" s="24"/>
      <c r="AO49" s="24"/>
      <c r="AP49" s="25">
        <f t="shared" si="1"/>
        <v>35</v>
      </c>
      <c r="AQ49" s="25">
        <f t="shared" si="2"/>
        <v>0</v>
      </c>
      <c r="AR49" s="25">
        <f t="shared" si="3"/>
        <v>35</v>
      </c>
      <c r="AS49" s="26">
        <f t="shared" si="4"/>
        <v>100</v>
      </c>
      <c r="AT49" s="32"/>
    </row>
    <row r="50" ht="15.75" customHeight="1">
      <c r="A50" s="28">
        <v>40.0</v>
      </c>
      <c r="B50" s="29" t="s">
        <v>96</v>
      </c>
      <c r="C50" s="30" t="s">
        <v>97</v>
      </c>
      <c r="D50" s="23" t="s">
        <v>19</v>
      </c>
      <c r="E50" s="23" t="s">
        <v>19</v>
      </c>
      <c r="F50" s="23" t="s">
        <v>19</v>
      </c>
      <c r="G50" s="23" t="s">
        <v>19</v>
      </c>
      <c r="H50" s="23" t="s">
        <v>19</v>
      </c>
      <c r="I50" s="23" t="s">
        <v>19</v>
      </c>
      <c r="J50" s="23" t="s">
        <v>19</v>
      </c>
      <c r="K50" s="23" t="s">
        <v>19</v>
      </c>
      <c r="L50" s="23" t="s">
        <v>19</v>
      </c>
      <c r="M50" s="23" t="s">
        <v>19</v>
      </c>
      <c r="N50" s="23" t="s">
        <v>19</v>
      </c>
      <c r="O50" s="23" t="s">
        <v>19</v>
      </c>
      <c r="P50" s="23" t="s">
        <v>19</v>
      </c>
      <c r="Q50" s="23" t="s">
        <v>19</v>
      </c>
      <c r="R50" s="23" t="s">
        <v>19</v>
      </c>
      <c r="S50" s="23" t="s">
        <v>19</v>
      </c>
      <c r="T50" s="23" t="s">
        <v>19</v>
      </c>
      <c r="U50" s="23" t="s">
        <v>19</v>
      </c>
      <c r="V50" s="23" t="s">
        <v>19</v>
      </c>
      <c r="W50" s="23" t="s">
        <v>19</v>
      </c>
      <c r="X50" s="23" t="s">
        <v>19</v>
      </c>
      <c r="Y50" s="23" t="s">
        <v>19</v>
      </c>
      <c r="Z50" s="23" t="s">
        <v>19</v>
      </c>
      <c r="AA50" s="23" t="s">
        <v>19</v>
      </c>
      <c r="AB50" s="23" t="s">
        <v>19</v>
      </c>
      <c r="AC50" s="23" t="s">
        <v>19</v>
      </c>
      <c r="AD50" s="23" t="s">
        <v>19</v>
      </c>
      <c r="AE50" s="23" t="s">
        <v>19</v>
      </c>
      <c r="AF50" s="23" t="s">
        <v>19</v>
      </c>
      <c r="AG50" s="23" t="s">
        <v>19</v>
      </c>
      <c r="AH50" s="23" t="s">
        <v>19</v>
      </c>
      <c r="AI50" s="23" t="s">
        <v>19</v>
      </c>
      <c r="AJ50" s="23" t="s">
        <v>19</v>
      </c>
      <c r="AK50" s="23" t="s">
        <v>19</v>
      </c>
      <c r="AL50" s="23" t="s">
        <v>19</v>
      </c>
      <c r="AM50" s="24"/>
      <c r="AN50" s="24"/>
      <c r="AO50" s="24"/>
      <c r="AP50" s="25">
        <f t="shared" si="1"/>
        <v>0</v>
      </c>
      <c r="AQ50" s="25">
        <f t="shared" si="2"/>
        <v>35</v>
      </c>
      <c r="AR50" s="25">
        <f t="shared" si="3"/>
        <v>35</v>
      </c>
      <c r="AS50" s="26">
        <f t="shared" si="4"/>
        <v>0</v>
      </c>
      <c r="AT50" s="32"/>
    </row>
    <row r="51" ht="15.75" customHeight="1">
      <c r="A51" s="28">
        <v>41.0</v>
      </c>
      <c r="B51" s="29" t="s">
        <v>98</v>
      </c>
      <c r="C51" s="30" t="s">
        <v>99</v>
      </c>
      <c r="D51" s="23" t="s">
        <v>18</v>
      </c>
      <c r="E51" s="23" t="s">
        <v>18</v>
      </c>
      <c r="F51" s="23" t="s">
        <v>18</v>
      </c>
      <c r="G51" s="23" t="s">
        <v>18</v>
      </c>
      <c r="H51" s="23" t="s">
        <v>18</v>
      </c>
      <c r="I51" s="23" t="s">
        <v>18</v>
      </c>
      <c r="J51" s="23" t="s">
        <v>18</v>
      </c>
      <c r="K51" s="23" t="s">
        <v>18</v>
      </c>
      <c r="L51" s="23" t="s">
        <v>18</v>
      </c>
      <c r="M51" s="23" t="s">
        <v>18</v>
      </c>
      <c r="N51" s="23" t="s">
        <v>18</v>
      </c>
      <c r="O51" s="23" t="s">
        <v>18</v>
      </c>
      <c r="P51" s="23" t="s">
        <v>18</v>
      </c>
      <c r="Q51" s="23" t="s">
        <v>18</v>
      </c>
      <c r="R51" s="23" t="s">
        <v>18</v>
      </c>
      <c r="S51" s="23" t="s">
        <v>18</v>
      </c>
      <c r="T51" s="23" t="s">
        <v>18</v>
      </c>
      <c r="U51" s="23" t="s">
        <v>18</v>
      </c>
      <c r="V51" s="23" t="s">
        <v>18</v>
      </c>
      <c r="W51" s="23" t="s">
        <v>18</v>
      </c>
      <c r="X51" s="23" t="s">
        <v>18</v>
      </c>
      <c r="Y51" s="23" t="s">
        <v>18</v>
      </c>
      <c r="Z51" s="23" t="s">
        <v>18</v>
      </c>
      <c r="AA51" s="23" t="s">
        <v>18</v>
      </c>
      <c r="AB51" s="23" t="s">
        <v>18</v>
      </c>
      <c r="AC51" s="23" t="s">
        <v>18</v>
      </c>
      <c r="AD51" s="23" t="s">
        <v>18</v>
      </c>
      <c r="AE51" s="23" t="s">
        <v>18</v>
      </c>
      <c r="AF51" s="23" t="s">
        <v>18</v>
      </c>
      <c r="AG51" s="23" t="s">
        <v>18</v>
      </c>
      <c r="AH51" s="23" t="s">
        <v>18</v>
      </c>
      <c r="AI51" s="23" t="s">
        <v>18</v>
      </c>
      <c r="AJ51" s="23" t="s">
        <v>18</v>
      </c>
      <c r="AK51" s="23" t="s">
        <v>18</v>
      </c>
      <c r="AL51" s="23" t="s">
        <v>18</v>
      </c>
      <c r="AM51" s="24"/>
      <c r="AN51" s="24"/>
      <c r="AO51" s="24"/>
      <c r="AP51" s="25">
        <f t="shared" si="1"/>
        <v>35</v>
      </c>
      <c r="AQ51" s="25">
        <f t="shared" si="2"/>
        <v>0</v>
      </c>
      <c r="AR51" s="25">
        <f t="shared" si="3"/>
        <v>35</v>
      </c>
      <c r="AS51" s="26">
        <f t="shared" si="4"/>
        <v>100</v>
      </c>
      <c r="AT51" s="32"/>
    </row>
    <row r="52" ht="15.75" customHeight="1">
      <c r="A52" s="28">
        <v>42.0</v>
      </c>
      <c r="B52" s="29" t="s">
        <v>100</v>
      </c>
      <c r="C52" s="30" t="s">
        <v>101</v>
      </c>
      <c r="D52" s="23" t="s">
        <v>18</v>
      </c>
      <c r="E52" s="23" t="s">
        <v>18</v>
      </c>
      <c r="F52" s="23" t="s">
        <v>18</v>
      </c>
      <c r="G52" s="23" t="s">
        <v>18</v>
      </c>
      <c r="H52" s="23" t="s">
        <v>18</v>
      </c>
      <c r="I52" s="23" t="s">
        <v>18</v>
      </c>
      <c r="J52" s="23" t="s">
        <v>18</v>
      </c>
      <c r="K52" s="23" t="s">
        <v>18</v>
      </c>
      <c r="L52" s="23" t="s">
        <v>18</v>
      </c>
      <c r="M52" s="23" t="s">
        <v>18</v>
      </c>
      <c r="N52" s="23" t="s">
        <v>18</v>
      </c>
      <c r="O52" s="23" t="s">
        <v>18</v>
      </c>
      <c r="P52" s="23" t="s">
        <v>18</v>
      </c>
      <c r="Q52" s="23" t="s">
        <v>18</v>
      </c>
      <c r="R52" s="23" t="s">
        <v>18</v>
      </c>
      <c r="S52" s="23" t="s">
        <v>18</v>
      </c>
      <c r="T52" s="23" t="s">
        <v>18</v>
      </c>
      <c r="U52" s="23" t="s">
        <v>18</v>
      </c>
      <c r="V52" s="23" t="s">
        <v>18</v>
      </c>
      <c r="W52" s="23" t="s">
        <v>18</v>
      </c>
      <c r="X52" s="23" t="s">
        <v>18</v>
      </c>
      <c r="Y52" s="23" t="s">
        <v>18</v>
      </c>
      <c r="Z52" s="23" t="s">
        <v>18</v>
      </c>
      <c r="AA52" s="23" t="s">
        <v>18</v>
      </c>
      <c r="AB52" s="23" t="s">
        <v>18</v>
      </c>
      <c r="AC52" s="23" t="s">
        <v>18</v>
      </c>
      <c r="AD52" s="23" t="s">
        <v>18</v>
      </c>
      <c r="AE52" s="23" t="s">
        <v>18</v>
      </c>
      <c r="AF52" s="23" t="s">
        <v>18</v>
      </c>
      <c r="AG52" s="23" t="s">
        <v>18</v>
      </c>
      <c r="AH52" s="23" t="s">
        <v>19</v>
      </c>
      <c r="AI52" s="23" t="s">
        <v>18</v>
      </c>
      <c r="AJ52" s="23" t="s">
        <v>18</v>
      </c>
      <c r="AK52" s="23" t="s">
        <v>18</v>
      </c>
      <c r="AL52" s="23" t="s">
        <v>18</v>
      </c>
      <c r="AM52" s="24"/>
      <c r="AN52" s="24"/>
      <c r="AO52" s="24"/>
      <c r="AP52" s="25">
        <f t="shared" si="1"/>
        <v>34</v>
      </c>
      <c r="AQ52" s="25">
        <f t="shared" si="2"/>
        <v>1</v>
      </c>
      <c r="AR52" s="25">
        <f t="shared" si="3"/>
        <v>35</v>
      </c>
      <c r="AS52" s="26">
        <f t="shared" si="4"/>
        <v>97.14285714</v>
      </c>
      <c r="AT52" s="32"/>
    </row>
    <row r="53" ht="15.75" customHeight="1">
      <c r="A53" s="28">
        <v>43.0</v>
      </c>
      <c r="B53" s="29" t="s">
        <v>102</v>
      </c>
      <c r="C53" s="30" t="s">
        <v>103</v>
      </c>
      <c r="D53" s="23" t="s">
        <v>19</v>
      </c>
      <c r="E53" s="23" t="s">
        <v>19</v>
      </c>
      <c r="F53" s="23" t="s">
        <v>19</v>
      </c>
      <c r="G53" s="23" t="s">
        <v>19</v>
      </c>
      <c r="H53" s="23" t="s">
        <v>19</v>
      </c>
      <c r="I53" s="23" t="s">
        <v>19</v>
      </c>
      <c r="J53" s="23" t="s">
        <v>19</v>
      </c>
      <c r="K53" s="23" t="s">
        <v>19</v>
      </c>
      <c r="L53" s="23" t="s">
        <v>19</v>
      </c>
      <c r="M53" s="23" t="s">
        <v>19</v>
      </c>
      <c r="N53" s="23" t="s">
        <v>19</v>
      </c>
      <c r="O53" s="23" t="s">
        <v>19</v>
      </c>
      <c r="P53" s="23" t="s">
        <v>19</v>
      </c>
      <c r="Q53" s="23" t="s">
        <v>19</v>
      </c>
      <c r="R53" s="23" t="s">
        <v>19</v>
      </c>
      <c r="S53" s="23" t="s">
        <v>19</v>
      </c>
      <c r="T53" s="23" t="s">
        <v>19</v>
      </c>
      <c r="U53" s="23" t="s">
        <v>19</v>
      </c>
      <c r="V53" s="23" t="s">
        <v>19</v>
      </c>
      <c r="W53" s="23" t="s">
        <v>19</v>
      </c>
      <c r="X53" s="23" t="s">
        <v>19</v>
      </c>
      <c r="Y53" s="23" t="s">
        <v>19</v>
      </c>
      <c r="Z53" s="23" t="s">
        <v>19</v>
      </c>
      <c r="AA53" s="23" t="s">
        <v>19</v>
      </c>
      <c r="AB53" s="23" t="s">
        <v>19</v>
      </c>
      <c r="AC53" s="23" t="s">
        <v>19</v>
      </c>
      <c r="AD53" s="23" t="s">
        <v>19</v>
      </c>
      <c r="AE53" s="23" t="s">
        <v>19</v>
      </c>
      <c r="AF53" s="23" t="s">
        <v>19</v>
      </c>
      <c r="AG53" s="23" t="s">
        <v>19</v>
      </c>
      <c r="AH53" s="23" t="s">
        <v>19</v>
      </c>
      <c r="AI53" s="23" t="s">
        <v>19</v>
      </c>
      <c r="AJ53" s="23" t="s">
        <v>19</v>
      </c>
      <c r="AK53" s="23" t="s">
        <v>19</v>
      </c>
      <c r="AL53" s="23" t="s">
        <v>19</v>
      </c>
      <c r="AM53" s="24"/>
      <c r="AN53" s="24"/>
      <c r="AO53" s="24"/>
      <c r="AP53" s="25">
        <f t="shared" si="1"/>
        <v>0</v>
      </c>
      <c r="AQ53" s="25">
        <f t="shared" si="2"/>
        <v>35</v>
      </c>
      <c r="AR53" s="25">
        <f t="shared" si="3"/>
        <v>35</v>
      </c>
      <c r="AS53" s="26">
        <f t="shared" si="4"/>
        <v>0</v>
      </c>
      <c r="AT53" s="32"/>
    </row>
    <row r="54" ht="15.75" customHeight="1">
      <c r="A54" s="28">
        <v>44.0</v>
      </c>
      <c r="B54" s="29" t="s">
        <v>104</v>
      </c>
      <c r="C54" s="30" t="s">
        <v>105</v>
      </c>
      <c r="D54" s="23" t="s">
        <v>18</v>
      </c>
      <c r="E54" s="23" t="s">
        <v>18</v>
      </c>
      <c r="F54" s="23" t="s">
        <v>18</v>
      </c>
      <c r="G54" s="23" t="s">
        <v>18</v>
      </c>
      <c r="H54" s="23" t="s">
        <v>18</v>
      </c>
      <c r="I54" s="23" t="s">
        <v>18</v>
      </c>
      <c r="J54" s="23" t="s">
        <v>18</v>
      </c>
      <c r="K54" s="23" t="s">
        <v>18</v>
      </c>
      <c r="L54" s="23" t="s">
        <v>18</v>
      </c>
      <c r="M54" s="23" t="s">
        <v>18</v>
      </c>
      <c r="N54" s="23" t="s">
        <v>18</v>
      </c>
      <c r="O54" s="23" t="s">
        <v>18</v>
      </c>
      <c r="P54" s="23" t="s">
        <v>18</v>
      </c>
      <c r="Q54" s="23" t="s">
        <v>18</v>
      </c>
      <c r="R54" s="23" t="s">
        <v>18</v>
      </c>
      <c r="S54" s="23" t="s">
        <v>18</v>
      </c>
      <c r="T54" s="23" t="s">
        <v>18</v>
      </c>
      <c r="U54" s="23" t="s">
        <v>18</v>
      </c>
      <c r="V54" s="23" t="s">
        <v>18</v>
      </c>
      <c r="W54" s="23" t="s">
        <v>18</v>
      </c>
      <c r="X54" s="23" t="s">
        <v>18</v>
      </c>
      <c r="Y54" s="23" t="s">
        <v>18</v>
      </c>
      <c r="Z54" s="23" t="s">
        <v>18</v>
      </c>
      <c r="AA54" s="23" t="s">
        <v>18</v>
      </c>
      <c r="AB54" s="23" t="s">
        <v>18</v>
      </c>
      <c r="AC54" s="23" t="s">
        <v>18</v>
      </c>
      <c r="AD54" s="23" t="s">
        <v>18</v>
      </c>
      <c r="AE54" s="23" t="s">
        <v>18</v>
      </c>
      <c r="AF54" s="23" t="s">
        <v>18</v>
      </c>
      <c r="AG54" s="23" t="s">
        <v>18</v>
      </c>
      <c r="AH54" s="23" t="s">
        <v>18</v>
      </c>
      <c r="AI54" s="23" t="s">
        <v>18</v>
      </c>
      <c r="AJ54" s="23" t="s">
        <v>18</v>
      </c>
      <c r="AK54" s="23" t="s">
        <v>18</v>
      </c>
      <c r="AL54" s="23" t="s">
        <v>18</v>
      </c>
      <c r="AM54" s="24"/>
      <c r="AN54" s="24"/>
      <c r="AO54" s="24"/>
      <c r="AP54" s="25">
        <f t="shared" si="1"/>
        <v>35</v>
      </c>
      <c r="AQ54" s="25">
        <f t="shared" si="2"/>
        <v>0</v>
      </c>
      <c r="AR54" s="25">
        <f t="shared" si="3"/>
        <v>35</v>
      </c>
      <c r="AS54" s="26">
        <f t="shared" si="4"/>
        <v>100</v>
      </c>
      <c r="AT54" s="32"/>
    </row>
    <row r="55" ht="15.75" customHeight="1">
      <c r="A55" s="28">
        <v>45.0</v>
      </c>
      <c r="B55" s="29" t="s">
        <v>106</v>
      </c>
      <c r="C55" s="30" t="s">
        <v>107</v>
      </c>
      <c r="D55" s="23" t="s">
        <v>18</v>
      </c>
      <c r="E55" s="23" t="s">
        <v>18</v>
      </c>
      <c r="F55" s="23" t="s">
        <v>18</v>
      </c>
      <c r="G55" s="23" t="s">
        <v>18</v>
      </c>
      <c r="H55" s="23" t="s">
        <v>18</v>
      </c>
      <c r="I55" s="23" t="s">
        <v>18</v>
      </c>
      <c r="J55" s="23" t="s">
        <v>18</v>
      </c>
      <c r="K55" s="23" t="s">
        <v>19</v>
      </c>
      <c r="L55" s="23" t="s">
        <v>18</v>
      </c>
      <c r="M55" s="23" t="s">
        <v>18</v>
      </c>
      <c r="N55" s="23" t="s">
        <v>18</v>
      </c>
      <c r="O55" s="23" t="s">
        <v>18</v>
      </c>
      <c r="P55" s="23" t="s">
        <v>18</v>
      </c>
      <c r="Q55" s="23" t="s">
        <v>18</v>
      </c>
      <c r="R55" s="23" t="s">
        <v>18</v>
      </c>
      <c r="S55" s="23" t="s">
        <v>18</v>
      </c>
      <c r="T55" s="23" t="s">
        <v>18</v>
      </c>
      <c r="U55" s="23" t="s">
        <v>18</v>
      </c>
      <c r="V55" s="23" t="s">
        <v>18</v>
      </c>
      <c r="W55" s="23" t="s">
        <v>18</v>
      </c>
      <c r="X55" s="23" t="s">
        <v>18</v>
      </c>
      <c r="Y55" s="23" t="s">
        <v>18</v>
      </c>
      <c r="Z55" s="23" t="s">
        <v>18</v>
      </c>
      <c r="AA55" s="23" t="s">
        <v>18</v>
      </c>
      <c r="AB55" s="23" t="s">
        <v>18</v>
      </c>
      <c r="AC55" s="23" t="s">
        <v>18</v>
      </c>
      <c r="AD55" s="23" t="s">
        <v>18</v>
      </c>
      <c r="AE55" s="23" t="s">
        <v>18</v>
      </c>
      <c r="AF55" s="23" t="s">
        <v>18</v>
      </c>
      <c r="AG55" s="23" t="s">
        <v>18</v>
      </c>
      <c r="AH55" s="23" t="s">
        <v>19</v>
      </c>
      <c r="AI55" s="23" t="s">
        <v>18</v>
      </c>
      <c r="AJ55" s="23" t="s">
        <v>18</v>
      </c>
      <c r="AK55" s="23" t="s">
        <v>18</v>
      </c>
      <c r="AL55" s="23" t="s">
        <v>18</v>
      </c>
      <c r="AM55" s="24"/>
      <c r="AN55" s="24"/>
      <c r="AO55" s="24"/>
      <c r="AP55" s="25">
        <f t="shared" si="1"/>
        <v>33</v>
      </c>
      <c r="AQ55" s="25">
        <f t="shared" si="2"/>
        <v>2</v>
      </c>
      <c r="AR55" s="25">
        <f t="shared" si="3"/>
        <v>35</v>
      </c>
      <c r="AS55" s="26">
        <f t="shared" si="4"/>
        <v>94.28571429</v>
      </c>
      <c r="AT55" s="32"/>
    </row>
    <row r="56" ht="15.75" customHeight="1">
      <c r="A56" s="28">
        <v>46.0</v>
      </c>
      <c r="B56" s="29" t="s">
        <v>108</v>
      </c>
      <c r="C56" s="30" t="s">
        <v>109</v>
      </c>
      <c r="D56" s="23" t="s">
        <v>18</v>
      </c>
      <c r="E56" s="23" t="s">
        <v>18</v>
      </c>
      <c r="F56" s="23" t="s">
        <v>18</v>
      </c>
      <c r="G56" s="23" t="s">
        <v>18</v>
      </c>
      <c r="H56" s="23" t="s">
        <v>18</v>
      </c>
      <c r="I56" s="23" t="s">
        <v>18</v>
      </c>
      <c r="J56" s="23" t="s">
        <v>18</v>
      </c>
      <c r="K56" s="23" t="s">
        <v>18</v>
      </c>
      <c r="L56" s="23" t="s">
        <v>18</v>
      </c>
      <c r="M56" s="23" t="s">
        <v>18</v>
      </c>
      <c r="N56" s="23" t="s">
        <v>18</v>
      </c>
      <c r="O56" s="23" t="s">
        <v>18</v>
      </c>
      <c r="P56" s="23" t="s">
        <v>18</v>
      </c>
      <c r="Q56" s="23" t="s">
        <v>18</v>
      </c>
      <c r="R56" s="23" t="s">
        <v>18</v>
      </c>
      <c r="S56" s="23" t="s">
        <v>18</v>
      </c>
      <c r="T56" s="23" t="s">
        <v>18</v>
      </c>
      <c r="U56" s="23" t="s">
        <v>18</v>
      </c>
      <c r="V56" s="23" t="s">
        <v>18</v>
      </c>
      <c r="W56" s="23" t="s">
        <v>18</v>
      </c>
      <c r="X56" s="23" t="s">
        <v>18</v>
      </c>
      <c r="Y56" s="23" t="s">
        <v>18</v>
      </c>
      <c r="Z56" s="23" t="s">
        <v>18</v>
      </c>
      <c r="AA56" s="23" t="s">
        <v>18</v>
      </c>
      <c r="AB56" s="23" t="s">
        <v>18</v>
      </c>
      <c r="AC56" s="23" t="s">
        <v>18</v>
      </c>
      <c r="AD56" s="23" t="s">
        <v>19</v>
      </c>
      <c r="AE56" s="23" t="s">
        <v>18</v>
      </c>
      <c r="AF56" s="23" t="s">
        <v>18</v>
      </c>
      <c r="AG56" s="23" t="s">
        <v>18</v>
      </c>
      <c r="AH56" s="23" t="s">
        <v>18</v>
      </c>
      <c r="AI56" s="23" t="s">
        <v>18</v>
      </c>
      <c r="AJ56" s="23" t="s">
        <v>18</v>
      </c>
      <c r="AK56" s="23" t="s">
        <v>18</v>
      </c>
      <c r="AL56" s="23" t="s">
        <v>18</v>
      </c>
      <c r="AM56" s="24"/>
      <c r="AN56" s="24"/>
      <c r="AO56" s="24"/>
      <c r="AP56" s="25">
        <f t="shared" si="1"/>
        <v>34</v>
      </c>
      <c r="AQ56" s="25">
        <f t="shared" si="2"/>
        <v>1</v>
      </c>
      <c r="AR56" s="25">
        <f t="shared" si="3"/>
        <v>35</v>
      </c>
      <c r="AS56" s="26">
        <f t="shared" si="4"/>
        <v>97.14285714</v>
      </c>
      <c r="AT56" s="32"/>
    </row>
    <row r="57" ht="15.75" customHeight="1">
      <c r="A57" s="28">
        <v>47.0</v>
      </c>
      <c r="B57" s="29" t="s">
        <v>110</v>
      </c>
      <c r="C57" s="30" t="s">
        <v>111</v>
      </c>
      <c r="D57" s="23" t="s">
        <v>18</v>
      </c>
      <c r="E57" s="23" t="s">
        <v>18</v>
      </c>
      <c r="F57" s="23" t="s">
        <v>18</v>
      </c>
      <c r="G57" s="23" t="s">
        <v>18</v>
      </c>
      <c r="H57" s="23" t="s">
        <v>18</v>
      </c>
      <c r="I57" s="23" t="s">
        <v>18</v>
      </c>
      <c r="J57" s="23" t="s">
        <v>18</v>
      </c>
      <c r="K57" s="23" t="s">
        <v>18</v>
      </c>
      <c r="L57" s="23" t="s">
        <v>18</v>
      </c>
      <c r="M57" s="23" t="s">
        <v>18</v>
      </c>
      <c r="N57" s="23" t="s">
        <v>18</v>
      </c>
      <c r="O57" s="23" t="s">
        <v>18</v>
      </c>
      <c r="P57" s="23" t="s">
        <v>18</v>
      </c>
      <c r="Q57" s="23" t="s">
        <v>18</v>
      </c>
      <c r="R57" s="23" t="s">
        <v>18</v>
      </c>
      <c r="S57" s="23" t="s">
        <v>18</v>
      </c>
      <c r="T57" s="23" t="s">
        <v>18</v>
      </c>
      <c r="U57" s="23" t="s">
        <v>18</v>
      </c>
      <c r="V57" s="23" t="s">
        <v>18</v>
      </c>
      <c r="W57" s="23" t="s">
        <v>18</v>
      </c>
      <c r="X57" s="23" t="s">
        <v>18</v>
      </c>
      <c r="Y57" s="23" t="s">
        <v>18</v>
      </c>
      <c r="Z57" s="23" t="s">
        <v>18</v>
      </c>
      <c r="AA57" s="23" t="s">
        <v>18</v>
      </c>
      <c r="AB57" s="23" t="s">
        <v>18</v>
      </c>
      <c r="AC57" s="23" t="s">
        <v>19</v>
      </c>
      <c r="AD57" s="23" t="s">
        <v>19</v>
      </c>
      <c r="AE57" s="23" t="s">
        <v>18</v>
      </c>
      <c r="AF57" s="23" t="s">
        <v>18</v>
      </c>
      <c r="AG57" s="23" t="s">
        <v>18</v>
      </c>
      <c r="AH57" s="23" t="s">
        <v>18</v>
      </c>
      <c r="AI57" s="23" t="s">
        <v>18</v>
      </c>
      <c r="AJ57" s="23" t="s">
        <v>18</v>
      </c>
      <c r="AK57" s="23" t="s">
        <v>18</v>
      </c>
      <c r="AL57" s="23" t="s">
        <v>18</v>
      </c>
      <c r="AM57" s="24"/>
      <c r="AN57" s="24"/>
      <c r="AO57" s="24"/>
      <c r="AP57" s="25">
        <f t="shared" si="1"/>
        <v>33</v>
      </c>
      <c r="AQ57" s="25">
        <f t="shared" si="2"/>
        <v>2</v>
      </c>
      <c r="AR57" s="25">
        <f t="shared" si="3"/>
        <v>35</v>
      </c>
      <c r="AS57" s="26">
        <f t="shared" si="4"/>
        <v>94.28571429</v>
      </c>
      <c r="AT57" s="32"/>
    </row>
    <row r="58" ht="15.75" customHeight="1">
      <c r="A58" s="28">
        <v>48.0</v>
      </c>
      <c r="B58" s="29" t="s">
        <v>112</v>
      </c>
      <c r="C58" s="30" t="s">
        <v>113</v>
      </c>
      <c r="D58" s="23" t="s">
        <v>18</v>
      </c>
      <c r="E58" s="23" t="s">
        <v>18</v>
      </c>
      <c r="F58" s="23" t="s">
        <v>18</v>
      </c>
      <c r="G58" s="23" t="s">
        <v>18</v>
      </c>
      <c r="H58" s="23" t="s">
        <v>18</v>
      </c>
      <c r="I58" s="23" t="s">
        <v>18</v>
      </c>
      <c r="J58" s="23" t="s">
        <v>18</v>
      </c>
      <c r="K58" s="23" t="s">
        <v>18</v>
      </c>
      <c r="L58" s="23" t="s">
        <v>18</v>
      </c>
      <c r="M58" s="23" t="s">
        <v>18</v>
      </c>
      <c r="N58" s="23" t="s">
        <v>18</v>
      </c>
      <c r="O58" s="23" t="s">
        <v>18</v>
      </c>
      <c r="P58" s="23" t="s">
        <v>18</v>
      </c>
      <c r="Q58" s="23" t="s">
        <v>18</v>
      </c>
      <c r="R58" s="23" t="s">
        <v>18</v>
      </c>
      <c r="S58" s="23" t="s">
        <v>18</v>
      </c>
      <c r="T58" s="23" t="s">
        <v>18</v>
      </c>
      <c r="U58" s="23" t="s">
        <v>18</v>
      </c>
      <c r="V58" s="23" t="s">
        <v>18</v>
      </c>
      <c r="W58" s="23" t="s">
        <v>18</v>
      </c>
      <c r="X58" s="23" t="s">
        <v>18</v>
      </c>
      <c r="Y58" s="23" t="s">
        <v>18</v>
      </c>
      <c r="Z58" s="23" t="s">
        <v>18</v>
      </c>
      <c r="AA58" s="23" t="s">
        <v>18</v>
      </c>
      <c r="AB58" s="23" t="s">
        <v>18</v>
      </c>
      <c r="AC58" s="23" t="s">
        <v>18</v>
      </c>
      <c r="AD58" s="23" t="s">
        <v>18</v>
      </c>
      <c r="AE58" s="23" t="s">
        <v>18</v>
      </c>
      <c r="AF58" s="23" t="s">
        <v>18</v>
      </c>
      <c r="AG58" s="23" t="s">
        <v>18</v>
      </c>
      <c r="AH58" s="23" t="s">
        <v>18</v>
      </c>
      <c r="AI58" s="23" t="s">
        <v>18</v>
      </c>
      <c r="AJ58" s="23" t="s">
        <v>18</v>
      </c>
      <c r="AK58" s="23" t="s">
        <v>18</v>
      </c>
      <c r="AL58" s="23" t="s">
        <v>18</v>
      </c>
      <c r="AM58" s="24"/>
      <c r="AN58" s="24"/>
      <c r="AO58" s="24"/>
      <c r="AP58" s="25">
        <f t="shared" si="1"/>
        <v>35</v>
      </c>
      <c r="AQ58" s="25">
        <f t="shared" si="2"/>
        <v>0</v>
      </c>
      <c r="AR58" s="25">
        <f t="shared" si="3"/>
        <v>35</v>
      </c>
      <c r="AS58" s="26">
        <f t="shared" si="4"/>
        <v>100</v>
      </c>
      <c r="AT58" s="32"/>
    </row>
    <row r="59" ht="15.75" customHeight="1">
      <c r="A59" s="28">
        <v>49.0</v>
      </c>
      <c r="B59" s="29" t="s">
        <v>114</v>
      </c>
      <c r="C59" s="30" t="s">
        <v>115</v>
      </c>
      <c r="D59" s="23" t="s">
        <v>18</v>
      </c>
      <c r="E59" s="23" t="s">
        <v>18</v>
      </c>
      <c r="F59" s="23" t="s">
        <v>18</v>
      </c>
      <c r="G59" s="23" t="s">
        <v>18</v>
      </c>
      <c r="H59" s="23" t="s">
        <v>18</v>
      </c>
      <c r="I59" s="23" t="s">
        <v>18</v>
      </c>
      <c r="J59" s="23" t="s">
        <v>18</v>
      </c>
      <c r="K59" s="23" t="s">
        <v>18</v>
      </c>
      <c r="L59" s="23" t="s">
        <v>18</v>
      </c>
      <c r="M59" s="23" t="s">
        <v>18</v>
      </c>
      <c r="N59" s="23" t="s">
        <v>18</v>
      </c>
      <c r="O59" s="23" t="s">
        <v>19</v>
      </c>
      <c r="P59" s="23" t="s">
        <v>18</v>
      </c>
      <c r="Q59" s="23" t="s">
        <v>18</v>
      </c>
      <c r="R59" s="23" t="s">
        <v>18</v>
      </c>
      <c r="S59" s="23" t="s">
        <v>18</v>
      </c>
      <c r="T59" s="23" t="s">
        <v>18</v>
      </c>
      <c r="U59" s="23" t="s">
        <v>18</v>
      </c>
      <c r="V59" s="23" t="s">
        <v>18</v>
      </c>
      <c r="W59" s="23" t="s">
        <v>18</v>
      </c>
      <c r="X59" s="23" t="s">
        <v>18</v>
      </c>
      <c r="Y59" s="23" t="s">
        <v>18</v>
      </c>
      <c r="Z59" s="23" t="s">
        <v>18</v>
      </c>
      <c r="AA59" s="23" t="s">
        <v>18</v>
      </c>
      <c r="AB59" s="23" t="s">
        <v>18</v>
      </c>
      <c r="AC59" s="23" t="s">
        <v>18</v>
      </c>
      <c r="AD59" s="23" t="s">
        <v>18</v>
      </c>
      <c r="AE59" s="23" t="s">
        <v>18</v>
      </c>
      <c r="AF59" s="23" t="s">
        <v>18</v>
      </c>
      <c r="AG59" s="23" t="s">
        <v>18</v>
      </c>
      <c r="AH59" s="23" t="s">
        <v>18</v>
      </c>
      <c r="AI59" s="23" t="s">
        <v>18</v>
      </c>
      <c r="AJ59" s="23" t="s">
        <v>18</v>
      </c>
      <c r="AK59" s="23" t="s">
        <v>18</v>
      </c>
      <c r="AL59" s="23" t="s">
        <v>18</v>
      </c>
      <c r="AM59" s="24"/>
      <c r="AN59" s="24"/>
      <c r="AO59" s="24"/>
      <c r="AP59" s="25">
        <f t="shared" si="1"/>
        <v>34</v>
      </c>
      <c r="AQ59" s="25">
        <f t="shared" si="2"/>
        <v>1</v>
      </c>
      <c r="AR59" s="25">
        <f t="shared" si="3"/>
        <v>35</v>
      </c>
      <c r="AS59" s="26">
        <f t="shared" si="4"/>
        <v>97.14285714</v>
      </c>
      <c r="AT59" s="32"/>
    </row>
    <row r="60" ht="15.75" customHeight="1">
      <c r="A60" s="28">
        <v>50.0</v>
      </c>
      <c r="B60" s="29" t="s">
        <v>116</v>
      </c>
      <c r="C60" s="30" t="s">
        <v>117</v>
      </c>
      <c r="D60" s="23" t="s">
        <v>18</v>
      </c>
      <c r="E60" s="23" t="s">
        <v>18</v>
      </c>
      <c r="F60" s="23" t="s">
        <v>18</v>
      </c>
      <c r="G60" s="23" t="s">
        <v>18</v>
      </c>
      <c r="H60" s="23" t="s">
        <v>18</v>
      </c>
      <c r="I60" s="23" t="s">
        <v>18</v>
      </c>
      <c r="J60" s="23" t="s">
        <v>18</v>
      </c>
      <c r="K60" s="23" t="s">
        <v>18</v>
      </c>
      <c r="L60" s="23" t="s">
        <v>18</v>
      </c>
      <c r="M60" s="23" t="s">
        <v>18</v>
      </c>
      <c r="N60" s="23" t="s">
        <v>18</v>
      </c>
      <c r="O60" s="23" t="s">
        <v>19</v>
      </c>
      <c r="P60" s="23" t="s">
        <v>18</v>
      </c>
      <c r="Q60" s="23" t="s">
        <v>18</v>
      </c>
      <c r="R60" s="23" t="s">
        <v>18</v>
      </c>
      <c r="S60" s="23" t="s">
        <v>18</v>
      </c>
      <c r="T60" s="23" t="s">
        <v>18</v>
      </c>
      <c r="U60" s="23" t="s">
        <v>18</v>
      </c>
      <c r="V60" s="23" t="s">
        <v>18</v>
      </c>
      <c r="W60" s="23" t="s">
        <v>18</v>
      </c>
      <c r="X60" s="23" t="s">
        <v>18</v>
      </c>
      <c r="Y60" s="23" t="s">
        <v>18</v>
      </c>
      <c r="Z60" s="23" t="s">
        <v>18</v>
      </c>
      <c r="AA60" s="23" t="s">
        <v>18</v>
      </c>
      <c r="AB60" s="23" t="s">
        <v>18</v>
      </c>
      <c r="AC60" s="23" t="s">
        <v>18</v>
      </c>
      <c r="AD60" s="23" t="s">
        <v>18</v>
      </c>
      <c r="AE60" s="23" t="s">
        <v>18</v>
      </c>
      <c r="AF60" s="23" t="s">
        <v>18</v>
      </c>
      <c r="AG60" s="23" t="s">
        <v>18</v>
      </c>
      <c r="AH60" s="23" t="s">
        <v>18</v>
      </c>
      <c r="AI60" s="23" t="s">
        <v>18</v>
      </c>
      <c r="AJ60" s="23" t="s">
        <v>18</v>
      </c>
      <c r="AK60" s="23" t="s">
        <v>18</v>
      </c>
      <c r="AL60" s="23" t="s">
        <v>18</v>
      </c>
      <c r="AM60" s="24"/>
      <c r="AN60" s="24"/>
      <c r="AO60" s="24"/>
      <c r="AP60" s="25">
        <f t="shared" si="1"/>
        <v>34</v>
      </c>
      <c r="AQ60" s="25">
        <f t="shared" si="2"/>
        <v>1</v>
      </c>
      <c r="AR60" s="25">
        <f t="shared" si="3"/>
        <v>35</v>
      </c>
      <c r="AS60" s="26">
        <f t="shared" si="4"/>
        <v>97.14285714</v>
      </c>
      <c r="AT60" s="32"/>
    </row>
    <row r="61" ht="15.75" customHeight="1">
      <c r="A61" s="28">
        <v>51.0</v>
      </c>
      <c r="B61" s="29" t="s">
        <v>118</v>
      </c>
      <c r="C61" s="30" t="s">
        <v>119</v>
      </c>
      <c r="D61" s="23" t="s">
        <v>18</v>
      </c>
      <c r="E61" s="23" t="s">
        <v>18</v>
      </c>
      <c r="F61" s="23" t="s">
        <v>18</v>
      </c>
      <c r="G61" s="23" t="s">
        <v>18</v>
      </c>
      <c r="H61" s="23" t="s">
        <v>18</v>
      </c>
      <c r="I61" s="23" t="s">
        <v>18</v>
      </c>
      <c r="J61" s="23" t="s">
        <v>18</v>
      </c>
      <c r="K61" s="23" t="s">
        <v>18</v>
      </c>
      <c r="L61" s="23" t="s">
        <v>18</v>
      </c>
      <c r="M61" s="23" t="s">
        <v>18</v>
      </c>
      <c r="N61" s="23" t="s">
        <v>18</v>
      </c>
      <c r="O61" s="23" t="s">
        <v>19</v>
      </c>
      <c r="P61" s="23" t="s">
        <v>18</v>
      </c>
      <c r="Q61" s="23" t="s">
        <v>18</v>
      </c>
      <c r="R61" s="23" t="s">
        <v>18</v>
      </c>
      <c r="S61" s="23" t="s">
        <v>18</v>
      </c>
      <c r="T61" s="23" t="s">
        <v>18</v>
      </c>
      <c r="U61" s="23" t="s">
        <v>18</v>
      </c>
      <c r="V61" s="23" t="s">
        <v>18</v>
      </c>
      <c r="W61" s="23" t="s">
        <v>18</v>
      </c>
      <c r="X61" s="23" t="s">
        <v>18</v>
      </c>
      <c r="Y61" s="23" t="s">
        <v>18</v>
      </c>
      <c r="Z61" s="23" t="s">
        <v>18</v>
      </c>
      <c r="AA61" s="23" t="s">
        <v>18</v>
      </c>
      <c r="AB61" s="23" t="s">
        <v>18</v>
      </c>
      <c r="AC61" s="23" t="s">
        <v>18</v>
      </c>
      <c r="AD61" s="23" t="s">
        <v>18</v>
      </c>
      <c r="AE61" s="23" t="s">
        <v>18</v>
      </c>
      <c r="AF61" s="23" t="s">
        <v>18</v>
      </c>
      <c r="AG61" s="23" t="s">
        <v>18</v>
      </c>
      <c r="AH61" s="23" t="s">
        <v>18</v>
      </c>
      <c r="AI61" s="23" t="s">
        <v>18</v>
      </c>
      <c r="AJ61" s="23" t="s">
        <v>18</v>
      </c>
      <c r="AK61" s="23" t="s">
        <v>18</v>
      </c>
      <c r="AL61" s="23" t="s">
        <v>18</v>
      </c>
      <c r="AM61" s="24"/>
      <c r="AN61" s="24"/>
      <c r="AO61" s="24"/>
      <c r="AP61" s="25">
        <f t="shared" si="1"/>
        <v>34</v>
      </c>
      <c r="AQ61" s="25">
        <f t="shared" si="2"/>
        <v>1</v>
      </c>
      <c r="AR61" s="25">
        <f t="shared" si="3"/>
        <v>35</v>
      </c>
      <c r="AS61" s="26">
        <f t="shared" si="4"/>
        <v>97.14285714</v>
      </c>
      <c r="AT61" s="32"/>
    </row>
    <row r="62" ht="15.75" customHeight="1">
      <c r="A62" s="28">
        <v>52.0</v>
      </c>
      <c r="B62" s="29" t="s">
        <v>120</v>
      </c>
      <c r="C62" s="30" t="s">
        <v>121</v>
      </c>
      <c r="D62" s="23" t="s">
        <v>18</v>
      </c>
      <c r="E62" s="23" t="s">
        <v>18</v>
      </c>
      <c r="F62" s="23" t="s">
        <v>18</v>
      </c>
      <c r="G62" s="23" t="s">
        <v>18</v>
      </c>
      <c r="H62" s="23" t="s">
        <v>18</v>
      </c>
      <c r="I62" s="23" t="s">
        <v>18</v>
      </c>
      <c r="J62" s="23" t="s">
        <v>18</v>
      </c>
      <c r="K62" s="23" t="s">
        <v>18</v>
      </c>
      <c r="L62" s="23" t="s">
        <v>18</v>
      </c>
      <c r="M62" s="23" t="s">
        <v>18</v>
      </c>
      <c r="N62" s="23" t="s">
        <v>18</v>
      </c>
      <c r="O62" s="23" t="s">
        <v>18</v>
      </c>
      <c r="P62" s="23" t="s">
        <v>18</v>
      </c>
      <c r="Q62" s="23" t="s">
        <v>18</v>
      </c>
      <c r="R62" s="23" t="s">
        <v>18</v>
      </c>
      <c r="S62" s="23" t="s">
        <v>18</v>
      </c>
      <c r="T62" s="23" t="s">
        <v>18</v>
      </c>
      <c r="U62" s="23" t="s">
        <v>18</v>
      </c>
      <c r="V62" s="23" t="s">
        <v>18</v>
      </c>
      <c r="W62" s="23" t="s">
        <v>18</v>
      </c>
      <c r="X62" s="23" t="s">
        <v>18</v>
      </c>
      <c r="Y62" s="23" t="s">
        <v>18</v>
      </c>
      <c r="Z62" s="23" t="s">
        <v>18</v>
      </c>
      <c r="AA62" s="23" t="s">
        <v>18</v>
      </c>
      <c r="AB62" s="23" t="s">
        <v>18</v>
      </c>
      <c r="AC62" s="23" t="s">
        <v>18</v>
      </c>
      <c r="AD62" s="23" t="s">
        <v>18</v>
      </c>
      <c r="AE62" s="23" t="s">
        <v>18</v>
      </c>
      <c r="AF62" s="23" t="s">
        <v>18</v>
      </c>
      <c r="AG62" s="23" t="s">
        <v>18</v>
      </c>
      <c r="AH62" s="23" t="s">
        <v>18</v>
      </c>
      <c r="AI62" s="23" t="s">
        <v>18</v>
      </c>
      <c r="AJ62" s="23" t="s">
        <v>18</v>
      </c>
      <c r="AK62" s="23" t="s">
        <v>18</v>
      </c>
      <c r="AL62" s="23" t="s">
        <v>18</v>
      </c>
      <c r="AM62" s="24"/>
      <c r="AN62" s="24"/>
      <c r="AO62" s="24"/>
      <c r="AP62" s="25">
        <f t="shared" si="1"/>
        <v>35</v>
      </c>
      <c r="AQ62" s="25">
        <f t="shared" si="2"/>
        <v>0</v>
      </c>
      <c r="AR62" s="25">
        <f t="shared" si="3"/>
        <v>35</v>
      </c>
      <c r="AS62" s="26">
        <f t="shared" si="4"/>
        <v>100</v>
      </c>
      <c r="AT62" s="32"/>
    </row>
    <row r="63" ht="15.75" customHeight="1">
      <c r="A63" s="28">
        <v>53.0</v>
      </c>
      <c r="B63" s="29" t="s">
        <v>122</v>
      </c>
      <c r="C63" s="30" t="s">
        <v>123</v>
      </c>
      <c r="D63" s="23" t="s">
        <v>18</v>
      </c>
      <c r="E63" s="23" t="s">
        <v>18</v>
      </c>
      <c r="F63" s="23" t="s">
        <v>18</v>
      </c>
      <c r="G63" s="23" t="s">
        <v>18</v>
      </c>
      <c r="H63" s="23" t="s">
        <v>18</v>
      </c>
      <c r="I63" s="23" t="s">
        <v>18</v>
      </c>
      <c r="J63" s="23" t="s">
        <v>18</v>
      </c>
      <c r="K63" s="23" t="s">
        <v>18</v>
      </c>
      <c r="L63" s="23" t="s">
        <v>18</v>
      </c>
      <c r="M63" s="23" t="s">
        <v>18</v>
      </c>
      <c r="N63" s="23" t="s">
        <v>18</v>
      </c>
      <c r="O63" s="23" t="s">
        <v>18</v>
      </c>
      <c r="P63" s="23" t="s">
        <v>18</v>
      </c>
      <c r="Q63" s="23" t="s">
        <v>18</v>
      </c>
      <c r="R63" s="23" t="s">
        <v>18</v>
      </c>
      <c r="S63" s="23" t="s">
        <v>18</v>
      </c>
      <c r="T63" s="23" t="s">
        <v>18</v>
      </c>
      <c r="U63" s="23" t="s">
        <v>18</v>
      </c>
      <c r="V63" s="23" t="s">
        <v>18</v>
      </c>
      <c r="W63" s="23" t="s">
        <v>18</v>
      </c>
      <c r="X63" s="23" t="s">
        <v>18</v>
      </c>
      <c r="Y63" s="23" t="s">
        <v>18</v>
      </c>
      <c r="Z63" s="23" t="s">
        <v>18</v>
      </c>
      <c r="AA63" s="23" t="s">
        <v>18</v>
      </c>
      <c r="AB63" s="23" t="s">
        <v>18</v>
      </c>
      <c r="AC63" s="23" t="s">
        <v>18</v>
      </c>
      <c r="AD63" s="23" t="s">
        <v>18</v>
      </c>
      <c r="AE63" s="23" t="s">
        <v>18</v>
      </c>
      <c r="AF63" s="23" t="s">
        <v>18</v>
      </c>
      <c r="AG63" s="23" t="s">
        <v>18</v>
      </c>
      <c r="AH63" s="23" t="s">
        <v>18</v>
      </c>
      <c r="AI63" s="23" t="s">
        <v>18</v>
      </c>
      <c r="AJ63" s="23" t="s">
        <v>18</v>
      </c>
      <c r="AK63" s="23" t="s">
        <v>18</v>
      </c>
      <c r="AL63" s="23" t="s">
        <v>18</v>
      </c>
      <c r="AM63" s="24"/>
      <c r="AN63" s="24"/>
      <c r="AO63" s="24"/>
      <c r="AP63" s="25">
        <f t="shared" si="1"/>
        <v>35</v>
      </c>
      <c r="AQ63" s="25">
        <f t="shared" si="2"/>
        <v>0</v>
      </c>
      <c r="AR63" s="25">
        <f t="shared" si="3"/>
        <v>35</v>
      </c>
      <c r="AS63" s="26">
        <f t="shared" si="4"/>
        <v>100</v>
      </c>
      <c r="AT63" s="32"/>
    </row>
    <row r="64" ht="15.75" customHeight="1">
      <c r="A64" s="28">
        <v>54.0</v>
      </c>
      <c r="B64" s="29" t="s">
        <v>124</v>
      </c>
      <c r="C64" s="30" t="s">
        <v>125</v>
      </c>
      <c r="D64" s="23" t="s">
        <v>18</v>
      </c>
      <c r="E64" s="23" t="s">
        <v>18</v>
      </c>
      <c r="F64" s="23" t="s">
        <v>18</v>
      </c>
      <c r="G64" s="23" t="s">
        <v>18</v>
      </c>
      <c r="H64" s="23" t="s">
        <v>18</v>
      </c>
      <c r="I64" s="23" t="s">
        <v>18</v>
      </c>
      <c r="J64" s="23" t="s">
        <v>18</v>
      </c>
      <c r="K64" s="23" t="s">
        <v>19</v>
      </c>
      <c r="L64" s="23" t="s">
        <v>18</v>
      </c>
      <c r="M64" s="23" t="s">
        <v>18</v>
      </c>
      <c r="N64" s="23" t="s">
        <v>18</v>
      </c>
      <c r="O64" s="23" t="s">
        <v>18</v>
      </c>
      <c r="P64" s="23" t="s">
        <v>18</v>
      </c>
      <c r="Q64" s="23" t="s">
        <v>18</v>
      </c>
      <c r="R64" s="23" t="s">
        <v>18</v>
      </c>
      <c r="S64" s="23" t="s">
        <v>18</v>
      </c>
      <c r="T64" s="23" t="s">
        <v>18</v>
      </c>
      <c r="U64" s="23" t="s">
        <v>18</v>
      </c>
      <c r="V64" s="23" t="s">
        <v>18</v>
      </c>
      <c r="W64" s="23" t="s">
        <v>18</v>
      </c>
      <c r="X64" s="23" t="s">
        <v>18</v>
      </c>
      <c r="Y64" s="23" t="s">
        <v>18</v>
      </c>
      <c r="Z64" s="23" t="s">
        <v>18</v>
      </c>
      <c r="AA64" s="23" t="s">
        <v>18</v>
      </c>
      <c r="AB64" s="23" t="s">
        <v>18</v>
      </c>
      <c r="AC64" s="23" t="s">
        <v>18</v>
      </c>
      <c r="AD64" s="23" t="s">
        <v>18</v>
      </c>
      <c r="AE64" s="23" t="s">
        <v>18</v>
      </c>
      <c r="AF64" s="23" t="s">
        <v>18</v>
      </c>
      <c r="AG64" s="23" t="s">
        <v>18</v>
      </c>
      <c r="AH64" s="23" t="s">
        <v>18</v>
      </c>
      <c r="AI64" s="23" t="s">
        <v>18</v>
      </c>
      <c r="AJ64" s="23" t="s">
        <v>18</v>
      </c>
      <c r="AK64" s="23" t="s">
        <v>18</v>
      </c>
      <c r="AL64" s="23" t="s">
        <v>18</v>
      </c>
      <c r="AM64" s="24"/>
      <c r="AN64" s="24"/>
      <c r="AO64" s="24"/>
      <c r="AP64" s="25">
        <f t="shared" si="1"/>
        <v>34</v>
      </c>
      <c r="AQ64" s="25">
        <f t="shared" si="2"/>
        <v>1</v>
      </c>
      <c r="AR64" s="25">
        <f t="shared" si="3"/>
        <v>35</v>
      </c>
      <c r="AS64" s="26">
        <f t="shared" si="4"/>
        <v>97.14285714</v>
      </c>
      <c r="AT64" s="32"/>
    </row>
    <row r="65" ht="15.75" customHeight="1">
      <c r="A65" s="28">
        <v>55.0</v>
      </c>
      <c r="B65" s="29" t="s">
        <v>126</v>
      </c>
      <c r="C65" s="30" t="s">
        <v>127</v>
      </c>
      <c r="D65" s="23" t="s">
        <v>18</v>
      </c>
      <c r="E65" s="23" t="s">
        <v>18</v>
      </c>
      <c r="F65" s="23" t="s">
        <v>18</v>
      </c>
      <c r="G65" s="23" t="s">
        <v>18</v>
      </c>
      <c r="H65" s="23" t="s">
        <v>18</v>
      </c>
      <c r="I65" s="23" t="s">
        <v>18</v>
      </c>
      <c r="J65" s="23" t="s">
        <v>18</v>
      </c>
      <c r="K65" s="23" t="s">
        <v>19</v>
      </c>
      <c r="L65" s="23" t="s">
        <v>18</v>
      </c>
      <c r="M65" s="23" t="s">
        <v>18</v>
      </c>
      <c r="N65" s="23" t="s">
        <v>18</v>
      </c>
      <c r="O65" s="23" t="s">
        <v>18</v>
      </c>
      <c r="P65" s="23" t="s">
        <v>18</v>
      </c>
      <c r="Q65" s="23" t="s">
        <v>18</v>
      </c>
      <c r="R65" s="23" t="s">
        <v>18</v>
      </c>
      <c r="S65" s="23" t="s">
        <v>18</v>
      </c>
      <c r="T65" s="23" t="s">
        <v>18</v>
      </c>
      <c r="U65" s="23" t="s">
        <v>18</v>
      </c>
      <c r="V65" s="23" t="s">
        <v>18</v>
      </c>
      <c r="W65" s="23" t="s">
        <v>18</v>
      </c>
      <c r="X65" s="23" t="s">
        <v>18</v>
      </c>
      <c r="Y65" s="23" t="s">
        <v>18</v>
      </c>
      <c r="Z65" s="23" t="s">
        <v>18</v>
      </c>
      <c r="AA65" s="23" t="s">
        <v>18</v>
      </c>
      <c r="AB65" s="23" t="s">
        <v>18</v>
      </c>
      <c r="AC65" s="23" t="s">
        <v>18</v>
      </c>
      <c r="AD65" s="23" t="s">
        <v>18</v>
      </c>
      <c r="AE65" s="23" t="s">
        <v>18</v>
      </c>
      <c r="AF65" s="23" t="s">
        <v>18</v>
      </c>
      <c r="AG65" s="23" t="s">
        <v>18</v>
      </c>
      <c r="AH65" s="23" t="s">
        <v>18</v>
      </c>
      <c r="AI65" s="23" t="s">
        <v>18</v>
      </c>
      <c r="AJ65" s="23" t="s">
        <v>18</v>
      </c>
      <c r="AK65" s="23" t="s">
        <v>18</v>
      </c>
      <c r="AL65" s="23" t="s">
        <v>18</v>
      </c>
      <c r="AM65" s="24"/>
      <c r="AN65" s="24"/>
      <c r="AO65" s="24"/>
      <c r="AP65" s="25">
        <f t="shared" si="1"/>
        <v>34</v>
      </c>
      <c r="AQ65" s="25">
        <f t="shared" si="2"/>
        <v>1</v>
      </c>
      <c r="AR65" s="25">
        <f t="shared" si="3"/>
        <v>35</v>
      </c>
      <c r="AS65" s="26">
        <f t="shared" si="4"/>
        <v>97.14285714</v>
      </c>
      <c r="AT65" s="32"/>
    </row>
    <row r="66" ht="15.75" customHeight="1">
      <c r="A66" s="28">
        <v>56.0</v>
      </c>
      <c r="B66" s="29" t="s">
        <v>128</v>
      </c>
      <c r="C66" s="30" t="s">
        <v>129</v>
      </c>
      <c r="D66" s="23" t="s">
        <v>18</v>
      </c>
      <c r="E66" s="23" t="s">
        <v>18</v>
      </c>
      <c r="F66" s="23" t="s">
        <v>18</v>
      </c>
      <c r="G66" s="23" t="s">
        <v>18</v>
      </c>
      <c r="H66" s="23" t="s">
        <v>18</v>
      </c>
      <c r="I66" s="23" t="s">
        <v>18</v>
      </c>
      <c r="J66" s="23" t="s">
        <v>18</v>
      </c>
      <c r="K66" s="23" t="s">
        <v>18</v>
      </c>
      <c r="L66" s="23" t="s">
        <v>18</v>
      </c>
      <c r="M66" s="23" t="s">
        <v>18</v>
      </c>
      <c r="N66" s="23" t="s">
        <v>18</v>
      </c>
      <c r="O66" s="23" t="s">
        <v>18</v>
      </c>
      <c r="P66" s="23" t="s">
        <v>18</v>
      </c>
      <c r="Q66" s="23" t="s">
        <v>18</v>
      </c>
      <c r="R66" s="23" t="s">
        <v>18</v>
      </c>
      <c r="S66" s="23" t="s">
        <v>18</v>
      </c>
      <c r="T66" s="23" t="s">
        <v>18</v>
      </c>
      <c r="U66" s="23" t="s">
        <v>18</v>
      </c>
      <c r="V66" s="23" t="s">
        <v>18</v>
      </c>
      <c r="W66" s="23" t="s">
        <v>18</v>
      </c>
      <c r="X66" s="23" t="s">
        <v>18</v>
      </c>
      <c r="Y66" s="23" t="s">
        <v>18</v>
      </c>
      <c r="Z66" s="23" t="s">
        <v>18</v>
      </c>
      <c r="AA66" s="23" t="s">
        <v>18</v>
      </c>
      <c r="AB66" s="23" t="s">
        <v>18</v>
      </c>
      <c r="AC66" s="23" t="s">
        <v>18</v>
      </c>
      <c r="AD66" s="23" t="s">
        <v>18</v>
      </c>
      <c r="AE66" s="23" t="s">
        <v>18</v>
      </c>
      <c r="AF66" s="23" t="s">
        <v>18</v>
      </c>
      <c r="AG66" s="23" t="s">
        <v>18</v>
      </c>
      <c r="AH66" s="23" t="s">
        <v>18</v>
      </c>
      <c r="AI66" s="23" t="s">
        <v>18</v>
      </c>
      <c r="AJ66" s="23" t="s">
        <v>18</v>
      </c>
      <c r="AK66" s="23" t="s">
        <v>18</v>
      </c>
      <c r="AL66" s="23" t="s">
        <v>18</v>
      </c>
      <c r="AM66" s="24"/>
      <c r="AN66" s="24"/>
      <c r="AO66" s="24"/>
      <c r="AP66" s="25">
        <f t="shared" si="1"/>
        <v>35</v>
      </c>
      <c r="AQ66" s="25">
        <f t="shared" si="2"/>
        <v>0</v>
      </c>
      <c r="AR66" s="25">
        <f t="shared" si="3"/>
        <v>35</v>
      </c>
      <c r="AS66" s="26">
        <f t="shared" si="4"/>
        <v>100</v>
      </c>
      <c r="AT66" s="32"/>
    </row>
    <row r="67" ht="15.75" customHeight="1">
      <c r="A67" s="28">
        <v>57.0</v>
      </c>
      <c r="B67" s="29" t="s">
        <v>130</v>
      </c>
      <c r="C67" s="30" t="s">
        <v>131</v>
      </c>
      <c r="D67" s="23" t="s">
        <v>18</v>
      </c>
      <c r="E67" s="23" t="s">
        <v>18</v>
      </c>
      <c r="F67" s="23" t="s">
        <v>18</v>
      </c>
      <c r="G67" s="23" t="s">
        <v>18</v>
      </c>
      <c r="H67" s="23" t="s">
        <v>18</v>
      </c>
      <c r="I67" s="23" t="s">
        <v>18</v>
      </c>
      <c r="J67" s="23" t="s">
        <v>18</v>
      </c>
      <c r="K67" s="23" t="s">
        <v>19</v>
      </c>
      <c r="L67" s="23" t="s">
        <v>18</v>
      </c>
      <c r="M67" s="23" t="s">
        <v>18</v>
      </c>
      <c r="N67" s="23" t="s">
        <v>18</v>
      </c>
      <c r="O67" s="23" t="s">
        <v>18</v>
      </c>
      <c r="P67" s="23" t="s">
        <v>18</v>
      </c>
      <c r="Q67" s="23" t="s">
        <v>18</v>
      </c>
      <c r="R67" s="23" t="s">
        <v>18</v>
      </c>
      <c r="S67" s="23" t="s">
        <v>18</v>
      </c>
      <c r="T67" s="23" t="s">
        <v>18</v>
      </c>
      <c r="U67" s="23" t="s">
        <v>18</v>
      </c>
      <c r="V67" s="23" t="s">
        <v>18</v>
      </c>
      <c r="W67" s="23" t="s">
        <v>18</v>
      </c>
      <c r="X67" s="23" t="s">
        <v>18</v>
      </c>
      <c r="Y67" s="23" t="s">
        <v>18</v>
      </c>
      <c r="Z67" s="23" t="s">
        <v>18</v>
      </c>
      <c r="AA67" s="23" t="s">
        <v>18</v>
      </c>
      <c r="AB67" s="23" t="s">
        <v>18</v>
      </c>
      <c r="AC67" s="23" t="s">
        <v>18</v>
      </c>
      <c r="AD67" s="23" t="s">
        <v>18</v>
      </c>
      <c r="AE67" s="23" t="s">
        <v>18</v>
      </c>
      <c r="AF67" s="23" t="s">
        <v>18</v>
      </c>
      <c r="AG67" s="23" t="s">
        <v>18</v>
      </c>
      <c r="AH67" s="23" t="s">
        <v>18</v>
      </c>
      <c r="AI67" s="23" t="s">
        <v>18</v>
      </c>
      <c r="AJ67" s="23" t="s">
        <v>18</v>
      </c>
      <c r="AK67" s="23" t="s">
        <v>18</v>
      </c>
      <c r="AL67" s="23" t="s">
        <v>18</v>
      </c>
      <c r="AM67" s="24"/>
      <c r="AN67" s="24"/>
      <c r="AO67" s="24"/>
      <c r="AP67" s="25">
        <f t="shared" si="1"/>
        <v>34</v>
      </c>
      <c r="AQ67" s="25">
        <f t="shared" si="2"/>
        <v>1</v>
      </c>
      <c r="AR67" s="25">
        <f t="shared" si="3"/>
        <v>35</v>
      </c>
      <c r="AS67" s="26">
        <f t="shared" si="4"/>
        <v>97.14285714</v>
      </c>
      <c r="AT67" s="32"/>
    </row>
    <row r="68" ht="15.75" customHeight="1">
      <c r="A68" s="28">
        <v>58.0</v>
      </c>
      <c r="B68" s="29" t="s">
        <v>132</v>
      </c>
      <c r="C68" s="30" t="s">
        <v>133</v>
      </c>
      <c r="D68" s="23" t="s">
        <v>18</v>
      </c>
      <c r="E68" s="23" t="s">
        <v>18</v>
      </c>
      <c r="F68" s="23" t="s">
        <v>18</v>
      </c>
      <c r="G68" s="23" t="s">
        <v>18</v>
      </c>
      <c r="H68" s="23" t="s">
        <v>18</v>
      </c>
      <c r="I68" s="23" t="s">
        <v>18</v>
      </c>
      <c r="J68" s="23" t="s">
        <v>18</v>
      </c>
      <c r="K68" s="23" t="s">
        <v>19</v>
      </c>
      <c r="L68" s="23" t="s">
        <v>18</v>
      </c>
      <c r="M68" s="23" t="s">
        <v>18</v>
      </c>
      <c r="N68" s="23" t="s">
        <v>18</v>
      </c>
      <c r="O68" s="23" t="s">
        <v>18</v>
      </c>
      <c r="P68" s="23" t="s">
        <v>19</v>
      </c>
      <c r="Q68" s="23" t="s">
        <v>18</v>
      </c>
      <c r="R68" s="23" t="s">
        <v>18</v>
      </c>
      <c r="S68" s="23" t="s">
        <v>18</v>
      </c>
      <c r="T68" s="23" t="s">
        <v>18</v>
      </c>
      <c r="U68" s="23" t="s">
        <v>18</v>
      </c>
      <c r="V68" s="23" t="s">
        <v>18</v>
      </c>
      <c r="W68" s="23" t="s">
        <v>18</v>
      </c>
      <c r="X68" s="23" t="s">
        <v>18</v>
      </c>
      <c r="Y68" s="23" t="s">
        <v>18</v>
      </c>
      <c r="Z68" s="23" t="s">
        <v>18</v>
      </c>
      <c r="AA68" s="23" t="s">
        <v>18</v>
      </c>
      <c r="AB68" s="23" t="s">
        <v>18</v>
      </c>
      <c r="AC68" s="23" t="s">
        <v>18</v>
      </c>
      <c r="AD68" s="23" t="s">
        <v>18</v>
      </c>
      <c r="AE68" s="23" t="s">
        <v>18</v>
      </c>
      <c r="AF68" s="23" t="s">
        <v>18</v>
      </c>
      <c r="AG68" s="23" t="s">
        <v>18</v>
      </c>
      <c r="AH68" s="23" t="s">
        <v>18</v>
      </c>
      <c r="AI68" s="23" t="s">
        <v>18</v>
      </c>
      <c r="AJ68" s="23" t="s">
        <v>18</v>
      </c>
      <c r="AK68" s="23" t="s">
        <v>18</v>
      </c>
      <c r="AL68" s="23" t="s">
        <v>18</v>
      </c>
      <c r="AM68" s="24"/>
      <c r="AN68" s="24"/>
      <c r="AO68" s="24"/>
      <c r="AP68" s="25">
        <f t="shared" si="1"/>
        <v>33</v>
      </c>
      <c r="AQ68" s="25">
        <f t="shared" si="2"/>
        <v>2</v>
      </c>
      <c r="AR68" s="25">
        <f t="shared" si="3"/>
        <v>35</v>
      </c>
      <c r="AS68" s="26">
        <f t="shared" si="4"/>
        <v>94.28571429</v>
      </c>
      <c r="AT68" s="32"/>
    </row>
    <row r="69" ht="15.75" customHeight="1">
      <c r="A69" s="28">
        <v>59.0</v>
      </c>
      <c r="B69" s="29" t="s">
        <v>134</v>
      </c>
      <c r="C69" s="30" t="s">
        <v>135</v>
      </c>
      <c r="D69" s="23" t="s">
        <v>18</v>
      </c>
      <c r="E69" s="23" t="s">
        <v>18</v>
      </c>
      <c r="F69" s="23" t="s">
        <v>18</v>
      </c>
      <c r="G69" s="23" t="s">
        <v>18</v>
      </c>
      <c r="H69" s="23" t="s">
        <v>18</v>
      </c>
      <c r="I69" s="23" t="s">
        <v>18</v>
      </c>
      <c r="J69" s="23" t="s">
        <v>18</v>
      </c>
      <c r="K69" s="23" t="s">
        <v>18</v>
      </c>
      <c r="L69" s="23" t="s">
        <v>18</v>
      </c>
      <c r="M69" s="23" t="s">
        <v>18</v>
      </c>
      <c r="N69" s="23" t="s">
        <v>18</v>
      </c>
      <c r="O69" s="23" t="s">
        <v>19</v>
      </c>
      <c r="P69" s="23" t="s">
        <v>18</v>
      </c>
      <c r="Q69" s="23" t="s">
        <v>18</v>
      </c>
      <c r="R69" s="23" t="s">
        <v>18</v>
      </c>
      <c r="S69" s="23" t="s">
        <v>18</v>
      </c>
      <c r="T69" s="23" t="s">
        <v>18</v>
      </c>
      <c r="U69" s="23" t="s">
        <v>18</v>
      </c>
      <c r="V69" s="23" t="s">
        <v>18</v>
      </c>
      <c r="W69" s="23" t="s">
        <v>18</v>
      </c>
      <c r="X69" s="23" t="s">
        <v>18</v>
      </c>
      <c r="Y69" s="23" t="s">
        <v>18</v>
      </c>
      <c r="Z69" s="23" t="s">
        <v>18</v>
      </c>
      <c r="AA69" s="23" t="s">
        <v>18</v>
      </c>
      <c r="AB69" s="23" t="s">
        <v>18</v>
      </c>
      <c r="AC69" s="23" t="s">
        <v>18</v>
      </c>
      <c r="AD69" s="23" t="s">
        <v>18</v>
      </c>
      <c r="AE69" s="23" t="s">
        <v>18</v>
      </c>
      <c r="AF69" s="23" t="s">
        <v>18</v>
      </c>
      <c r="AG69" s="23" t="s">
        <v>18</v>
      </c>
      <c r="AH69" s="23" t="s">
        <v>18</v>
      </c>
      <c r="AI69" s="23" t="s">
        <v>18</v>
      </c>
      <c r="AJ69" s="23" t="s">
        <v>18</v>
      </c>
      <c r="AK69" s="23" t="s">
        <v>18</v>
      </c>
      <c r="AL69" s="23" t="s">
        <v>18</v>
      </c>
      <c r="AM69" s="24"/>
      <c r="AN69" s="24"/>
      <c r="AO69" s="24"/>
      <c r="AP69" s="25">
        <f t="shared" si="1"/>
        <v>34</v>
      </c>
      <c r="AQ69" s="25">
        <f t="shared" si="2"/>
        <v>1</v>
      </c>
      <c r="AR69" s="25">
        <f t="shared" si="3"/>
        <v>35</v>
      </c>
      <c r="AS69" s="26">
        <f t="shared" si="4"/>
        <v>97.14285714</v>
      </c>
      <c r="AT69" s="32"/>
    </row>
    <row r="70" ht="15.75" customHeight="1">
      <c r="A70" s="28">
        <v>60.0</v>
      </c>
      <c r="B70" s="29" t="s">
        <v>136</v>
      </c>
      <c r="C70" s="30" t="s">
        <v>137</v>
      </c>
      <c r="D70" s="23" t="s">
        <v>18</v>
      </c>
      <c r="E70" s="23" t="s">
        <v>18</v>
      </c>
      <c r="F70" s="23" t="s">
        <v>18</v>
      </c>
      <c r="G70" s="23" t="s">
        <v>18</v>
      </c>
      <c r="H70" s="23" t="s">
        <v>18</v>
      </c>
      <c r="I70" s="23" t="s">
        <v>18</v>
      </c>
      <c r="J70" s="23" t="s">
        <v>18</v>
      </c>
      <c r="K70" s="23" t="s">
        <v>18</v>
      </c>
      <c r="L70" s="23" t="s">
        <v>18</v>
      </c>
      <c r="M70" s="23" t="s">
        <v>18</v>
      </c>
      <c r="N70" s="23" t="s">
        <v>18</v>
      </c>
      <c r="O70" s="23" t="s">
        <v>18</v>
      </c>
      <c r="P70" s="23" t="s">
        <v>19</v>
      </c>
      <c r="Q70" s="23" t="s">
        <v>18</v>
      </c>
      <c r="R70" s="23" t="s">
        <v>18</v>
      </c>
      <c r="S70" s="23" t="s">
        <v>18</v>
      </c>
      <c r="T70" s="23" t="s">
        <v>18</v>
      </c>
      <c r="U70" s="23" t="s">
        <v>18</v>
      </c>
      <c r="V70" s="23" t="s">
        <v>18</v>
      </c>
      <c r="W70" s="23" t="s">
        <v>18</v>
      </c>
      <c r="X70" s="23" t="s">
        <v>18</v>
      </c>
      <c r="Y70" s="23" t="s">
        <v>18</v>
      </c>
      <c r="Z70" s="23" t="s">
        <v>18</v>
      </c>
      <c r="AA70" s="23" t="s">
        <v>18</v>
      </c>
      <c r="AB70" s="23" t="s">
        <v>18</v>
      </c>
      <c r="AC70" s="23" t="s">
        <v>18</v>
      </c>
      <c r="AD70" s="23" t="s">
        <v>18</v>
      </c>
      <c r="AE70" s="23" t="s">
        <v>18</v>
      </c>
      <c r="AF70" s="23" t="s">
        <v>18</v>
      </c>
      <c r="AG70" s="23" t="s">
        <v>18</v>
      </c>
      <c r="AH70" s="23" t="s">
        <v>18</v>
      </c>
      <c r="AI70" s="23" t="s">
        <v>18</v>
      </c>
      <c r="AJ70" s="23" t="s">
        <v>18</v>
      </c>
      <c r="AK70" s="23" t="s">
        <v>18</v>
      </c>
      <c r="AL70" s="23" t="s">
        <v>18</v>
      </c>
      <c r="AM70" s="24"/>
      <c r="AN70" s="24"/>
      <c r="AO70" s="24"/>
      <c r="AP70" s="25">
        <f t="shared" si="1"/>
        <v>34</v>
      </c>
      <c r="AQ70" s="25">
        <f t="shared" si="2"/>
        <v>1</v>
      </c>
      <c r="AR70" s="25">
        <f t="shared" si="3"/>
        <v>35</v>
      </c>
      <c r="AS70" s="26">
        <f t="shared" si="4"/>
        <v>97.14285714</v>
      </c>
      <c r="AT70" s="32"/>
    </row>
    <row r="71" ht="15.75" customHeight="1">
      <c r="A71" s="28">
        <v>61.0</v>
      </c>
      <c r="B71" s="29" t="s">
        <v>138</v>
      </c>
      <c r="C71" s="30" t="s">
        <v>139</v>
      </c>
      <c r="D71" s="23" t="s">
        <v>18</v>
      </c>
      <c r="E71" s="23" t="s">
        <v>18</v>
      </c>
      <c r="F71" s="23" t="s">
        <v>18</v>
      </c>
      <c r="G71" s="23" t="s">
        <v>18</v>
      </c>
      <c r="H71" s="23" t="s">
        <v>18</v>
      </c>
      <c r="I71" s="23" t="s">
        <v>18</v>
      </c>
      <c r="J71" s="23" t="s">
        <v>18</v>
      </c>
      <c r="K71" s="23" t="s">
        <v>18</v>
      </c>
      <c r="L71" s="23" t="s">
        <v>18</v>
      </c>
      <c r="M71" s="23" t="s">
        <v>18</v>
      </c>
      <c r="N71" s="23" t="s">
        <v>18</v>
      </c>
      <c r="O71" s="23" t="s">
        <v>18</v>
      </c>
      <c r="P71" s="23" t="s">
        <v>18</v>
      </c>
      <c r="Q71" s="23" t="s">
        <v>18</v>
      </c>
      <c r="R71" s="23" t="s">
        <v>18</v>
      </c>
      <c r="S71" s="23" t="s">
        <v>18</v>
      </c>
      <c r="T71" s="23" t="s">
        <v>18</v>
      </c>
      <c r="U71" s="23" t="s">
        <v>18</v>
      </c>
      <c r="V71" s="23" t="s">
        <v>18</v>
      </c>
      <c r="W71" s="23" t="s">
        <v>18</v>
      </c>
      <c r="X71" s="23" t="s">
        <v>18</v>
      </c>
      <c r="Y71" s="23" t="s">
        <v>18</v>
      </c>
      <c r="Z71" s="23" t="s">
        <v>18</v>
      </c>
      <c r="AA71" s="23" t="s">
        <v>18</v>
      </c>
      <c r="AB71" s="23" t="s">
        <v>18</v>
      </c>
      <c r="AC71" s="23" t="s">
        <v>18</v>
      </c>
      <c r="AD71" s="23" t="s">
        <v>18</v>
      </c>
      <c r="AE71" s="23" t="s">
        <v>18</v>
      </c>
      <c r="AF71" s="23" t="s">
        <v>18</v>
      </c>
      <c r="AG71" s="23" t="s">
        <v>18</v>
      </c>
      <c r="AH71" s="23" t="s">
        <v>18</v>
      </c>
      <c r="AI71" s="23" t="s">
        <v>18</v>
      </c>
      <c r="AJ71" s="23" t="s">
        <v>18</v>
      </c>
      <c r="AK71" s="23" t="s">
        <v>18</v>
      </c>
      <c r="AL71" s="23" t="s">
        <v>18</v>
      </c>
      <c r="AM71" s="24"/>
      <c r="AN71" s="24"/>
      <c r="AO71" s="24"/>
      <c r="AP71" s="25">
        <f t="shared" si="1"/>
        <v>35</v>
      </c>
      <c r="AQ71" s="25">
        <f t="shared" si="2"/>
        <v>0</v>
      </c>
      <c r="AR71" s="25">
        <f t="shared" si="3"/>
        <v>35</v>
      </c>
      <c r="AS71" s="26">
        <f t="shared" si="4"/>
        <v>100</v>
      </c>
      <c r="AT71" s="32"/>
    </row>
    <row r="72" ht="15.75" customHeight="1">
      <c r="A72" s="28">
        <v>62.0</v>
      </c>
      <c r="B72" s="29" t="s">
        <v>140</v>
      </c>
      <c r="C72" s="30" t="s">
        <v>141</v>
      </c>
      <c r="D72" s="23" t="s">
        <v>18</v>
      </c>
      <c r="E72" s="23" t="s">
        <v>18</v>
      </c>
      <c r="F72" s="23" t="s">
        <v>18</v>
      </c>
      <c r="G72" s="23" t="s">
        <v>18</v>
      </c>
      <c r="H72" s="23" t="s">
        <v>18</v>
      </c>
      <c r="I72" s="23" t="s">
        <v>18</v>
      </c>
      <c r="J72" s="23" t="s">
        <v>18</v>
      </c>
      <c r="K72" s="23" t="s">
        <v>18</v>
      </c>
      <c r="L72" s="23" t="s">
        <v>18</v>
      </c>
      <c r="M72" s="23" t="s">
        <v>18</v>
      </c>
      <c r="N72" s="23" t="s">
        <v>18</v>
      </c>
      <c r="O72" s="23" t="s">
        <v>18</v>
      </c>
      <c r="P72" s="23" t="s">
        <v>18</v>
      </c>
      <c r="Q72" s="23" t="s">
        <v>18</v>
      </c>
      <c r="R72" s="23" t="s">
        <v>18</v>
      </c>
      <c r="S72" s="23" t="s">
        <v>18</v>
      </c>
      <c r="T72" s="23" t="s">
        <v>18</v>
      </c>
      <c r="U72" s="23" t="s">
        <v>18</v>
      </c>
      <c r="V72" s="23" t="s">
        <v>18</v>
      </c>
      <c r="W72" s="23" t="s">
        <v>18</v>
      </c>
      <c r="X72" s="23" t="s">
        <v>18</v>
      </c>
      <c r="Y72" s="23" t="s">
        <v>18</v>
      </c>
      <c r="Z72" s="23" t="s">
        <v>18</v>
      </c>
      <c r="AA72" s="23" t="s">
        <v>18</v>
      </c>
      <c r="AB72" s="23" t="s">
        <v>18</v>
      </c>
      <c r="AC72" s="23" t="s">
        <v>18</v>
      </c>
      <c r="AD72" s="23" t="s">
        <v>18</v>
      </c>
      <c r="AE72" s="23" t="s">
        <v>18</v>
      </c>
      <c r="AF72" s="23" t="s">
        <v>18</v>
      </c>
      <c r="AG72" s="23" t="s">
        <v>18</v>
      </c>
      <c r="AH72" s="23" t="s">
        <v>18</v>
      </c>
      <c r="AI72" s="23" t="s">
        <v>18</v>
      </c>
      <c r="AJ72" s="23" t="s">
        <v>18</v>
      </c>
      <c r="AK72" s="23" t="s">
        <v>18</v>
      </c>
      <c r="AL72" s="23" t="s">
        <v>18</v>
      </c>
      <c r="AM72" s="24"/>
      <c r="AN72" s="24"/>
      <c r="AO72" s="24"/>
      <c r="AP72" s="25">
        <f t="shared" si="1"/>
        <v>35</v>
      </c>
      <c r="AQ72" s="25">
        <f t="shared" si="2"/>
        <v>0</v>
      </c>
      <c r="AR72" s="25">
        <f t="shared" si="3"/>
        <v>35</v>
      </c>
      <c r="AS72" s="26">
        <f t="shared" si="4"/>
        <v>100</v>
      </c>
      <c r="AT72" s="32"/>
    </row>
    <row r="73" ht="15.75" customHeight="1">
      <c r="A73" s="28">
        <v>63.0</v>
      </c>
      <c r="B73" s="29" t="s">
        <v>142</v>
      </c>
      <c r="C73" s="30" t="s">
        <v>143</v>
      </c>
      <c r="D73" s="23" t="s">
        <v>18</v>
      </c>
      <c r="E73" s="23" t="s">
        <v>18</v>
      </c>
      <c r="F73" s="23" t="s">
        <v>18</v>
      </c>
      <c r="G73" s="23" t="s">
        <v>18</v>
      </c>
      <c r="H73" s="23" t="s">
        <v>18</v>
      </c>
      <c r="I73" s="23" t="s">
        <v>18</v>
      </c>
      <c r="J73" s="23" t="s">
        <v>18</v>
      </c>
      <c r="K73" s="23" t="s">
        <v>18</v>
      </c>
      <c r="L73" s="23" t="s">
        <v>18</v>
      </c>
      <c r="M73" s="23" t="s">
        <v>18</v>
      </c>
      <c r="N73" s="23" t="s">
        <v>18</v>
      </c>
      <c r="O73" s="23" t="s">
        <v>18</v>
      </c>
      <c r="P73" s="23" t="s">
        <v>18</v>
      </c>
      <c r="Q73" s="23" t="s">
        <v>18</v>
      </c>
      <c r="R73" s="23" t="s">
        <v>18</v>
      </c>
      <c r="S73" s="23" t="s">
        <v>18</v>
      </c>
      <c r="T73" s="23" t="s">
        <v>18</v>
      </c>
      <c r="U73" s="23" t="s">
        <v>18</v>
      </c>
      <c r="V73" s="23" t="s">
        <v>18</v>
      </c>
      <c r="W73" s="23" t="s">
        <v>18</v>
      </c>
      <c r="X73" s="23" t="s">
        <v>18</v>
      </c>
      <c r="Y73" s="23" t="s">
        <v>18</v>
      </c>
      <c r="Z73" s="23" t="s">
        <v>18</v>
      </c>
      <c r="AA73" s="23" t="s">
        <v>18</v>
      </c>
      <c r="AB73" s="23" t="s">
        <v>18</v>
      </c>
      <c r="AC73" s="23" t="s">
        <v>18</v>
      </c>
      <c r="AD73" s="23" t="s">
        <v>18</v>
      </c>
      <c r="AE73" s="23" t="s">
        <v>18</v>
      </c>
      <c r="AF73" s="23" t="s">
        <v>18</v>
      </c>
      <c r="AG73" s="23" t="s">
        <v>18</v>
      </c>
      <c r="AH73" s="23" t="s">
        <v>18</v>
      </c>
      <c r="AI73" s="23" t="s">
        <v>18</v>
      </c>
      <c r="AJ73" s="23" t="s">
        <v>18</v>
      </c>
      <c r="AK73" s="23" t="s">
        <v>18</v>
      </c>
      <c r="AL73" s="23" t="s">
        <v>18</v>
      </c>
      <c r="AM73" s="24"/>
      <c r="AN73" s="24"/>
      <c r="AO73" s="24"/>
      <c r="AP73" s="25">
        <f t="shared" si="1"/>
        <v>35</v>
      </c>
      <c r="AQ73" s="25">
        <f t="shared" si="2"/>
        <v>0</v>
      </c>
      <c r="AR73" s="25">
        <f t="shared" si="3"/>
        <v>35</v>
      </c>
      <c r="AS73" s="26">
        <f t="shared" si="4"/>
        <v>100</v>
      </c>
      <c r="AT73" s="32"/>
    </row>
    <row r="74" ht="15.75" customHeight="1">
      <c r="A74" s="28">
        <v>64.0</v>
      </c>
      <c r="B74" s="29" t="s">
        <v>144</v>
      </c>
      <c r="C74" s="30" t="s">
        <v>145</v>
      </c>
      <c r="D74" s="23" t="s">
        <v>18</v>
      </c>
      <c r="E74" s="23" t="s">
        <v>18</v>
      </c>
      <c r="F74" s="23" t="s">
        <v>18</v>
      </c>
      <c r="G74" s="23" t="s">
        <v>18</v>
      </c>
      <c r="H74" s="23" t="s">
        <v>18</v>
      </c>
      <c r="I74" s="23" t="s">
        <v>18</v>
      </c>
      <c r="J74" s="23" t="s">
        <v>18</v>
      </c>
      <c r="K74" s="23" t="s">
        <v>18</v>
      </c>
      <c r="L74" s="23" t="s">
        <v>18</v>
      </c>
      <c r="M74" s="23" t="s">
        <v>18</v>
      </c>
      <c r="N74" s="23" t="s">
        <v>18</v>
      </c>
      <c r="O74" s="23" t="s">
        <v>18</v>
      </c>
      <c r="P74" s="23" t="s">
        <v>18</v>
      </c>
      <c r="Q74" s="23" t="s">
        <v>18</v>
      </c>
      <c r="R74" s="23" t="s">
        <v>18</v>
      </c>
      <c r="S74" s="23" t="s">
        <v>18</v>
      </c>
      <c r="T74" s="23" t="s">
        <v>18</v>
      </c>
      <c r="U74" s="23" t="s">
        <v>18</v>
      </c>
      <c r="V74" s="23" t="s">
        <v>18</v>
      </c>
      <c r="W74" s="23" t="s">
        <v>18</v>
      </c>
      <c r="X74" s="23" t="s">
        <v>18</v>
      </c>
      <c r="Y74" s="23" t="s">
        <v>18</v>
      </c>
      <c r="Z74" s="23" t="s">
        <v>18</v>
      </c>
      <c r="AA74" s="23" t="s">
        <v>18</v>
      </c>
      <c r="AB74" s="23" t="s">
        <v>18</v>
      </c>
      <c r="AC74" s="23" t="s">
        <v>18</v>
      </c>
      <c r="AD74" s="23" t="s">
        <v>18</v>
      </c>
      <c r="AE74" s="23" t="s">
        <v>18</v>
      </c>
      <c r="AF74" s="23" t="s">
        <v>18</v>
      </c>
      <c r="AG74" s="23" t="s">
        <v>18</v>
      </c>
      <c r="AH74" s="23" t="s">
        <v>19</v>
      </c>
      <c r="AI74" s="23" t="s">
        <v>18</v>
      </c>
      <c r="AJ74" s="23" t="s">
        <v>18</v>
      </c>
      <c r="AK74" s="23" t="s">
        <v>18</v>
      </c>
      <c r="AL74" s="23" t="s">
        <v>18</v>
      </c>
      <c r="AM74" s="24"/>
      <c r="AN74" s="24"/>
      <c r="AO74" s="24"/>
      <c r="AP74" s="25">
        <f t="shared" si="1"/>
        <v>34</v>
      </c>
      <c r="AQ74" s="25">
        <f t="shared" si="2"/>
        <v>1</v>
      </c>
      <c r="AR74" s="25">
        <f t="shared" si="3"/>
        <v>35</v>
      </c>
      <c r="AS74" s="26">
        <f t="shared" si="4"/>
        <v>97.14285714</v>
      </c>
      <c r="AT74" s="32"/>
    </row>
    <row r="75" ht="15.75" customHeight="1">
      <c r="A75" s="28">
        <v>65.0</v>
      </c>
      <c r="B75" s="29" t="s">
        <v>146</v>
      </c>
      <c r="C75" s="30" t="s">
        <v>147</v>
      </c>
      <c r="D75" s="23" t="s">
        <v>18</v>
      </c>
      <c r="E75" s="23" t="s">
        <v>18</v>
      </c>
      <c r="F75" s="23" t="s">
        <v>18</v>
      </c>
      <c r="G75" s="23" t="s">
        <v>18</v>
      </c>
      <c r="H75" s="23" t="s">
        <v>18</v>
      </c>
      <c r="I75" s="23" t="s">
        <v>18</v>
      </c>
      <c r="J75" s="23" t="s">
        <v>18</v>
      </c>
      <c r="K75" s="23" t="s">
        <v>18</v>
      </c>
      <c r="L75" s="23" t="s">
        <v>18</v>
      </c>
      <c r="M75" s="23" t="s">
        <v>18</v>
      </c>
      <c r="N75" s="23" t="s">
        <v>18</v>
      </c>
      <c r="O75" s="23" t="s">
        <v>18</v>
      </c>
      <c r="P75" s="23" t="s">
        <v>18</v>
      </c>
      <c r="Q75" s="23" t="s">
        <v>18</v>
      </c>
      <c r="R75" s="23" t="s">
        <v>18</v>
      </c>
      <c r="S75" s="23" t="s">
        <v>18</v>
      </c>
      <c r="T75" s="23" t="s">
        <v>18</v>
      </c>
      <c r="U75" s="23" t="s">
        <v>18</v>
      </c>
      <c r="V75" s="23" t="s">
        <v>18</v>
      </c>
      <c r="W75" s="23" t="s">
        <v>18</v>
      </c>
      <c r="X75" s="23" t="s">
        <v>18</v>
      </c>
      <c r="Y75" s="23" t="s">
        <v>18</v>
      </c>
      <c r="Z75" s="23" t="s">
        <v>18</v>
      </c>
      <c r="AA75" s="23" t="s">
        <v>18</v>
      </c>
      <c r="AB75" s="23" t="s">
        <v>18</v>
      </c>
      <c r="AC75" s="23" t="s">
        <v>18</v>
      </c>
      <c r="AD75" s="23" t="s">
        <v>18</v>
      </c>
      <c r="AE75" s="23" t="s">
        <v>18</v>
      </c>
      <c r="AF75" s="23" t="s">
        <v>18</v>
      </c>
      <c r="AG75" s="23" t="s">
        <v>18</v>
      </c>
      <c r="AH75" s="23" t="s">
        <v>19</v>
      </c>
      <c r="AI75" s="23" t="s">
        <v>18</v>
      </c>
      <c r="AJ75" s="23" t="s">
        <v>18</v>
      </c>
      <c r="AK75" s="23" t="s">
        <v>18</v>
      </c>
      <c r="AL75" s="23" t="s">
        <v>18</v>
      </c>
      <c r="AM75" s="24"/>
      <c r="AN75" s="24"/>
      <c r="AO75" s="24"/>
      <c r="AP75" s="25">
        <f t="shared" si="1"/>
        <v>34</v>
      </c>
      <c r="AQ75" s="25">
        <f t="shared" si="2"/>
        <v>1</v>
      </c>
      <c r="AR75" s="25">
        <f t="shared" si="3"/>
        <v>35</v>
      </c>
      <c r="AS75" s="26">
        <f t="shared" si="4"/>
        <v>97.14285714</v>
      </c>
      <c r="AT75" s="32"/>
    </row>
    <row r="76" ht="15.75" customHeight="1">
      <c r="A76" s="28">
        <v>66.0</v>
      </c>
      <c r="B76" s="29" t="s">
        <v>148</v>
      </c>
      <c r="C76" s="30" t="s">
        <v>149</v>
      </c>
      <c r="D76" s="23" t="s">
        <v>18</v>
      </c>
      <c r="E76" s="23" t="s">
        <v>18</v>
      </c>
      <c r="F76" s="23" t="s">
        <v>18</v>
      </c>
      <c r="G76" s="23" t="s">
        <v>18</v>
      </c>
      <c r="H76" s="23" t="s">
        <v>18</v>
      </c>
      <c r="I76" s="23" t="s">
        <v>18</v>
      </c>
      <c r="J76" s="23" t="s">
        <v>18</v>
      </c>
      <c r="K76" s="23" t="s">
        <v>18</v>
      </c>
      <c r="L76" s="23" t="s">
        <v>18</v>
      </c>
      <c r="M76" s="23" t="s">
        <v>18</v>
      </c>
      <c r="N76" s="23" t="s">
        <v>19</v>
      </c>
      <c r="O76" s="23" t="s">
        <v>18</v>
      </c>
      <c r="P76" s="23" t="s">
        <v>18</v>
      </c>
      <c r="Q76" s="23" t="s">
        <v>18</v>
      </c>
      <c r="R76" s="23" t="s">
        <v>18</v>
      </c>
      <c r="S76" s="23" t="s">
        <v>18</v>
      </c>
      <c r="T76" s="23" t="s">
        <v>18</v>
      </c>
      <c r="U76" s="23" t="s">
        <v>18</v>
      </c>
      <c r="V76" s="23" t="s">
        <v>18</v>
      </c>
      <c r="W76" s="23" t="s">
        <v>18</v>
      </c>
      <c r="X76" s="23" t="s">
        <v>18</v>
      </c>
      <c r="Y76" s="23" t="s">
        <v>18</v>
      </c>
      <c r="Z76" s="23" t="s">
        <v>18</v>
      </c>
      <c r="AA76" s="23" t="s">
        <v>18</v>
      </c>
      <c r="AB76" s="23" t="s">
        <v>18</v>
      </c>
      <c r="AC76" s="23" t="s">
        <v>18</v>
      </c>
      <c r="AD76" s="23" t="s">
        <v>18</v>
      </c>
      <c r="AE76" s="23" t="s">
        <v>18</v>
      </c>
      <c r="AF76" s="23" t="s">
        <v>18</v>
      </c>
      <c r="AG76" s="23" t="s">
        <v>18</v>
      </c>
      <c r="AH76" s="23" t="s">
        <v>19</v>
      </c>
      <c r="AI76" s="23" t="s">
        <v>18</v>
      </c>
      <c r="AJ76" s="23" t="s">
        <v>18</v>
      </c>
      <c r="AK76" s="23" t="s">
        <v>18</v>
      </c>
      <c r="AL76" s="23" t="s">
        <v>18</v>
      </c>
      <c r="AM76" s="24"/>
      <c r="AN76" s="24"/>
      <c r="AO76" s="24"/>
      <c r="AP76" s="25">
        <f t="shared" si="1"/>
        <v>33</v>
      </c>
      <c r="AQ76" s="25">
        <f t="shared" si="2"/>
        <v>2</v>
      </c>
      <c r="AR76" s="25">
        <f t="shared" si="3"/>
        <v>35</v>
      </c>
      <c r="AS76" s="26">
        <f t="shared" si="4"/>
        <v>94.28571429</v>
      </c>
      <c r="AT76" s="32"/>
    </row>
    <row r="77" ht="15.75" customHeight="1">
      <c r="A77" s="28">
        <v>67.0</v>
      </c>
      <c r="B77" s="29" t="s">
        <v>150</v>
      </c>
      <c r="C77" s="30" t="s">
        <v>151</v>
      </c>
      <c r="D77" s="23" t="s">
        <v>18</v>
      </c>
      <c r="E77" s="23" t="s">
        <v>18</v>
      </c>
      <c r="F77" s="23" t="s">
        <v>18</v>
      </c>
      <c r="G77" s="23" t="s">
        <v>18</v>
      </c>
      <c r="H77" s="23" t="s">
        <v>18</v>
      </c>
      <c r="I77" s="23" t="s">
        <v>19</v>
      </c>
      <c r="J77" s="23" t="s">
        <v>19</v>
      </c>
      <c r="K77" s="23" t="s">
        <v>18</v>
      </c>
      <c r="L77" s="23" t="s">
        <v>18</v>
      </c>
      <c r="M77" s="23" t="s">
        <v>18</v>
      </c>
      <c r="N77" s="23" t="s">
        <v>18</v>
      </c>
      <c r="O77" s="23" t="s">
        <v>18</v>
      </c>
      <c r="P77" s="23" t="s">
        <v>18</v>
      </c>
      <c r="Q77" s="23" t="s">
        <v>18</v>
      </c>
      <c r="R77" s="23" t="s">
        <v>18</v>
      </c>
      <c r="S77" s="23" t="s">
        <v>18</v>
      </c>
      <c r="T77" s="23" t="s">
        <v>18</v>
      </c>
      <c r="U77" s="23" t="s">
        <v>18</v>
      </c>
      <c r="V77" s="23" t="s">
        <v>18</v>
      </c>
      <c r="W77" s="23" t="s">
        <v>18</v>
      </c>
      <c r="X77" s="23" t="s">
        <v>18</v>
      </c>
      <c r="Y77" s="23" t="s">
        <v>18</v>
      </c>
      <c r="Z77" s="23" t="s">
        <v>18</v>
      </c>
      <c r="AA77" s="23" t="s">
        <v>18</v>
      </c>
      <c r="AB77" s="23" t="s">
        <v>18</v>
      </c>
      <c r="AC77" s="23" t="s">
        <v>18</v>
      </c>
      <c r="AD77" s="23" t="s">
        <v>18</v>
      </c>
      <c r="AE77" s="23" t="s">
        <v>18</v>
      </c>
      <c r="AF77" s="23" t="s">
        <v>18</v>
      </c>
      <c r="AG77" s="23" t="s">
        <v>18</v>
      </c>
      <c r="AH77" s="23" t="s">
        <v>18</v>
      </c>
      <c r="AI77" s="23" t="s">
        <v>18</v>
      </c>
      <c r="AJ77" s="23" t="s">
        <v>18</v>
      </c>
      <c r="AK77" s="23" t="s">
        <v>18</v>
      </c>
      <c r="AL77" s="23" t="s">
        <v>18</v>
      </c>
      <c r="AM77" s="24"/>
      <c r="AN77" s="24"/>
      <c r="AO77" s="24"/>
      <c r="AP77" s="25">
        <f t="shared" si="1"/>
        <v>33</v>
      </c>
      <c r="AQ77" s="25">
        <f t="shared" si="2"/>
        <v>2</v>
      </c>
      <c r="AR77" s="25">
        <f t="shared" si="3"/>
        <v>35</v>
      </c>
      <c r="AS77" s="26">
        <f t="shared" si="4"/>
        <v>94.28571429</v>
      </c>
      <c r="AT77" s="32"/>
    </row>
    <row r="78" ht="15.75" customHeight="1">
      <c r="A78" s="28">
        <v>68.0</v>
      </c>
      <c r="B78" s="29" t="s">
        <v>152</v>
      </c>
      <c r="C78" s="30" t="s">
        <v>153</v>
      </c>
      <c r="D78" s="23" t="s">
        <v>18</v>
      </c>
      <c r="E78" s="23" t="s">
        <v>18</v>
      </c>
      <c r="F78" s="23" t="s">
        <v>18</v>
      </c>
      <c r="G78" s="23" t="s">
        <v>18</v>
      </c>
      <c r="H78" s="23" t="s">
        <v>18</v>
      </c>
      <c r="I78" s="23" t="s">
        <v>18</v>
      </c>
      <c r="J78" s="23" t="s">
        <v>18</v>
      </c>
      <c r="K78" s="23" t="s">
        <v>18</v>
      </c>
      <c r="L78" s="23" t="s">
        <v>18</v>
      </c>
      <c r="M78" s="23" t="s">
        <v>18</v>
      </c>
      <c r="N78" s="23" t="s">
        <v>18</v>
      </c>
      <c r="O78" s="23" t="s">
        <v>18</v>
      </c>
      <c r="P78" s="23" t="s">
        <v>18</v>
      </c>
      <c r="Q78" s="23" t="s">
        <v>18</v>
      </c>
      <c r="R78" s="23" t="s">
        <v>18</v>
      </c>
      <c r="S78" s="23" t="s">
        <v>18</v>
      </c>
      <c r="T78" s="23" t="s">
        <v>18</v>
      </c>
      <c r="U78" s="23" t="s">
        <v>18</v>
      </c>
      <c r="V78" s="23" t="s">
        <v>18</v>
      </c>
      <c r="W78" s="23" t="s">
        <v>18</v>
      </c>
      <c r="X78" s="23" t="s">
        <v>18</v>
      </c>
      <c r="Y78" s="23" t="s">
        <v>18</v>
      </c>
      <c r="Z78" s="23" t="s">
        <v>18</v>
      </c>
      <c r="AA78" s="23" t="s">
        <v>18</v>
      </c>
      <c r="AB78" s="23" t="s">
        <v>18</v>
      </c>
      <c r="AC78" s="23" t="s">
        <v>18</v>
      </c>
      <c r="AD78" s="23" t="s">
        <v>18</v>
      </c>
      <c r="AE78" s="23" t="s">
        <v>18</v>
      </c>
      <c r="AF78" s="23" t="s">
        <v>18</v>
      </c>
      <c r="AG78" s="23" t="s">
        <v>18</v>
      </c>
      <c r="AH78" s="23" t="s">
        <v>18</v>
      </c>
      <c r="AI78" s="23" t="s">
        <v>18</v>
      </c>
      <c r="AJ78" s="23" t="s">
        <v>18</v>
      </c>
      <c r="AK78" s="23" t="s">
        <v>18</v>
      </c>
      <c r="AL78" s="23" t="s">
        <v>18</v>
      </c>
      <c r="AM78" s="24"/>
      <c r="AN78" s="24"/>
      <c r="AO78" s="24"/>
      <c r="AP78" s="25">
        <f t="shared" si="1"/>
        <v>35</v>
      </c>
      <c r="AQ78" s="25">
        <f t="shared" si="2"/>
        <v>0</v>
      </c>
      <c r="AR78" s="25">
        <f t="shared" si="3"/>
        <v>35</v>
      </c>
      <c r="AS78" s="26">
        <f t="shared" si="4"/>
        <v>100</v>
      </c>
      <c r="AT78" s="32"/>
    </row>
    <row r="79" ht="15.75" customHeight="1">
      <c r="A79" s="28">
        <v>69.0</v>
      </c>
      <c r="B79" s="33" t="s">
        <v>154</v>
      </c>
      <c r="C79" s="30" t="s">
        <v>155</v>
      </c>
      <c r="D79" s="23" t="s">
        <v>18</v>
      </c>
      <c r="E79" s="23" t="s">
        <v>18</v>
      </c>
      <c r="F79" s="23" t="s">
        <v>18</v>
      </c>
      <c r="G79" s="23" t="s">
        <v>18</v>
      </c>
      <c r="H79" s="23" t="s">
        <v>19</v>
      </c>
      <c r="I79" s="23" t="s">
        <v>18</v>
      </c>
      <c r="J79" s="23" t="s">
        <v>18</v>
      </c>
      <c r="K79" s="23" t="s">
        <v>18</v>
      </c>
      <c r="L79" s="23" t="s">
        <v>19</v>
      </c>
      <c r="M79" s="23" t="s">
        <v>18</v>
      </c>
      <c r="N79" s="23" t="s">
        <v>18</v>
      </c>
      <c r="O79" s="23" t="s">
        <v>18</v>
      </c>
      <c r="P79" s="23" t="s">
        <v>18</v>
      </c>
      <c r="Q79" s="23" t="s">
        <v>18</v>
      </c>
      <c r="R79" s="23" t="s">
        <v>18</v>
      </c>
      <c r="S79" s="23" t="s">
        <v>18</v>
      </c>
      <c r="T79" s="23" t="s">
        <v>18</v>
      </c>
      <c r="U79" s="23" t="s">
        <v>18</v>
      </c>
      <c r="V79" s="23" t="s">
        <v>18</v>
      </c>
      <c r="W79" s="23" t="s">
        <v>18</v>
      </c>
      <c r="X79" s="23" t="s">
        <v>18</v>
      </c>
      <c r="Y79" s="23" t="s">
        <v>18</v>
      </c>
      <c r="Z79" s="23" t="s">
        <v>18</v>
      </c>
      <c r="AA79" s="23" t="s">
        <v>18</v>
      </c>
      <c r="AB79" s="23" t="s">
        <v>18</v>
      </c>
      <c r="AC79" s="23" t="s">
        <v>18</v>
      </c>
      <c r="AD79" s="23" t="s">
        <v>18</v>
      </c>
      <c r="AE79" s="23" t="s">
        <v>18</v>
      </c>
      <c r="AF79" s="23" t="s">
        <v>18</v>
      </c>
      <c r="AG79" s="23" t="s">
        <v>18</v>
      </c>
      <c r="AH79" s="23" t="s">
        <v>18</v>
      </c>
      <c r="AI79" s="23" t="s">
        <v>18</v>
      </c>
      <c r="AJ79" s="23" t="s">
        <v>18</v>
      </c>
      <c r="AK79" s="23" t="s">
        <v>18</v>
      </c>
      <c r="AL79" s="23" t="s">
        <v>18</v>
      </c>
      <c r="AM79" s="24"/>
      <c r="AN79" s="24"/>
      <c r="AO79" s="24"/>
      <c r="AP79" s="25">
        <f t="shared" si="1"/>
        <v>33</v>
      </c>
      <c r="AQ79" s="25">
        <f t="shared" si="2"/>
        <v>2</v>
      </c>
      <c r="AR79" s="25">
        <f t="shared" si="3"/>
        <v>35</v>
      </c>
      <c r="AS79" s="26">
        <f t="shared" si="4"/>
        <v>94.28571429</v>
      </c>
      <c r="AT79" s="32"/>
    </row>
    <row r="80" ht="15.75" customHeight="1">
      <c r="A80" s="28">
        <v>70.0</v>
      </c>
      <c r="B80" s="34" t="s">
        <v>156</v>
      </c>
      <c r="C80" s="30" t="s">
        <v>157</v>
      </c>
      <c r="D80" s="23" t="s">
        <v>18</v>
      </c>
      <c r="E80" s="23" t="s">
        <v>18</v>
      </c>
      <c r="F80" s="23" t="s">
        <v>18</v>
      </c>
      <c r="G80" s="23" t="s">
        <v>18</v>
      </c>
      <c r="H80" s="23" t="s">
        <v>18</v>
      </c>
      <c r="I80" s="23" t="s">
        <v>18</v>
      </c>
      <c r="J80" s="23" t="s">
        <v>18</v>
      </c>
      <c r="K80" s="23" t="s">
        <v>18</v>
      </c>
      <c r="L80" s="23" t="s">
        <v>18</v>
      </c>
      <c r="M80" s="23" t="s">
        <v>18</v>
      </c>
      <c r="N80" s="23" t="s">
        <v>18</v>
      </c>
      <c r="O80" s="23" t="s">
        <v>18</v>
      </c>
      <c r="P80" s="23" t="s">
        <v>18</v>
      </c>
      <c r="Q80" s="23" t="s">
        <v>18</v>
      </c>
      <c r="R80" s="23" t="s">
        <v>18</v>
      </c>
      <c r="S80" s="23" t="s">
        <v>18</v>
      </c>
      <c r="T80" s="23" t="s">
        <v>18</v>
      </c>
      <c r="U80" s="23" t="s">
        <v>18</v>
      </c>
      <c r="V80" s="23" t="s">
        <v>18</v>
      </c>
      <c r="W80" s="23" t="s">
        <v>18</v>
      </c>
      <c r="X80" s="23" t="s">
        <v>18</v>
      </c>
      <c r="Y80" s="23" t="s">
        <v>18</v>
      </c>
      <c r="Z80" s="23" t="s">
        <v>18</v>
      </c>
      <c r="AA80" s="23" t="s">
        <v>18</v>
      </c>
      <c r="AB80" s="23" t="s">
        <v>18</v>
      </c>
      <c r="AC80" s="23" t="s">
        <v>18</v>
      </c>
      <c r="AD80" s="23" t="s">
        <v>18</v>
      </c>
      <c r="AE80" s="23" t="s">
        <v>18</v>
      </c>
      <c r="AF80" s="23" t="s">
        <v>18</v>
      </c>
      <c r="AG80" s="23" t="s">
        <v>18</v>
      </c>
      <c r="AH80" s="23" t="s">
        <v>18</v>
      </c>
      <c r="AI80" s="23" t="s">
        <v>18</v>
      </c>
      <c r="AJ80" s="23" t="s">
        <v>18</v>
      </c>
      <c r="AK80" s="23" t="s">
        <v>18</v>
      </c>
      <c r="AL80" s="23" t="s">
        <v>18</v>
      </c>
      <c r="AM80" s="24"/>
      <c r="AN80" s="24"/>
      <c r="AO80" s="24"/>
      <c r="AP80" s="25">
        <f t="shared" si="1"/>
        <v>35</v>
      </c>
      <c r="AQ80" s="25">
        <f t="shared" si="2"/>
        <v>0</v>
      </c>
      <c r="AR80" s="25">
        <f t="shared" si="3"/>
        <v>35</v>
      </c>
      <c r="AS80" s="26">
        <f t="shared" si="4"/>
        <v>100</v>
      </c>
      <c r="AT80" s="32"/>
    </row>
    <row r="81" ht="15.75" customHeight="1">
      <c r="A81" s="28">
        <v>71.0</v>
      </c>
      <c r="B81" s="34" t="s">
        <v>158</v>
      </c>
      <c r="C81" s="30" t="s">
        <v>159</v>
      </c>
      <c r="D81" s="23" t="s">
        <v>18</v>
      </c>
      <c r="E81" s="23" t="s">
        <v>18</v>
      </c>
      <c r="F81" s="23" t="s">
        <v>18</v>
      </c>
      <c r="G81" s="23" t="s">
        <v>18</v>
      </c>
      <c r="H81" s="23" t="s">
        <v>18</v>
      </c>
      <c r="I81" s="23" t="s">
        <v>18</v>
      </c>
      <c r="J81" s="23" t="s">
        <v>18</v>
      </c>
      <c r="K81" s="23" t="s">
        <v>18</v>
      </c>
      <c r="L81" s="23" t="s">
        <v>18</v>
      </c>
      <c r="M81" s="23" t="s">
        <v>18</v>
      </c>
      <c r="N81" s="23" t="s">
        <v>18</v>
      </c>
      <c r="O81" s="23" t="s">
        <v>18</v>
      </c>
      <c r="P81" s="23" t="s">
        <v>18</v>
      </c>
      <c r="Q81" s="23" t="s">
        <v>18</v>
      </c>
      <c r="R81" s="23" t="s">
        <v>18</v>
      </c>
      <c r="S81" s="23" t="s">
        <v>18</v>
      </c>
      <c r="T81" s="23" t="s">
        <v>18</v>
      </c>
      <c r="U81" s="23" t="s">
        <v>18</v>
      </c>
      <c r="V81" s="23" t="s">
        <v>18</v>
      </c>
      <c r="W81" s="23" t="s">
        <v>18</v>
      </c>
      <c r="X81" s="23" t="s">
        <v>18</v>
      </c>
      <c r="Y81" s="23" t="s">
        <v>18</v>
      </c>
      <c r="Z81" s="23" t="s">
        <v>18</v>
      </c>
      <c r="AA81" s="23" t="s">
        <v>18</v>
      </c>
      <c r="AB81" s="23" t="s">
        <v>18</v>
      </c>
      <c r="AC81" s="23" t="s">
        <v>18</v>
      </c>
      <c r="AD81" s="23" t="s">
        <v>18</v>
      </c>
      <c r="AE81" s="23" t="s">
        <v>18</v>
      </c>
      <c r="AF81" s="23" t="s">
        <v>18</v>
      </c>
      <c r="AG81" s="23" t="s">
        <v>18</v>
      </c>
      <c r="AH81" s="23" t="s">
        <v>19</v>
      </c>
      <c r="AI81" s="23" t="s">
        <v>18</v>
      </c>
      <c r="AJ81" s="23" t="s">
        <v>18</v>
      </c>
      <c r="AK81" s="23" t="s">
        <v>18</v>
      </c>
      <c r="AL81" s="23" t="s">
        <v>18</v>
      </c>
      <c r="AM81" s="24"/>
      <c r="AN81" s="24"/>
      <c r="AO81" s="24"/>
      <c r="AP81" s="25">
        <f t="shared" si="1"/>
        <v>34</v>
      </c>
      <c r="AQ81" s="25">
        <f t="shared" si="2"/>
        <v>1</v>
      </c>
      <c r="AR81" s="25">
        <f t="shared" si="3"/>
        <v>35</v>
      </c>
      <c r="AS81" s="26">
        <f t="shared" si="4"/>
        <v>97.14285714</v>
      </c>
      <c r="AT81" s="32"/>
    </row>
    <row r="82" ht="15.75" customHeight="1">
      <c r="A82" s="28">
        <v>72.0</v>
      </c>
      <c r="B82" s="29" t="s">
        <v>160</v>
      </c>
      <c r="C82" s="30" t="s">
        <v>161</v>
      </c>
      <c r="D82" s="23" t="s">
        <v>18</v>
      </c>
      <c r="E82" s="23" t="s">
        <v>18</v>
      </c>
      <c r="F82" s="23" t="s">
        <v>18</v>
      </c>
      <c r="G82" s="23" t="s">
        <v>18</v>
      </c>
      <c r="H82" s="23" t="s">
        <v>18</v>
      </c>
      <c r="I82" s="23" t="s">
        <v>18</v>
      </c>
      <c r="J82" s="23" t="s">
        <v>18</v>
      </c>
      <c r="K82" s="23" t="s">
        <v>18</v>
      </c>
      <c r="L82" s="23" t="s">
        <v>18</v>
      </c>
      <c r="M82" s="23" t="s">
        <v>18</v>
      </c>
      <c r="N82" s="23" t="s">
        <v>18</v>
      </c>
      <c r="O82" s="23" t="s">
        <v>18</v>
      </c>
      <c r="P82" s="23" t="s">
        <v>18</v>
      </c>
      <c r="Q82" s="23" t="s">
        <v>18</v>
      </c>
      <c r="R82" s="23" t="s">
        <v>18</v>
      </c>
      <c r="S82" s="23" t="s">
        <v>18</v>
      </c>
      <c r="T82" s="23" t="s">
        <v>18</v>
      </c>
      <c r="U82" s="23" t="s">
        <v>18</v>
      </c>
      <c r="V82" s="23" t="s">
        <v>18</v>
      </c>
      <c r="W82" s="23" t="s">
        <v>18</v>
      </c>
      <c r="X82" s="23" t="s">
        <v>18</v>
      </c>
      <c r="Y82" s="23" t="s">
        <v>18</v>
      </c>
      <c r="Z82" s="23" t="s">
        <v>18</v>
      </c>
      <c r="AA82" s="23" t="s">
        <v>18</v>
      </c>
      <c r="AB82" s="23" t="s">
        <v>18</v>
      </c>
      <c r="AC82" s="23" t="s">
        <v>18</v>
      </c>
      <c r="AD82" s="23" t="s">
        <v>18</v>
      </c>
      <c r="AE82" s="23" t="s">
        <v>18</v>
      </c>
      <c r="AF82" s="23" t="s">
        <v>18</v>
      </c>
      <c r="AG82" s="23" t="s">
        <v>18</v>
      </c>
      <c r="AH82" s="23" t="s">
        <v>18</v>
      </c>
      <c r="AI82" s="23" t="s">
        <v>18</v>
      </c>
      <c r="AJ82" s="23" t="s">
        <v>18</v>
      </c>
      <c r="AK82" s="23" t="s">
        <v>18</v>
      </c>
      <c r="AL82" s="23" t="s">
        <v>18</v>
      </c>
      <c r="AM82" s="24"/>
      <c r="AN82" s="24"/>
      <c r="AO82" s="24"/>
      <c r="AP82" s="25">
        <f t="shared" si="1"/>
        <v>35</v>
      </c>
      <c r="AQ82" s="25">
        <f t="shared" si="2"/>
        <v>0</v>
      </c>
      <c r="AR82" s="25">
        <f t="shared" si="3"/>
        <v>35</v>
      </c>
      <c r="AS82" s="26">
        <f t="shared" si="4"/>
        <v>100</v>
      </c>
      <c r="AT82" s="32"/>
    </row>
    <row r="83" ht="15.75" customHeight="1">
      <c r="A83" s="28">
        <v>73.0</v>
      </c>
      <c r="B83" s="29" t="s">
        <v>162</v>
      </c>
      <c r="C83" s="30" t="s">
        <v>163</v>
      </c>
      <c r="D83" s="23" t="s">
        <v>18</v>
      </c>
      <c r="E83" s="23" t="s">
        <v>18</v>
      </c>
      <c r="F83" s="23" t="s">
        <v>18</v>
      </c>
      <c r="G83" s="23" t="s">
        <v>18</v>
      </c>
      <c r="H83" s="23" t="s">
        <v>19</v>
      </c>
      <c r="I83" s="23" t="s">
        <v>18</v>
      </c>
      <c r="J83" s="23" t="s">
        <v>18</v>
      </c>
      <c r="K83" s="23" t="s">
        <v>18</v>
      </c>
      <c r="L83" s="23" t="s">
        <v>19</v>
      </c>
      <c r="M83" s="23" t="s">
        <v>18</v>
      </c>
      <c r="N83" s="23" t="s">
        <v>18</v>
      </c>
      <c r="O83" s="23" t="s">
        <v>18</v>
      </c>
      <c r="P83" s="23" t="s">
        <v>18</v>
      </c>
      <c r="Q83" s="23" t="s">
        <v>18</v>
      </c>
      <c r="R83" s="23" t="s">
        <v>18</v>
      </c>
      <c r="S83" s="23" t="s">
        <v>18</v>
      </c>
      <c r="T83" s="23" t="s">
        <v>18</v>
      </c>
      <c r="U83" s="23" t="s">
        <v>18</v>
      </c>
      <c r="V83" s="23" t="s">
        <v>18</v>
      </c>
      <c r="W83" s="23" t="s">
        <v>18</v>
      </c>
      <c r="X83" s="23" t="s">
        <v>18</v>
      </c>
      <c r="Y83" s="23" t="s">
        <v>18</v>
      </c>
      <c r="Z83" s="23" t="s">
        <v>18</v>
      </c>
      <c r="AA83" s="23" t="s">
        <v>18</v>
      </c>
      <c r="AB83" s="23" t="s">
        <v>18</v>
      </c>
      <c r="AC83" s="23" t="s">
        <v>18</v>
      </c>
      <c r="AD83" s="23" t="s">
        <v>18</v>
      </c>
      <c r="AE83" s="23" t="s">
        <v>18</v>
      </c>
      <c r="AF83" s="23" t="s">
        <v>18</v>
      </c>
      <c r="AG83" s="23" t="s">
        <v>18</v>
      </c>
      <c r="AH83" s="23" t="s">
        <v>18</v>
      </c>
      <c r="AI83" s="23" t="s">
        <v>18</v>
      </c>
      <c r="AJ83" s="23" t="s">
        <v>18</v>
      </c>
      <c r="AK83" s="23" t="s">
        <v>18</v>
      </c>
      <c r="AL83" s="23" t="s">
        <v>18</v>
      </c>
      <c r="AM83" s="24"/>
      <c r="AN83" s="24"/>
      <c r="AO83" s="24"/>
      <c r="AP83" s="25">
        <f t="shared" si="1"/>
        <v>33</v>
      </c>
      <c r="AQ83" s="25">
        <f t="shared" si="2"/>
        <v>2</v>
      </c>
      <c r="AR83" s="25">
        <f t="shared" si="3"/>
        <v>35</v>
      </c>
      <c r="AS83" s="26">
        <f t="shared" si="4"/>
        <v>94.28571429</v>
      </c>
      <c r="AT83" s="32"/>
    </row>
    <row r="84" ht="15.75" customHeight="1">
      <c r="A84" s="20">
        <v>74.0</v>
      </c>
      <c r="B84" s="21" t="s">
        <v>164</v>
      </c>
      <c r="C84" s="27" t="s">
        <v>165</v>
      </c>
      <c r="D84" s="23" t="s">
        <v>18</v>
      </c>
      <c r="E84" s="23" t="s">
        <v>18</v>
      </c>
      <c r="F84" s="23" t="s">
        <v>18</v>
      </c>
      <c r="G84" s="23" t="s">
        <v>18</v>
      </c>
      <c r="H84" s="23" t="s">
        <v>18</v>
      </c>
      <c r="I84" s="23" t="s">
        <v>18</v>
      </c>
      <c r="J84" s="23" t="s">
        <v>18</v>
      </c>
      <c r="K84" s="23" t="s">
        <v>18</v>
      </c>
      <c r="L84" s="23" t="s">
        <v>19</v>
      </c>
      <c r="M84" s="23" t="s">
        <v>18</v>
      </c>
      <c r="N84" s="23" t="s">
        <v>18</v>
      </c>
      <c r="O84" s="23" t="s">
        <v>18</v>
      </c>
      <c r="P84" s="23" t="s">
        <v>18</v>
      </c>
      <c r="Q84" s="23" t="s">
        <v>18</v>
      </c>
      <c r="R84" s="23" t="s">
        <v>18</v>
      </c>
      <c r="S84" s="23" t="s">
        <v>18</v>
      </c>
      <c r="T84" s="23" t="s">
        <v>18</v>
      </c>
      <c r="U84" s="23" t="s">
        <v>18</v>
      </c>
      <c r="V84" s="23" t="s">
        <v>18</v>
      </c>
      <c r="W84" s="23" t="s">
        <v>18</v>
      </c>
      <c r="X84" s="23" t="s">
        <v>18</v>
      </c>
      <c r="Y84" s="23" t="s">
        <v>18</v>
      </c>
      <c r="Z84" s="23" t="s">
        <v>18</v>
      </c>
      <c r="AA84" s="23" t="s">
        <v>18</v>
      </c>
      <c r="AB84" s="23" t="s">
        <v>18</v>
      </c>
      <c r="AC84" s="23" t="s">
        <v>18</v>
      </c>
      <c r="AD84" s="23" t="s">
        <v>18</v>
      </c>
      <c r="AE84" s="23" t="s">
        <v>18</v>
      </c>
      <c r="AF84" s="23" t="s">
        <v>18</v>
      </c>
      <c r="AG84" s="23" t="s">
        <v>18</v>
      </c>
      <c r="AH84" s="23" t="s">
        <v>19</v>
      </c>
      <c r="AI84" s="23" t="s">
        <v>18</v>
      </c>
      <c r="AJ84" s="23" t="s">
        <v>18</v>
      </c>
      <c r="AK84" s="23" t="s">
        <v>18</v>
      </c>
      <c r="AL84" s="23" t="s">
        <v>18</v>
      </c>
      <c r="AM84" s="24"/>
      <c r="AN84" s="24"/>
      <c r="AO84" s="24"/>
      <c r="AP84" s="25">
        <v>34.0</v>
      </c>
      <c r="AQ84" s="25">
        <v>0.0</v>
      </c>
      <c r="AR84" s="25">
        <v>34.0</v>
      </c>
      <c r="AS84" s="26">
        <v>100.0</v>
      </c>
      <c r="AT84" s="32"/>
    </row>
    <row r="85" ht="15.75" customHeight="1">
      <c r="A85" s="35">
        <v>75.0</v>
      </c>
      <c r="B85" s="36" t="s">
        <v>166</v>
      </c>
      <c r="C85" s="37" t="s">
        <v>167</v>
      </c>
      <c r="D85" s="23" t="s">
        <v>18</v>
      </c>
      <c r="E85" s="23" t="s">
        <v>18</v>
      </c>
      <c r="F85" s="23" t="s">
        <v>18</v>
      </c>
      <c r="G85" s="23" t="s">
        <v>18</v>
      </c>
      <c r="H85" s="23" t="s">
        <v>18</v>
      </c>
      <c r="I85" s="23" t="s">
        <v>18</v>
      </c>
      <c r="J85" s="23" t="s">
        <v>18</v>
      </c>
      <c r="K85" s="23" t="s">
        <v>18</v>
      </c>
      <c r="L85" s="23" t="s">
        <v>19</v>
      </c>
      <c r="M85" s="23" t="s">
        <v>18</v>
      </c>
      <c r="N85" s="23" t="s">
        <v>18</v>
      </c>
      <c r="O85" s="23" t="s">
        <v>18</v>
      </c>
      <c r="P85" s="23" t="s">
        <v>18</v>
      </c>
      <c r="Q85" s="23" t="s">
        <v>18</v>
      </c>
      <c r="R85" s="23" t="s">
        <v>18</v>
      </c>
      <c r="S85" s="23" t="s">
        <v>18</v>
      </c>
      <c r="T85" s="23" t="s">
        <v>18</v>
      </c>
      <c r="U85" s="23" t="s">
        <v>18</v>
      </c>
      <c r="V85" s="23" t="s">
        <v>18</v>
      </c>
      <c r="W85" s="23" t="s">
        <v>18</v>
      </c>
      <c r="X85" s="23" t="s">
        <v>18</v>
      </c>
      <c r="Y85" s="23" t="s">
        <v>18</v>
      </c>
      <c r="Z85" s="23" t="s">
        <v>18</v>
      </c>
      <c r="AA85" s="23" t="s">
        <v>18</v>
      </c>
      <c r="AB85" s="23" t="s">
        <v>18</v>
      </c>
      <c r="AC85" s="23" t="s">
        <v>18</v>
      </c>
      <c r="AD85" s="23" t="s">
        <v>18</v>
      </c>
      <c r="AE85" s="23" t="s">
        <v>18</v>
      </c>
      <c r="AF85" s="23" t="s">
        <v>18</v>
      </c>
      <c r="AG85" s="23" t="s">
        <v>18</v>
      </c>
      <c r="AH85" s="23" t="s">
        <v>18</v>
      </c>
      <c r="AI85" s="23" t="s">
        <v>18</v>
      </c>
      <c r="AJ85" s="23" t="s">
        <v>18</v>
      </c>
      <c r="AK85" s="23" t="s">
        <v>18</v>
      </c>
      <c r="AL85" s="23" t="s">
        <v>18</v>
      </c>
      <c r="AM85" s="24"/>
      <c r="AN85" s="24"/>
      <c r="AO85" s="24"/>
      <c r="AP85" s="25">
        <v>34.0</v>
      </c>
      <c r="AQ85" s="25">
        <v>0.0</v>
      </c>
      <c r="AR85" s="25">
        <v>34.0</v>
      </c>
      <c r="AS85" s="26">
        <v>100.0</v>
      </c>
      <c r="AT85" s="32"/>
    </row>
    <row r="86" ht="15.75" customHeight="1">
      <c r="A86" s="20"/>
      <c r="B86" s="21"/>
      <c r="C86" s="27"/>
      <c r="D86" s="24"/>
      <c r="E86" s="38"/>
      <c r="F86" s="38"/>
      <c r="G86" s="39"/>
      <c r="H86" s="38"/>
      <c r="I86" s="38"/>
      <c r="J86" s="24"/>
      <c r="K86" s="24"/>
      <c r="L86" s="24"/>
      <c r="M86" s="24"/>
      <c r="N86" s="24"/>
      <c r="O86" s="38"/>
      <c r="P86" s="24"/>
      <c r="Q86" s="28"/>
      <c r="R86" s="40"/>
      <c r="S86" s="24"/>
      <c r="T86" s="24"/>
      <c r="U86" s="24"/>
      <c r="V86" s="24"/>
      <c r="W86" s="24"/>
      <c r="X86" s="38"/>
      <c r="Y86" s="38"/>
      <c r="Z86" s="38"/>
      <c r="AA86" s="38"/>
      <c r="AB86" s="38"/>
      <c r="AC86" s="24"/>
      <c r="AD86" s="24"/>
      <c r="AE86" s="38"/>
      <c r="AF86" s="38"/>
      <c r="AG86" s="24"/>
      <c r="AH86" s="24"/>
      <c r="AI86" s="24"/>
      <c r="AJ86" s="24"/>
      <c r="AK86" s="24"/>
      <c r="AL86" s="24"/>
      <c r="AM86" s="24"/>
      <c r="AN86" s="24"/>
      <c r="AO86" s="24"/>
      <c r="AP86" s="25"/>
      <c r="AQ86" s="25"/>
      <c r="AR86" s="25"/>
      <c r="AS86" s="26"/>
      <c r="AT86" s="32"/>
    </row>
    <row r="87" ht="15.75" customHeight="1">
      <c r="C87" s="41"/>
      <c r="R87" s="8"/>
    </row>
    <row r="88" ht="15.75" customHeight="1">
      <c r="B88" s="41"/>
      <c r="C88" s="42" t="s">
        <v>168</v>
      </c>
      <c r="D88" s="43">
        <f t="shared" ref="D88:R88" si="5">COUNTIF(D11:D87,"P") + COUNTIF(D11:D87, "1")</f>
        <v>72</v>
      </c>
      <c r="E88" s="43">
        <f t="shared" si="5"/>
        <v>72</v>
      </c>
      <c r="F88" s="43">
        <f t="shared" si="5"/>
        <v>71</v>
      </c>
      <c r="G88" s="43">
        <f t="shared" si="5"/>
        <v>70</v>
      </c>
      <c r="H88" s="43">
        <f t="shared" si="5"/>
        <v>68</v>
      </c>
      <c r="I88" s="43">
        <f t="shared" si="5"/>
        <v>67</v>
      </c>
      <c r="J88" s="43">
        <f t="shared" si="5"/>
        <v>66</v>
      </c>
      <c r="K88" s="43">
        <f t="shared" si="5"/>
        <v>67</v>
      </c>
      <c r="L88" s="43">
        <f t="shared" si="5"/>
        <v>66</v>
      </c>
      <c r="M88" s="43">
        <f t="shared" si="5"/>
        <v>70</v>
      </c>
      <c r="N88" s="43">
        <f t="shared" si="5"/>
        <v>71</v>
      </c>
      <c r="O88" s="43">
        <f t="shared" si="5"/>
        <v>68</v>
      </c>
      <c r="P88" s="43">
        <f t="shared" si="5"/>
        <v>70</v>
      </c>
      <c r="Q88" s="43">
        <f t="shared" si="5"/>
        <v>72</v>
      </c>
      <c r="R88" s="43">
        <f t="shared" si="5"/>
        <v>71</v>
      </c>
      <c r="S88" s="43"/>
      <c r="T88" s="43"/>
      <c r="U88" s="43"/>
      <c r="V88" s="43"/>
      <c r="W88" s="43">
        <f t="shared" ref="W88:X88" si="6">COUNTIF(W11:W87,"P") + COUNTIF(W11:W87, "1")</f>
        <v>71</v>
      </c>
      <c r="X88" s="43">
        <f t="shared" si="6"/>
        <v>72</v>
      </c>
      <c r="Y88" s="43"/>
      <c r="Z88" s="43">
        <f t="shared" ref="Z88:AG88" si="7">COUNTIF(Z11:Z87,"P") + COUNTIF(Z11:Z87, "1")</f>
        <v>71</v>
      </c>
      <c r="AA88" s="43">
        <f t="shared" si="7"/>
        <v>72</v>
      </c>
      <c r="AB88" s="43">
        <f t="shared" si="7"/>
        <v>72</v>
      </c>
      <c r="AC88" s="43">
        <f t="shared" si="7"/>
        <v>71</v>
      </c>
      <c r="AD88" s="43">
        <f t="shared" si="7"/>
        <v>69</v>
      </c>
      <c r="AE88" s="43">
        <f t="shared" si="7"/>
        <v>69</v>
      </c>
      <c r="AF88" s="43">
        <f t="shared" si="7"/>
        <v>71</v>
      </c>
      <c r="AG88" s="43">
        <f t="shared" si="7"/>
        <v>71</v>
      </c>
      <c r="AH88" s="44">
        <v>65.0</v>
      </c>
      <c r="AI88" s="43">
        <f t="shared" ref="AI88:AO88" si="8">COUNTIF(AI11:AI87,"P") + COUNTIF(AI11:AI87, "1")</f>
        <v>72</v>
      </c>
      <c r="AJ88" s="43">
        <f t="shared" si="8"/>
        <v>71</v>
      </c>
      <c r="AK88" s="43">
        <f t="shared" si="8"/>
        <v>72</v>
      </c>
      <c r="AL88" s="43">
        <f t="shared" si="8"/>
        <v>72</v>
      </c>
      <c r="AM88" s="43">
        <f t="shared" si="8"/>
        <v>0</v>
      </c>
      <c r="AN88" s="43">
        <f t="shared" si="8"/>
        <v>0</v>
      </c>
      <c r="AO88" s="43">
        <f t="shared" si="8"/>
        <v>0</v>
      </c>
    </row>
    <row r="89" ht="15.75" customHeight="1">
      <c r="B89" s="41"/>
      <c r="C89" s="42" t="s">
        <v>169</v>
      </c>
      <c r="D89" s="45">
        <f t="shared" ref="D89:J89" si="9">COUNTIF(D11:D87,"A") + COUNTIF(D11:D87, "1")</f>
        <v>3</v>
      </c>
      <c r="E89" s="45">
        <f t="shared" si="9"/>
        <v>3</v>
      </c>
      <c r="F89" s="45">
        <f t="shared" si="9"/>
        <v>4</v>
      </c>
      <c r="G89" s="45">
        <f t="shared" si="9"/>
        <v>5</v>
      </c>
      <c r="H89" s="45">
        <f t="shared" si="9"/>
        <v>7</v>
      </c>
      <c r="I89" s="45">
        <f t="shared" si="9"/>
        <v>8</v>
      </c>
      <c r="J89" s="45">
        <f t="shared" si="9"/>
        <v>9</v>
      </c>
      <c r="K89" s="45"/>
      <c r="L89" s="45"/>
      <c r="M89" s="45"/>
      <c r="N89" s="45">
        <f t="shared" ref="N89:R89" si="10">COUNTIF(N11:N87,"A") + COUNTIF(N11:N87, "1")</f>
        <v>4</v>
      </c>
      <c r="O89" s="45">
        <f t="shared" si="10"/>
        <v>7</v>
      </c>
      <c r="P89" s="45">
        <f t="shared" si="10"/>
        <v>5</v>
      </c>
      <c r="Q89" s="45">
        <f t="shared" si="10"/>
        <v>3</v>
      </c>
      <c r="R89" s="45">
        <f t="shared" si="10"/>
        <v>4</v>
      </c>
      <c r="S89" s="45"/>
      <c r="T89" s="45"/>
      <c r="U89" s="45"/>
      <c r="V89" s="45"/>
      <c r="W89" s="45">
        <f t="shared" ref="W89:X89" si="11">COUNTIF(W11:W87,"A") + COUNTIF(W11:W87, "1")</f>
        <v>4</v>
      </c>
      <c r="X89" s="45">
        <f t="shared" si="11"/>
        <v>3</v>
      </c>
      <c r="Y89" s="45"/>
      <c r="Z89" s="45">
        <f t="shared" ref="Z89:AG89" si="12">COUNTIF(Z11:Z87,"A") + COUNTIF(Z11:Z87, "1")</f>
        <v>4</v>
      </c>
      <c r="AA89" s="45">
        <f t="shared" si="12"/>
        <v>3</v>
      </c>
      <c r="AB89" s="45">
        <f t="shared" si="12"/>
        <v>3</v>
      </c>
      <c r="AC89" s="45">
        <f t="shared" si="12"/>
        <v>4</v>
      </c>
      <c r="AD89" s="45">
        <f t="shared" si="12"/>
        <v>6</v>
      </c>
      <c r="AE89" s="45">
        <f t="shared" si="12"/>
        <v>6</v>
      </c>
      <c r="AF89" s="45">
        <f t="shared" si="12"/>
        <v>4</v>
      </c>
      <c r="AG89" s="45">
        <f t="shared" si="12"/>
        <v>4</v>
      </c>
      <c r="AH89" s="46">
        <v>10.0</v>
      </c>
      <c r="AI89" s="45">
        <f t="shared" ref="AI89:AO89" si="13">COUNTIF(AI11:AI87,"A") + COUNTIF(AI11:AI87, "1")</f>
        <v>3</v>
      </c>
      <c r="AJ89" s="45">
        <f t="shared" si="13"/>
        <v>4</v>
      </c>
      <c r="AK89" s="45">
        <f t="shared" si="13"/>
        <v>3</v>
      </c>
      <c r="AL89" s="45">
        <f t="shared" si="13"/>
        <v>3</v>
      </c>
      <c r="AM89" s="45">
        <f t="shared" si="13"/>
        <v>0</v>
      </c>
      <c r="AN89" s="45">
        <f t="shared" si="13"/>
        <v>0</v>
      </c>
      <c r="AO89" s="45">
        <f t="shared" si="13"/>
        <v>0</v>
      </c>
    </row>
    <row r="90" ht="15.75" customHeight="1">
      <c r="B90" s="41"/>
      <c r="C90" s="41"/>
      <c r="R90" s="8"/>
    </row>
    <row r="91" ht="15.75" customHeight="1">
      <c r="B91" s="41"/>
      <c r="C91" s="41"/>
      <c r="R91" s="8"/>
    </row>
    <row r="92" ht="15.75" customHeight="1">
      <c r="B92" s="41"/>
      <c r="C92" s="41"/>
      <c r="R92" s="8"/>
    </row>
    <row r="93" ht="15.75" customHeight="1">
      <c r="C93" s="7"/>
      <c r="R93" s="8"/>
    </row>
    <row r="94" ht="15.75" customHeight="1">
      <c r="C94" s="7"/>
      <c r="R94" s="8"/>
    </row>
    <row r="95" ht="15.75" customHeight="1">
      <c r="C95" s="7"/>
      <c r="R95" s="8"/>
    </row>
    <row r="96" ht="15.75" customHeight="1">
      <c r="C96" s="7"/>
      <c r="R96" s="8"/>
    </row>
    <row r="97" ht="15.75" customHeight="1">
      <c r="C97" s="7"/>
      <c r="R97" s="8"/>
    </row>
    <row r="98" ht="15.75" customHeight="1">
      <c r="C98" s="7"/>
      <c r="R98" s="8"/>
    </row>
    <row r="99" ht="15.75" customHeight="1">
      <c r="C99" s="7"/>
      <c r="R99" s="8"/>
    </row>
    <row r="100" ht="15.75" customHeight="1">
      <c r="C100" s="7"/>
      <c r="R100" s="8"/>
    </row>
    <row r="101" ht="15.75" customHeight="1">
      <c r="C101" s="7"/>
      <c r="R101" s="8"/>
    </row>
    <row r="102" ht="15.75" customHeight="1">
      <c r="C102" s="7"/>
      <c r="R102" s="8"/>
    </row>
    <row r="103" ht="15.75" customHeight="1">
      <c r="C103" s="7"/>
      <c r="R103" s="8"/>
    </row>
    <row r="104" ht="15.75" customHeight="1">
      <c r="C104" s="7"/>
      <c r="R104" s="8"/>
    </row>
    <row r="105" ht="15.75" customHeight="1">
      <c r="C105" s="7"/>
      <c r="R105" s="8"/>
    </row>
    <row r="106" ht="15.75" customHeight="1">
      <c r="C106" s="7"/>
      <c r="R106" s="8"/>
    </row>
    <row r="107" ht="15.75" customHeight="1">
      <c r="C107" s="7"/>
      <c r="R107" s="8"/>
    </row>
    <row r="108" ht="15.75" customHeight="1">
      <c r="C108" s="7"/>
      <c r="R108" s="8"/>
    </row>
    <row r="109" ht="15.75" customHeight="1">
      <c r="C109" s="7"/>
      <c r="R109" s="8"/>
    </row>
    <row r="110" ht="15.75" customHeight="1">
      <c r="C110" s="7"/>
      <c r="R110" s="8"/>
    </row>
    <row r="111" ht="15.75" customHeight="1">
      <c r="C111" s="7"/>
      <c r="R111" s="8"/>
    </row>
    <row r="112" ht="15.75" customHeight="1">
      <c r="C112" s="7"/>
      <c r="R112" s="8"/>
    </row>
    <row r="113" ht="15.75" customHeight="1">
      <c r="C113" s="7"/>
      <c r="R113" s="8"/>
    </row>
    <row r="114" ht="15.75" customHeight="1">
      <c r="C114" s="7"/>
      <c r="R114" s="8"/>
    </row>
    <row r="115" ht="15.75" customHeight="1">
      <c r="C115" s="7"/>
      <c r="R115" s="8"/>
    </row>
    <row r="116" ht="15.75" customHeight="1">
      <c r="C116" s="7"/>
      <c r="R116" s="8"/>
    </row>
    <row r="117" ht="15.75" customHeight="1">
      <c r="C117" s="7"/>
      <c r="R117" s="8"/>
    </row>
    <row r="118" ht="15.75" customHeight="1">
      <c r="C118" s="7"/>
      <c r="R118" s="8"/>
    </row>
    <row r="119" ht="15.75" customHeight="1">
      <c r="C119" s="7"/>
      <c r="R119" s="8"/>
    </row>
    <row r="120" ht="15.75" customHeight="1">
      <c r="C120" s="7"/>
      <c r="R120" s="8"/>
    </row>
    <row r="121" ht="15.75" customHeight="1">
      <c r="C121" s="7"/>
      <c r="R121" s="8"/>
    </row>
    <row r="122" ht="15.75" customHeight="1">
      <c r="C122" s="7"/>
      <c r="R122" s="8"/>
    </row>
    <row r="123" ht="15.75" customHeight="1">
      <c r="C123" s="7"/>
      <c r="R123" s="8"/>
    </row>
    <row r="124" ht="15.75" customHeight="1">
      <c r="C124" s="7"/>
      <c r="R124" s="8"/>
    </row>
    <row r="125" ht="15.75" customHeight="1">
      <c r="C125" s="7"/>
      <c r="R125" s="8"/>
    </row>
    <row r="126" ht="15.75" customHeight="1">
      <c r="C126" s="7"/>
      <c r="R126" s="8"/>
    </row>
    <row r="127" ht="15.75" customHeight="1">
      <c r="C127" s="7"/>
      <c r="R127" s="8"/>
    </row>
    <row r="128" ht="15.75" customHeight="1">
      <c r="C128" s="7"/>
      <c r="R128" s="8"/>
    </row>
    <row r="129" ht="15.75" customHeight="1">
      <c r="C129" s="7"/>
      <c r="R129" s="8"/>
    </row>
    <row r="130" ht="15.75" customHeight="1">
      <c r="C130" s="7"/>
      <c r="R130" s="8"/>
    </row>
    <row r="131" ht="15.75" customHeight="1">
      <c r="C131" s="7"/>
      <c r="R131" s="8"/>
    </row>
    <row r="132" ht="15.75" customHeight="1">
      <c r="C132" s="7"/>
      <c r="R132" s="8"/>
    </row>
    <row r="133" ht="15.75" customHeight="1">
      <c r="C133" s="7"/>
      <c r="R133" s="8"/>
    </row>
    <row r="134" ht="15.75" customHeight="1">
      <c r="C134" s="7"/>
      <c r="R134" s="8"/>
    </row>
    <row r="135" ht="15.75" customHeight="1">
      <c r="C135" s="7"/>
      <c r="R135" s="8"/>
    </row>
    <row r="136" ht="15.75" customHeight="1">
      <c r="C136" s="7"/>
      <c r="R136" s="8"/>
    </row>
    <row r="137" ht="15.75" customHeight="1">
      <c r="C137" s="7"/>
      <c r="R137" s="8"/>
    </row>
    <row r="138" ht="15.75" customHeight="1">
      <c r="C138" s="7"/>
      <c r="R138" s="8"/>
    </row>
    <row r="139" ht="15.75" customHeight="1">
      <c r="C139" s="7"/>
      <c r="R139" s="8"/>
    </row>
    <row r="140" ht="15.75" customHeight="1">
      <c r="C140" s="7"/>
      <c r="R140" s="8"/>
    </row>
    <row r="141" ht="15.75" customHeight="1">
      <c r="C141" s="7"/>
      <c r="R141" s="8"/>
    </row>
    <row r="142" ht="15.75" customHeight="1">
      <c r="C142" s="7"/>
      <c r="R142" s="8"/>
    </row>
    <row r="143" ht="15.75" customHeight="1">
      <c r="C143" s="7"/>
      <c r="R143" s="8"/>
    </row>
    <row r="144" ht="15.75" customHeight="1">
      <c r="C144" s="7"/>
      <c r="R144" s="8"/>
    </row>
    <row r="145" ht="15.75" customHeight="1">
      <c r="C145" s="7"/>
      <c r="R145" s="8"/>
    </row>
    <row r="146" ht="15.75" customHeight="1">
      <c r="C146" s="7"/>
      <c r="R146" s="8"/>
    </row>
    <row r="147" ht="15.75" customHeight="1">
      <c r="C147" s="7"/>
      <c r="R147" s="8"/>
    </row>
    <row r="148" ht="15.75" customHeight="1">
      <c r="C148" s="7"/>
      <c r="R148" s="8"/>
    </row>
    <row r="149" ht="15.75" customHeight="1">
      <c r="C149" s="7"/>
      <c r="R149" s="8"/>
    </row>
    <row r="150" ht="15.75" customHeight="1">
      <c r="C150" s="7"/>
      <c r="R150" s="8"/>
    </row>
    <row r="151" ht="15.75" customHeight="1">
      <c r="C151" s="7"/>
      <c r="R151" s="8"/>
    </row>
    <row r="152" ht="15.75" customHeight="1">
      <c r="C152" s="7"/>
      <c r="R152" s="8"/>
    </row>
    <row r="153" ht="15.75" customHeight="1">
      <c r="C153" s="7"/>
      <c r="R153" s="8"/>
    </row>
    <row r="154" ht="15.75" customHeight="1">
      <c r="C154" s="7"/>
      <c r="R154" s="8"/>
    </row>
    <row r="155" ht="15.75" customHeight="1">
      <c r="C155" s="7"/>
      <c r="R155" s="8"/>
    </row>
    <row r="156" ht="15.75" customHeight="1">
      <c r="C156" s="7"/>
      <c r="R156" s="8"/>
    </row>
    <row r="157" ht="15.75" customHeight="1">
      <c r="C157" s="7"/>
      <c r="R157" s="8"/>
    </row>
    <row r="158" ht="15.75" customHeight="1">
      <c r="C158" s="7"/>
      <c r="R158" s="8"/>
    </row>
    <row r="159" ht="15.75" customHeight="1">
      <c r="C159" s="7"/>
      <c r="R159" s="8"/>
    </row>
    <row r="160" ht="15.75" customHeight="1">
      <c r="C160" s="7"/>
      <c r="R160" s="8"/>
    </row>
    <row r="161" ht="15.75" customHeight="1">
      <c r="C161" s="7"/>
      <c r="R161" s="8"/>
    </row>
    <row r="162" ht="15.75" customHeight="1">
      <c r="C162" s="7"/>
      <c r="R162" s="8"/>
    </row>
    <row r="163" ht="15.75" customHeight="1">
      <c r="C163" s="7"/>
      <c r="R163" s="8"/>
    </row>
    <row r="164" ht="15.75" customHeight="1">
      <c r="C164" s="7"/>
      <c r="R164" s="8"/>
    </row>
    <row r="165" ht="15.75" customHeight="1">
      <c r="C165" s="7"/>
      <c r="R165" s="8"/>
    </row>
    <row r="166" ht="15.75" customHeight="1">
      <c r="C166" s="7"/>
      <c r="R166" s="8"/>
    </row>
    <row r="167" ht="15.75" customHeight="1">
      <c r="C167" s="7"/>
      <c r="R167" s="8"/>
    </row>
    <row r="168" ht="15.75" customHeight="1">
      <c r="C168" s="7"/>
      <c r="R168" s="8"/>
    </row>
    <row r="169" ht="15.75" customHeight="1">
      <c r="C169" s="7"/>
      <c r="R169" s="8"/>
    </row>
    <row r="170" ht="15.75" customHeight="1">
      <c r="C170" s="7"/>
      <c r="R170" s="8"/>
    </row>
    <row r="171" ht="15.75" customHeight="1">
      <c r="C171" s="7"/>
      <c r="R171" s="8"/>
    </row>
    <row r="172" ht="15.75" customHeight="1">
      <c r="C172" s="7"/>
      <c r="R172" s="8"/>
    </row>
    <row r="173" ht="15.75" customHeight="1">
      <c r="C173" s="7"/>
      <c r="R173" s="8"/>
    </row>
    <row r="174" ht="15.75" customHeight="1">
      <c r="C174" s="7"/>
      <c r="R174" s="8"/>
    </row>
    <row r="175" ht="15.75" customHeight="1">
      <c r="C175" s="7"/>
      <c r="R175" s="8"/>
    </row>
    <row r="176" ht="15.75" customHeight="1">
      <c r="C176" s="7"/>
      <c r="R176" s="8"/>
    </row>
    <row r="177" ht="15.75" customHeight="1">
      <c r="C177" s="7"/>
      <c r="R177" s="8"/>
    </row>
    <row r="178" ht="15.75" customHeight="1">
      <c r="C178" s="7"/>
      <c r="R178" s="8"/>
    </row>
    <row r="179" ht="15.75" customHeight="1">
      <c r="C179" s="7"/>
      <c r="R179" s="8"/>
    </row>
    <row r="180" ht="15.75" customHeight="1">
      <c r="C180" s="7"/>
      <c r="R180" s="8"/>
    </row>
    <row r="181" ht="15.75" customHeight="1">
      <c r="C181" s="7"/>
      <c r="R181" s="8"/>
    </row>
    <row r="182" ht="15.75" customHeight="1">
      <c r="C182" s="7"/>
      <c r="R182" s="8"/>
    </row>
    <row r="183" ht="15.75" customHeight="1">
      <c r="C183" s="7"/>
      <c r="R183" s="8"/>
    </row>
    <row r="184" ht="15.75" customHeight="1">
      <c r="C184" s="7"/>
      <c r="R184" s="8"/>
    </row>
    <row r="185" ht="15.75" customHeight="1">
      <c r="C185" s="7"/>
      <c r="R185" s="8"/>
    </row>
    <row r="186" ht="15.75" customHeight="1">
      <c r="C186" s="7"/>
      <c r="R186" s="8"/>
    </row>
    <row r="187" ht="15.75" customHeight="1">
      <c r="C187" s="7"/>
      <c r="R187" s="8"/>
    </row>
    <row r="188" ht="15.75" customHeight="1">
      <c r="C188" s="7"/>
      <c r="R188" s="8"/>
    </row>
    <row r="189" ht="15.75" customHeight="1">
      <c r="C189" s="7"/>
      <c r="R189" s="8"/>
    </row>
    <row r="190" ht="15.75" customHeight="1">
      <c r="C190" s="7"/>
      <c r="R190" s="8"/>
    </row>
    <row r="191" ht="15.75" customHeight="1">
      <c r="C191" s="7"/>
      <c r="R191" s="8"/>
    </row>
    <row r="192" ht="15.75" customHeight="1">
      <c r="C192" s="7"/>
      <c r="R192" s="8"/>
    </row>
    <row r="193" ht="15.75" customHeight="1">
      <c r="C193" s="7"/>
      <c r="R193" s="8"/>
    </row>
    <row r="194" ht="15.75" customHeight="1">
      <c r="C194" s="7"/>
      <c r="R194" s="8"/>
    </row>
    <row r="195" ht="15.75" customHeight="1">
      <c r="C195" s="7"/>
      <c r="R195" s="8"/>
    </row>
    <row r="196" ht="15.75" customHeight="1">
      <c r="C196" s="7"/>
      <c r="R196" s="8"/>
    </row>
    <row r="197" ht="15.75" customHeight="1">
      <c r="C197" s="7"/>
      <c r="R197" s="8"/>
    </row>
    <row r="198" ht="15.75" customHeight="1">
      <c r="C198" s="7"/>
      <c r="R198" s="8"/>
    </row>
    <row r="199" ht="15.75" customHeight="1">
      <c r="C199" s="7"/>
      <c r="R199" s="8"/>
    </row>
    <row r="200" ht="15.75" customHeight="1">
      <c r="C200" s="7"/>
      <c r="R200" s="8"/>
    </row>
    <row r="201" ht="15.75" customHeight="1">
      <c r="C201" s="7"/>
      <c r="R201" s="8"/>
    </row>
    <row r="202" ht="15.75" customHeight="1">
      <c r="C202" s="7"/>
      <c r="R202" s="8"/>
    </row>
    <row r="203" ht="15.75" customHeight="1">
      <c r="C203" s="7"/>
      <c r="R203" s="8"/>
    </row>
    <row r="204" ht="15.75" customHeight="1">
      <c r="C204" s="7"/>
      <c r="R204" s="8"/>
    </row>
    <row r="205" ht="15.75" customHeight="1">
      <c r="C205" s="7"/>
      <c r="R205" s="8"/>
    </row>
    <row r="206" ht="15.75" customHeight="1">
      <c r="C206" s="7"/>
      <c r="R206" s="8"/>
    </row>
    <row r="207" ht="15.75" customHeight="1">
      <c r="C207" s="7"/>
      <c r="R207" s="8"/>
    </row>
    <row r="208" ht="15.75" customHeight="1">
      <c r="C208" s="7"/>
      <c r="R208" s="8"/>
    </row>
    <row r="209" ht="15.75" customHeight="1">
      <c r="C209" s="7"/>
      <c r="R209" s="8"/>
    </row>
    <row r="210" ht="15.75" customHeight="1">
      <c r="C210" s="7"/>
      <c r="R210" s="8"/>
    </row>
    <row r="211" ht="15.75" customHeight="1">
      <c r="C211" s="7"/>
      <c r="R211" s="8"/>
    </row>
    <row r="212" ht="15.75" customHeight="1">
      <c r="C212" s="7"/>
      <c r="R212" s="8"/>
    </row>
    <row r="213" ht="15.75" customHeight="1">
      <c r="C213" s="7"/>
      <c r="R213" s="8"/>
    </row>
    <row r="214" ht="15.75" customHeight="1">
      <c r="C214" s="7"/>
      <c r="R214" s="8"/>
    </row>
    <row r="215" ht="15.75" customHeight="1">
      <c r="C215" s="7"/>
      <c r="R215" s="8"/>
    </row>
    <row r="216" ht="15.75" customHeight="1">
      <c r="C216" s="7"/>
      <c r="R216" s="8"/>
    </row>
    <row r="217" ht="15.75" customHeight="1">
      <c r="C217" s="7"/>
      <c r="R217" s="8"/>
    </row>
    <row r="218" ht="15.75" customHeight="1">
      <c r="C218" s="7"/>
      <c r="R218" s="8"/>
    </row>
    <row r="219" ht="15.75" customHeight="1">
      <c r="C219" s="7"/>
      <c r="R219" s="8"/>
    </row>
    <row r="220" ht="15.75" customHeight="1">
      <c r="C220" s="7"/>
      <c r="R220" s="8"/>
    </row>
    <row r="221" ht="15.75" customHeight="1">
      <c r="C221" s="7"/>
      <c r="R221" s="8"/>
    </row>
    <row r="222" ht="15.75" customHeight="1">
      <c r="C222" s="7"/>
      <c r="R222" s="8"/>
    </row>
    <row r="223" ht="15.75" customHeight="1">
      <c r="C223" s="7"/>
      <c r="R223" s="8"/>
    </row>
    <row r="224" ht="15.75" customHeight="1">
      <c r="C224" s="7"/>
      <c r="R224" s="8"/>
    </row>
    <row r="225" ht="15.75" customHeight="1">
      <c r="C225" s="7"/>
      <c r="R225" s="8"/>
    </row>
    <row r="226" ht="15.75" customHeight="1">
      <c r="C226" s="7"/>
      <c r="R226" s="8"/>
    </row>
    <row r="227" ht="15.75" customHeight="1">
      <c r="C227" s="7"/>
      <c r="R227" s="8"/>
    </row>
    <row r="228" ht="15.75" customHeight="1">
      <c r="C228" s="7"/>
      <c r="R228" s="8"/>
    </row>
    <row r="229" ht="15.75" customHeight="1">
      <c r="C229" s="7"/>
      <c r="R229" s="8"/>
    </row>
    <row r="230" ht="15.75" customHeight="1">
      <c r="C230" s="7"/>
      <c r="R230" s="8"/>
    </row>
    <row r="231" ht="15.75" customHeight="1">
      <c r="C231" s="7"/>
      <c r="R231" s="8"/>
    </row>
    <row r="232" ht="15.75" customHeight="1">
      <c r="C232" s="7"/>
      <c r="R232" s="8"/>
    </row>
    <row r="233" ht="15.75" customHeight="1">
      <c r="C233" s="7"/>
      <c r="R233" s="8"/>
    </row>
    <row r="234" ht="15.75" customHeight="1">
      <c r="C234" s="7"/>
      <c r="R234" s="8"/>
    </row>
    <row r="235" ht="15.75" customHeight="1">
      <c r="C235" s="7"/>
      <c r="R235" s="8"/>
    </row>
    <row r="236" ht="15.75" customHeight="1">
      <c r="C236" s="7"/>
      <c r="R236" s="8"/>
    </row>
    <row r="237" ht="15.75" customHeight="1">
      <c r="C237" s="7"/>
      <c r="R237" s="8"/>
    </row>
    <row r="238" ht="15.75" customHeight="1">
      <c r="C238" s="7"/>
      <c r="R238" s="8"/>
    </row>
    <row r="239" ht="15.75" customHeight="1">
      <c r="C239" s="7"/>
      <c r="R239" s="8"/>
    </row>
    <row r="240" ht="15.75" customHeight="1">
      <c r="C240" s="7"/>
      <c r="R240" s="8"/>
    </row>
    <row r="241" ht="15.75" customHeight="1">
      <c r="C241" s="7"/>
      <c r="R241" s="8"/>
    </row>
    <row r="242" ht="15.75" customHeight="1">
      <c r="C242" s="7"/>
      <c r="R242" s="8"/>
    </row>
    <row r="243" ht="15.75" customHeight="1">
      <c r="C243" s="7"/>
      <c r="R243" s="8"/>
    </row>
    <row r="244" ht="15.75" customHeight="1">
      <c r="C244" s="7"/>
      <c r="R244" s="8"/>
    </row>
    <row r="245" ht="15.75" customHeight="1">
      <c r="C245" s="7"/>
      <c r="R245" s="8"/>
    </row>
    <row r="246" ht="15.75" customHeight="1">
      <c r="C246" s="7"/>
      <c r="R246" s="8"/>
    </row>
    <row r="247" ht="15.75" customHeight="1">
      <c r="C247" s="7"/>
      <c r="R247" s="8"/>
    </row>
    <row r="248" ht="15.75" customHeight="1">
      <c r="C248" s="7"/>
      <c r="R248" s="8"/>
    </row>
    <row r="249" ht="15.75" customHeight="1">
      <c r="C249" s="7"/>
      <c r="R249" s="8"/>
    </row>
    <row r="250" ht="15.75" customHeight="1">
      <c r="C250" s="7"/>
      <c r="R250" s="8"/>
    </row>
    <row r="251" ht="15.75" customHeight="1">
      <c r="C251" s="7"/>
      <c r="R251" s="8"/>
    </row>
    <row r="252" ht="15.75" customHeight="1">
      <c r="C252" s="7"/>
      <c r="R252" s="8"/>
    </row>
    <row r="253" ht="15.75" customHeight="1">
      <c r="C253" s="7"/>
      <c r="R253" s="8"/>
    </row>
    <row r="254" ht="15.75" customHeight="1">
      <c r="C254" s="7"/>
      <c r="R254" s="8"/>
    </row>
    <row r="255" ht="15.75" customHeight="1">
      <c r="C255" s="7"/>
      <c r="R255" s="8"/>
    </row>
    <row r="256" ht="15.75" customHeight="1">
      <c r="C256" s="7"/>
      <c r="R256" s="8"/>
    </row>
    <row r="257" ht="15.75" customHeight="1">
      <c r="C257" s="7"/>
      <c r="R257" s="8"/>
    </row>
    <row r="258" ht="15.75" customHeight="1">
      <c r="C258" s="7"/>
      <c r="R258" s="8"/>
    </row>
    <row r="259" ht="15.75" customHeight="1">
      <c r="C259" s="7"/>
      <c r="R259" s="8"/>
    </row>
    <row r="260" ht="15.75" customHeight="1">
      <c r="C260" s="7"/>
      <c r="R260" s="8"/>
    </row>
    <row r="261" ht="15.75" customHeight="1">
      <c r="C261" s="7"/>
      <c r="R261" s="8"/>
    </row>
    <row r="262" ht="15.75" customHeight="1">
      <c r="C262" s="7"/>
      <c r="R262" s="8"/>
    </row>
    <row r="263" ht="15.75" customHeight="1">
      <c r="C263" s="7"/>
      <c r="R263" s="8"/>
    </row>
    <row r="264" ht="15.75" customHeight="1">
      <c r="C264" s="7"/>
      <c r="R264" s="8"/>
    </row>
    <row r="265" ht="15.75" customHeight="1">
      <c r="C265" s="7"/>
      <c r="R265" s="8"/>
    </row>
    <row r="266" ht="15.75" customHeight="1">
      <c r="C266" s="7"/>
      <c r="R266" s="8"/>
    </row>
    <row r="267" ht="15.75" customHeight="1">
      <c r="C267" s="7"/>
      <c r="R267" s="8"/>
    </row>
    <row r="268" ht="15.75" customHeight="1">
      <c r="C268" s="7"/>
      <c r="R268" s="8"/>
    </row>
    <row r="269" ht="15.75" customHeight="1">
      <c r="C269" s="7"/>
      <c r="R269" s="8"/>
    </row>
    <row r="270" ht="15.75" customHeight="1">
      <c r="C270" s="7"/>
      <c r="R270" s="8"/>
    </row>
    <row r="271" ht="15.75" customHeight="1">
      <c r="C271" s="7"/>
      <c r="R271" s="8"/>
    </row>
    <row r="272" ht="15.75" customHeight="1">
      <c r="C272" s="7"/>
      <c r="R272" s="8"/>
    </row>
    <row r="273" ht="15.75" customHeight="1">
      <c r="C273" s="7"/>
      <c r="R273" s="8"/>
    </row>
    <row r="274" ht="15.75" customHeight="1">
      <c r="C274" s="7"/>
      <c r="R274" s="8"/>
    </row>
    <row r="275" ht="15.75" customHeight="1">
      <c r="C275" s="7"/>
      <c r="R275" s="8"/>
    </row>
    <row r="276" ht="15.75" customHeight="1">
      <c r="C276" s="7"/>
      <c r="R276" s="8"/>
    </row>
    <row r="277" ht="15.75" customHeight="1">
      <c r="C277" s="7"/>
      <c r="R277" s="8"/>
    </row>
    <row r="278" ht="15.75" customHeight="1">
      <c r="C278" s="7"/>
      <c r="R278" s="8"/>
    </row>
    <row r="279" ht="15.75" customHeight="1">
      <c r="C279" s="7"/>
      <c r="R279" s="8"/>
    </row>
    <row r="280" ht="15.75" customHeight="1">
      <c r="C280" s="7"/>
      <c r="R280" s="8"/>
    </row>
    <row r="281" ht="15.75" customHeight="1">
      <c r="C281" s="7"/>
      <c r="R281" s="8"/>
    </row>
    <row r="282" ht="15.75" customHeight="1">
      <c r="C282" s="7"/>
      <c r="R282" s="8"/>
    </row>
    <row r="283" ht="15.75" customHeight="1">
      <c r="C283" s="7"/>
      <c r="R283" s="8"/>
    </row>
    <row r="284" ht="15.75" customHeight="1">
      <c r="C284" s="7"/>
      <c r="R284" s="8"/>
    </row>
    <row r="285" ht="15.75" customHeight="1">
      <c r="C285" s="7"/>
      <c r="R285" s="8"/>
    </row>
    <row r="286" ht="15.75" customHeight="1">
      <c r="C286" s="7"/>
      <c r="R286" s="8"/>
    </row>
    <row r="287" ht="15.75" customHeight="1">
      <c r="C287" s="7"/>
      <c r="R287" s="8"/>
    </row>
    <row r="288" ht="15.75" customHeight="1">
      <c r="C288" s="7"/>
      <c r="R288" s="8"/>
    </row>
    <row r="289" ht="15.75" customHeight="1">
      <c r="C289" s="7"/>
      <c r="R289" s="8"/>
    </row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N8:V8"/>
    <mergeCell ref="W8:AC8"/>
    <mergeCell ref="A1:AQ1"/>
    <mergeCell ref="A2:AQ2"/>
    <mergeCell ref="A3:AQ3"/>
    <mergeCell ref="A4:AQ4"/>
    <mergeCell ref="A5:AQ5"/>
    <mergeCell ref="A6:AQ6"/>
    <mergeCell ref="D8:M8"/>
    <mergeCell ref="AD8:AL8"/>
  </mergeCells>
  <conditionalFormatting sqref="D11:F86 G11:G85 H11:AO86 AT42:AT86">
    <cfRule type="containsText" dxfId="0" priority="1" operator="containsText" text="A">
      <formula>NOT(ISERROR(SEARCH(("A"),(D11))))</formula>
    </cfRule>
  </conditionalFormatting>
  <conditionalFormatting sqref="D11:F86 G11:G85 H11:AO86 AT42:AT86">
    <cfRule type="containsText" dxfId="1" priority="2" operator="containsText" text="P">
      <formula>NOT(ISERROR(SEARCH(("P"),(D11))))</formula>
    </cfRule>
  </conditionalFormatting>
  <printOptions gridLines="1" horizontalCentered="1"/>
  <pageMargins bottom="0.75" footer="0.0" header="0.0" left="0.7" right="0.7" top="0.75"/>
  <pageSetup fitToHeight="0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4.43"/>
    <col customWidth="1" min="3" max="3" width="37.14"/>
    <col customWidth="1" min="4" max="4" width="5.71"/>
    <col customWidth="1" min="5" max="6" width="6.29"/>
    <col customWidth="1" min="7" max="7" width="6.57"/>
    <col customWidth="1" min="8" max="10" width="6.14"/>
    <col customWidth="1" min="11" max="11" width="6.29"/>
    <col customWidth="1" min="12" max="12" width="6.14"/>
    <col customWidth="1" min="13" max="14" width="6.57"/>
    <col customWidth="1" min="15" max="15" width="7.14"/>
    <col customWidth="1" min="16" max="16" width="7.57"/>
    <col customWidth="1" min="17" max="17" width="7.29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3"/>
    </row>
    <row r="2" ht="15.0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3"/>
    </row>
    <row r="3" ht="15.0" customHeight="1">
      <c r="A3" s="6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ht="15.0" customHeight="1">
      <c r="A4" s="6" t="s">
        <v>170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3"/>
    </row>
    <row r="5" ht="15.0" customHeight="1">
      <c r="A5" s="6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3"/>
    </row>
    <row r="6" ht="15.0" customHeight="1">
      <c r="A6" s="6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3"/>
    </row>
    <row r="7" ht="15.0" customHeight="1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3"/>
      <c r="AD7" s="47"/>
      <c r="AE7" s="47"/>
      <c r="AF7" s="47"/>
      <c r="AG7" s="47"/>
      <c r="AH7" s="47"/>
    </row>
    <row r="8">
      <c r="A8" s="7"/>
      <c r="B8" s="7"/>
      <c r="C8" s="7"/>
      <c r="D8" s="48"/>
      <c r="E8" s="48"/>
      <c r="F8" s="48"/>
      <c r="G8" s="49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</row>
    <row r="9" ht="15.0" customHeight="1">
      <c r="A9" s="7"/>
      <c r="B9" s="7"/>
      <c r="C9" s="7"/>
      <c r="D9" s="50" t="s">
        <v>171</v>
      </c>
      <c r="E9" s="2"/>
      <c r="F9" s="3"/>
      <c r="G9" s="50" t="s">
        <v>172</v>
      </c>
      <c r="H9" s="2"/>
      <c r="I9" s="3"/>
      <c r="J9" s="51" t="s">
        <v>173</v>
      </c>
      <c r="K9" s="52"/>
      <c r="L9" s="53"/>
      <c r="M9" s="54" t="s">
        <v>8</v>
      </c>
      <c r="N9" s="53"/>
      <c r="O9" s="55" t="s">
        <v>9</v>
      </c>
      <c r="P9" s="55" t="s">
        <v>10</v>
      </c>
      <c r="Q9" s="55" t="s">
        <v>11</v>
      </c>
      <c r="R9" s="55" t="s">
        <v>12</v>
      </c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7"/>
      <c r="AE9" s="57"/>
      <c r="AF9" s="57"/>
      <c r="AG9" s="57"/>
      <c r="AH9" s="57"/>
    </row>
    <row r="10">
      <c r="A10" s="58" t="s">
        <v>13</v>
      </c>
      <c r="B10" s="58" t="s">
        <v>14</v>
      </c>
      <c r="C10" s="58" t="s">
        <v>15</v>
      </c>
      <c r="D10" s="59">
        <v>11.0</v>
      </c>
      <c r="E10" s="60">
        <v>18.0</v>
      </c>
      <c r="F10" s="60">
        <v>26.0</v>
      </c>
      <c r="G10" s="60">
        <v>1.0</v>
      </c>
      <c r="H10" s="60">
        <v>8.0</v>
      </c>
      <c r="I10" s="60">
        <v>15.0</v>
      </c>
      <c r="J10" s="60">
        <v>6.0</v>
      </c>
      <c r="K10" s="60">
        <v>13.0</v>
      </c>
      <c r="L10" s="60">
        <v>27.0</v>
      </c>
      <c r="M10" s="60">
        <v>3.0</v>
      </c>
      <c r="N10" s="61">
        <v>21.0</v>
      </c>
      <c r="O10" s="55"/>
      <c r="P10" s="55"/>
      <c r="Q10" s="55"/>
      <c r="R10" s="55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7"/>
      <c r="AE10" s="57"/>
      <c r="AF10" s="57"/>
      <c r="AG10" s="57"/>
      <c r="AH10" s="57"/>
    </row>
    <row r="11">
      <c r="A11" s="20">
        <v>1.0</v>
      </c>
      <c r="B11" s="21" t="s">
        <v>16</v>
      </c>
      <c r="C11" s="22" t="s">
        <v>17</v>
      </c>
      <c r="D11" s="62" t="s">
        <v>18</v>
      </c>
      <c r="E11" s="62" t="s">
        <v>18</v>
      </c>
      <c r="F11" s="62" t="s">
        <v>18</v>
      </c>
      <c r="G11" s="62" t="s">
        <v>18</v>
      </c>
      <c r="H11" s="62" t="s">
        <v>18</v>
      </c>
      <c r="I11" s="62" t="s">
        <v>18</v>
      </c>
      <c r="J11" s="62" t="s">
        <v>18</v>
      </c>
      <c r="K11" s="62" t="s">
        <v>18</v>
      </c>
      <c r="L11" s="62" t="s">
        <v>18</v>
      </c>
      <c r="M11" s="62" t="s">
        <v>18</v>
      </c>
      <c r="N11" s="62" t="s">
        <v>18</v>
      </c>
      <c r="O11" s="63">
        <f t="shared" ref="O11:O47" si="1">COUNTIF(D11:M11,"P") + COUNTIF(D11:M11, "1")</f>
        <v>10</v>
      </c>
      <c r="P11" s="63">
        <f t="shared" ref="P11:P47" si="2">COUNTIF(D11:M11,"A") + COUNTIF(D11:M11,"0")</f>
        <v>0</v>
      </c>
      <c r="Q11" s="63">
        <f t="shared" ref="Q11:Q47" si="3">SUM(O11:P11)</f>
        <v>10</v>
      </c>
      <c r="R11" s="64">
        <f t="shared" ref="R11:R47" si="4">(O11/Q11)*100</f>
        <v>100</v>
      </c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</row>
    <row r="12">
      <c r="A12" s="20">
        <v>2.0</v>
      </c>
      <c r="B12" s="21" t="s">
        <v>20</v>
      </c>
      <c r="C12" s="27" t="s">
        <v>21</v>
      </c>
      <c r="D12" s="62" t="s">
        <v>18</v>
      </c>
      <c r="E12" s="62" t="s">
        <v>18</v>
      </c>
      <c r="F12" s="62" t="s">
        <v>18</v>
      </c>
      <c r="G12" s="62" t="s">
        <v>18</v>
      </c>
      <c r="H12" s="62" t="s">
        <v>18</v>
      </c>
      <c r="I12" s="62" t="s">
        <v>18</v>
      </c>
      <c r="J12" s="62" t="s">
        <v>18</v>
      </c>
      <c r="K12" s="62" t="s">
        <v>18</v>
      </c>
      <c r="L12" s="62" t="s">
        <v>18</v>
      </c>
      <c r="M12" s="62" t="s">
        <v>18</v>
      </c>
      <c r="N12" s="62" t="s">
        <v>18</v>
      </c>
      <c r="O12" s="63">
        <f t="shared" si="1"/>
        <v>10</v>
      </c>
      <c r="P12" s="63">
        <f t="shared" si="2"/>
        <v>0</v>
      </c>
      <c r="Q12" s="63">
        <f t="shared" si="3"/>
        <v>10</v>
      </c>
      <c r="R12" s="64">
        <f t="shared" si="4"/>
        <v>100</v>
      </c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</row>
    <row r="13">
      <c r="A13" s="20">
        <v>3.0</v>
      </c>
      <c r="B13" s="21" t="s">
        <v>22</v>
      </c>
      <c r="C13" s="27" t="s">
        <v>23</v>
      </c>
      <c r="D13" s="62" t="s">
        <v>18</v>
      </c>
      <c r="E13" s="62" t="s">
        <v>18</v>
      </c>
      <c r="F13" s="62" t="s">
        <v>18</v>
      </c>
      <c r="G13" s="62" t="s">
        <v>18</v>
      </c>
      <c r="H13" s="62" t="s">
        <v>18</v>
      </c>
      <c r="I13" s="62" t="s">
        <v>18</v>
      </c>
      <c r="J13" s="62" t="s">
        <v>18</v>
      </c>
      <c r="K13" s="62" t="s">
        <v>18</v>
      </c>
      <c r="L13" s="62" t="s">
        <v>18</v>
      </c>
      <c r="M13" s="62" t="s">
        <v>18</v>
      </c>
      <c r="N13" s="62" t="s">
        <v>18</v>
      </c>
      <c r="O13" s="63">
        <f t="shared" si="1"/>
        <v>10</v>
      </c>
      <c r="P13" s="63">
        <f t="shared" si="2"/>
        <v>0</v>
      </c>
      <c r="Q13" s="63">
        <f t="shared" si="3"/>
        <v>10</v>
      </c>
      <c r="R13" s="64">
        <f t="shared" si="4"/>
        <v>100</v>
      </c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</row>
    <row r="14">
      <c r="A14" s="20">
        <v>4.0</v>
      </c>
      <c r="B14" s="21" t="s">
        <v>24</v>
      </c>
      <c r="C14" s="27" t="s">
        <v>25</v>
      </c>
      <c r="D14" s="62" t="s">
        <v>18</v>
      </c>
      <c r="E14" s="62" t="s">
        <v>19</v>
      </c>
      <c r="F14" s="62" t="s">
        <v>18</v>
      </c>
      <c r="G14" s="62" t="s">
        <v>18</v>
      </c>
      <c r="H14" s="62" t="s">
        <v>18</v>
      </c>
      <c r="I14" s="62" t="s">
        <v>18</v>
      </c>
      <c r="J14" s="62" t="s">
        <v>18</v>
      </c>
      <c r="K14" s="62" t="s">
        <v>18</v>
      </c>
      <c r="L14" s="62" t="s">
        <v>19</v>
      </c>
      <c r="M14" s="62" t="s">
        <v>18</v>
      </c>
      <c r="N14" s="62" t="s">
        <v>18</v>
      </c>
      <c r="O14" s="63">
        <f t="shared" si="1"/>
        <v>8</v>
      </c>
      <c r="P14" s="63">
        <f t="shared" si="2"/>
        <v>2</v>
      </c>
      <c r="Q14" s="63">
        <f t="shared" si="3"/>
        <v>10</v>
      </c>
      <c r="R14" s="64">
        <f t="shared" si="4"/>
        <v>80</v>
      </c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</row>
    <row r="15">
      <c r="A15" s="20">
        <v>5.0</v>
      </c>
      <c r="B15" s="21" t="s">
        <v>26</v>
      </c>
      <c r="C15" s="27" t="s">
        <v>27</v>
      </c>
      <c r="D15" s="62" t="s">
        <v>18</v>
      </c>
      <c r="E15" s="62" t="s">
        <v>18</v>
      </c>
      <c r="F15" s="62" t="s">
        <v>18</v>
      </c>
      <c r="G15" s="62" t="s">
        <v>18</v>
      </c>
      <c r="H15" s="62" t="s">
        <v>18</v>
      </c>
      <c r="I15" s="62" t="s">
        <v>18</v>
      </c>
      <c r="J15" s="62" t="s">
        <v>18</v>
      </c>
      <c r="K15" s="62" t="s">
        <v>18</v>
      </c>
      <c r="L15" s="62" t="s">
        <v>18</v>
      </c>
      <c r="M15" s="62" t="s">
        <v>18</v>
      </c>
      <c r="N15" s="62" t="s">
        <v>18</v>
      </c>
      <c r="O15" s="63">
        <f t="shared" si="1"/>
        <v>10</v>
      </c>
      <c r="P15" s="63">
        <f t="shared" si="2"/>
        <v>0</v>
      </c>
      <c r="Q15" s="63">
        <f t="shared" si="3"/>
        <v>10</v>
      </c>
      <c r="R15" s="64">
        <f t="shared" si="4"/>
        <v>100</v>
      </c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</row>
    <row r="16">
      <c r="A16" s="20">
        <v>6.0</v>
      </c>
      <c r="B16" s="21" t="s">
        <v>28</v>
      </c>
      <c r="C16" s="27" t="s">
        <v>29</v>
      </c>
      <c r="D16" s="62" t="s">
        <v>18</v>
      </c>
      <c r="E16" s="62" t="s">
        <v>18</v>
      </c>
      <c r="F16" s="62" t="s">
        <v>18</v>
      </c>
      <c r="G16" s="62" t="s">
        <v>18</v>
      </c>
      <c r="H16" s="62" t="s">
        <v>18</v>
      </c>
      <c r="I16" s="62" t="s">
        <v>18</v>
      </c>
      <c r="J16" s="62" t="s">
        <v>18</v>
      </c>
      <c r="K16" s="62" t="s">
        <v>18</v>
      </c>
      <c r="L16" s="62" t="s">
        <v>18</v>
      </c>
      <c r="M16" s="62" t="s">
        <v>18</v>
      </c>
      <c r="N16" s="62" t="s">
        <v>18</v>
      </c>
      <c r="O16" s="63">
        <f t="shared" si="1"/>
        <v>10</v>
      </c>
      <c r="P16" s="63">
        <f t="shared" si="2"/>
        <v>0</v>
      </c>
      <c r="Q16" s="63">
        <f t="shared" si="3"/>
        <v>10</v>
      </c>
      <c r="R16" s="64">
        <f t="shared" si="4"/>
        <v>100</v>
      </c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</row>
    <row r="17">
      <c r="A17" s="20">
        <v>7.0</v>
      </c>
      <c r="B17" s="21" t="s">
        <v>30</v>
      </c>
      <c r="C17" s="27" t="s">
        <v>31</v>
      </c>
      <c r="D17" s="62" t="s">
        <v>18</v>
      </c>
      <c r="E17" s="62" t="s">
        <v>18</v>
      </c>
      <c r="F17" s="62" t="s">
        <v>18</v>
      </c>
      <c r="G17" s="62" t="s">
        <v>18</v>
      </c>
      <c r="H17" s="62" t="s">
        <v>19</v>
      </c>
      <c r="I17" s="62" t="s">
        <v>18</v>
      </c>
      <c r="J17" s="62" t="s">
        <v>18</v>
      </c>
      <c r="K17" s="62" t="s">
        <v>18</v>
      </c>
      <c r="L17" s="62" t="s">
        <v>18</v>
      </c>
      <c r="M17" s="62" t="s">
        <v>18</v>
      </c>
      <c r="N17" s="62" t="s">
        <v>18</v>
      </c>
      <c r="O17" s="63">
        <f t="shared" si="1"/>
        <v>9</v>
      </c>
      <c r="P17" s="63">
        <f t="shared" si="2"/>
        <v>1</v>
      </c>
      <c r="Q17" s="63">
        <f t="shared" si="3"/>
        <v>10</v>
      </c>
      <c r="R17" s="64">
        <f t="shared" si="4"/>
        <v>90</v>
      </c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</row>
    <row r="18">
      <c r="A18" s="20">
        <v>8.0</v>
      </c>
      <c r="B18" s="21" t="s">
        <v>32</v>
      </c>
      <c r="C18" s="27" t="s">
        <v>33</v>
      </c>
      <c r="D18" s="62" t="s">
        <v>18</v>
      </c>
      <c r="E18" s="62" t="s">
        <v>18</v>
      </c>
      <c r="F18" s="62" t="s">
        <v>18</v>
      </c>
      <c r="G18" s="62" t="s">
        <v>18</v>
      </c>
      <c r="H18" s="62" t="s">
        <v>18</v>
      </c>
      <c r="I18" s="62" t="s">
        <v>18</v>
      </c>
      <c r="J18" s="62" t="s">
        <v>18</v>
      </c>
      <c r="K18" s="62" t="s">
        <v>18</v>
      </c>
      <c r="L18" s="62" t="s">
        <v>18</v>
      </c>
      <c r="M18" s="62" t="s">
        <v>18</v>
      </c>
      <c r="N18" s="62" t="s">
        <v>18</v>
      </c>
      <c r="O18" s="63">
        <f t="shared" si="1"/>
        <v>10</v>
      </c>
      <c r="P18" s="63">
        <f t="shared" si="2"/>
        <v>0</v>
      </c>
      <c r="Q18" s="63">
        <f t="shared" si="3"/>
        <v>10</v>
      </c>
      <c r="R18" s="64">
        <f t="shared" si="4"/>
        <v>100</v>
      </c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</row>
    <row r="19">
      <c r="A19" s="20">
        <v>9.0</v>
      </c>
      <c r="B19" s="21" t="s">
        <v>34</v>
      </c>
      <c r="C19" s="27" t="s">
        <v>35</v>
      </c>
      <c r="D19" s="62" t="s">
        <v>18</v>
      </c>
      <c r="E19" s="62" t="s">
        <v>18</v>
      </c>
      <c r="F19" s="62" t="s">
        <v>18</v>
      </c>
      <c r="G19" s="62" t="s">
        <v>18</v>
      </c>
      <c r="H19" s="62" t="s">
        <v>18</v>
      </c>
      <c r="I19" s="62" t="s">
        <v>18</v>
      </c>
      <c r="J19" s="62" t="s">
        <v>18</v>
      </c>
      <c r="K19" s="62" t="s">
        <v>18</v>
      </c>
      <c r="L19" s="62" t="s">
        <v>18</v>
      </c>
      <c r="M19" s="62" t="s">
        <v>18</v>
      </c>
      <c r="N19" s="62" t="s">
        <v>18</v>
      </c>
      <c r="O19" s="63">
        <f t="shared" si="1"/>
        <v>10</v>
      </c>
      <c r="P19" s="63">
        <f t="shared" si="2"/>
        <v>0</v>
      </c>
      <c r="Q19" s="63">
        <f t="shared" si="3"/>
        <v>10</v>
      </c>
      <c r="R19" s="64">
        <f t="shared" si="4"/>
        <v>100</v>
      </c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</row>
    <row r="20" ht="15.75" customHeight="1">
      <c r="A20" s="20">
        <v>10.0</v>
      </c>
      <c r="B20" s="21" t="s">
        <v>36</v>
      </c>
      <c r="C20" s="27" t="s">
        <v>37</v>
      </c>
      <c r="D20" s="62" t="s">
        <v>18</v>
      </c>
      <c r="E20" s="62" t="s">
        <v>18</v>
      </c>
      <c r="F20" s="62" t="s">
        <v>18</v>
      </c>
      <c r="G20" s="62" t="s">
        <v>18</v>
      </c>
      <c r="H20" s="62" t="s">
        <v>18</v>
      </c>
      <c r="I20" s="62" t="s">
        <v>18</v>
      </c>
      <c r="J20" s="62" t="s">
        <v>18</v>
      </c>
      <c r="K20" s="62" t="s">
        <v>18</v>
      </c>
      <c r="L20" s="62" t="s">
        <v>18</v>
      </c>
      <c r="M20" s="62" t="s">
        <v>18</v>
      </c>
      <c r="N20" s="62" t="s">
        <v>18</v>
      </c>
      <c r="O20" s="63">
        <f t="shared" si="1"/>
        <v>10</v>
      </c>
      <c r="P20" s="63">
        <f t="shared" si="2"/>
        <v>0</v>
      </c>
      <c r="Q20" s="63">
        <f t="shared" si="3"/>
        <v>10</v>
      </c>
      <c r="R20" s="64">
        <f t="shared" si="4"/>
        <v>100</v>
      </c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</row>
    <row r="21" ht="15.75" customHeight="1">
      <c r="A21" s="20">
        <v>11.0</v>
      </c>
      <c r="B21" s="21" t="s">
        <v>38</v>
      </c>
      <c r="C21" s="27" t="s">
        <v>39</v>
      </c>
      <c r="D21" s="62" t="s">
        <v>19</v>
      </c>
      <c r="E21" s="62" t="s">
        <v>19</v>
      </c>
      <c r="F21" s="62" t="s">
        <v>19</v>
      </c>
      <c r="G21" s="62" t="s">
        <v>19</v>
      </c>
      <c r="H21" s="62" t="s">
        <v>19</v>
      </c>
      <c r="I21" s="62" t="s">
        <v>19</v>
      </c>
      <c r="J21" s="62" t="s">
        <v>19</v>
      </c>
      <c r="K21" s="62" t="s">
        <v>19</v>
      </c>
      <c r="L21" s="62" t="s">
        <v>19</v>
      </c>
      <c r="M21" s="62" t="s">
        <v>19</v>
      </c>
      <c r="N21" s="62" t="s">
        <v>19</v>
      </c>
      <c r="O21" s="63">
        <f t="shared" si="1"/>
        <v>0</v>
      </c>
      <c r="P21" s="63">
        <f t="shared" si="2"/>
        <v>10</v>
      </c>
      <c r="Q21" s="63">
        <f t="shared" si="3"/>
        <v>10</v>
      </c>
      <c r="R21" s="64">
        <f t="shared" si="4"/>
        <v>0</v>
      </c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</row>
    <row r="22" ht="15.75" customHeight="1">
      <c r="A22" s="20">
        <v>12.0</v>
      </c>
      <c r="B22" s="21" t="s">
        <v>40</v>
      </c>
      <c r="C22" s="27" t="s">
        <v>41</v>
      </c>
      <c r="D22" s="62" t="s">
        <v>18</v>
      </c>
      <c r="E22" s="62" t="s">
        <v>18</v>
      </c>
      <c r="F22" s="62" t="s">
        <v>18</v>
      </c>
      <c r="G22" s="62" t="s">
        <v>18</v>
      </c>
      <c r="H22" s="62" t="s">
        <v>18</v>
      </c>
      <c r="I22" s="62" t="s">
        <v>18</v>
      </c>
      <c r="J22" s="62" t="s">
        <v>18</v>
      </c>
      <c r="K22" s="62" t="s">
        <v>18</v>
      </c>
      <c r="L22" s="62" t="s">
        <v>18</v>
      </c>
      <c r="M22" s="62" t="s">
        <v>18</v>
      </c>
      <c r="N22" s="62" t="s">
        <v>18</v>
      </c>
      <c r="O22" s="63">
        <f t="shared" si="1"/>
        <v>10</v>
      </c>
      <c r="P22" s="63">
        <f t="shared" si="2"/>
        <v>0</v>
      </c>
      <c r="Q22" s="63">
        <f t="shared" si="3"/>
        <v>10</v>
      </c>
      <c r="R22" s="64">
        <f t="shared" si="4"/>
        <v>100</v>
      </c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</row>
    <row r="23" ht="15.75" customHeight="1">
      <c r="A23" s="20">
        <v>13.0</v>
      </c>
      <c r="B23" s="21" t="s">
        <v>42</v>
      </c>
      <c r="C23" s="27" t="s">
        <v>43</v>
      </c>
      <c r="D23" s="62" t="s">
        <v>18</v>
      </c>
      <c r="E23" s="62" t="s">
        <v>18</v>
      </c>
      <c r="F23" s="62" t="s">
        <v>18</v>
      </c>
      <c r="G23" s="62" t="s">
        <v>18</v>
      </c>
      <c r="H23" s="62" t="s">
        <v>18</v>
      </c>
      <c r="I23" s="62" t="s">
        <v>18</v>
      </c>
      <c r="J23" s="62" t="s">
        <v>18</v>
      </c>
      <c r="K23" s="62" t="s">
        <v>19</v>
      </c>
      <c r="L23" s="62" t="s">
        <v>18</v>
      </c>
      <c r="M23" s="62" t="s">
        <v>18</v>
      </c>
      <c r="N23" s="62" t="s">
        <v>18</v>
      </c>
      <c r="O23" s="63">
        <f t="shared" si="1"/>
        <v>9</v>
      </c>
      <c r="P23" s="63">
        <f t="shared" si="2"/>
        <v>1</v>
      </c>
      <c r="Q23" s="63">
        <f t="shared" si="3"/>
        <v>10</v>
      </c>
      <c r="R23" s="64">
        <f t="shared" si="4"/>
        <v>90</v>
      </c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</row>
    <row r="24" ht="15.75" customHeight="1">
      <c r="A24" s="20">
        <v>14.0</v>
      </c>
      <c r="B24" s="21" t="s">
        <v>44</v>
      </c>
      <c r="C24" s="27" t="s">
        <v>45</v>
      </c>
      <c r="D24" s="62" t="s">
        <v>18</v>
      </c>
      <c r="E24" s="62" t="s">
        <v>18</v>
      </c>
      <c r="F24" s="62" t="s">
        <v>18</v>
      </c>
      <c r="G24" s="62" t="s">
        <v>18</v>
      </c>
      <c r="H24" s="62" t="s">
        <v>18</v>
      </c>
      <c r="I24" s="62" t="s">
        <v>18</v>
      </c>
      <c r="J24" s="62" t="s">
        <v>18</v>
      </c>
      <c r="K24" s="62" t="s">
        <v>18</v>
      </c>
      <c r="L24" s="62" t="s">
        <v>18</v>
      </c>
      <c r="M24" s="62" t="s">
        <v>18</v>
      </c>
      <c r="N24" s="62" t="s">
        <v>18</v>
      </c>
      <c r="O24" s="63">
        <f t="shared" si="1"/>
        <v>10</v>
      </c>
      <c r="P24" s="63">
        <f t="shared" si="2"/>
        <v>0</v>
      </c>
      <c r="Q24" s="63">
        <f t="shared" si="3"/>
        <v>10</v>
      </c>
      <c r="R24" s="64">
        <f t="shared" si="4"/>
        <v>100</v>
      </c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</row>
    <row r="25" ht="15.75" customHeight="1">
      <c r="A25" s="20">
        <v>15.0</v>
      </c>
      <c r="B25" s="21" t="s">
        <v>46</v>
      </c>
      <c r="C25" s="27" t="s">
        <v>47</v>
      </c>
      <c r="D25" s="62" t="s">
        <v>18</v>
      </c>
      <c r="E25" s="62" t="s">
        <v>18</v>
      </c>
      <c r="F25" s="62" t="s">
        <v>18</v>
      </c>
      <c r="G25" s="62" t="s">
        <v>18</v>
      </c>
      <c r="H25" s="62" t="s">
        <v>18</v>
      </c>
      <c r="I25" s="62" t="s">
        <v>18</v>
      </c>
      <c r="J25" s="62" t="s">
        <v>18</v>
      </c>
      <c r="K25" s="62" t="s">
        <v>18</v>
      </c>
      <c r="L25" s="62" t="s">
        <v>18</v>
      </c>
      <c r="M25" s="62" t="s">
        <v>18</v>
      </c>
      <c r="N25" s="62" t="s">
        <v>18</v>
      </c>
      <c r="O25" s="63">
        <f t="shared" si="1"/>
        <v>10</v>
      </c>
      <c r="P25" s="63">
        <f t="shared" si="2"/>
        <v>0</v>
      </c>
      <c r="Q25" s="63">
        <f t="shared" si="3"/>
        <v>10</v>
      </c>
      <c r="R25" s="64">
        <f t="shared" si="4"/>
        <v>100</v>
      </c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</row>
    <row r="26" ht="15.75" customHeight="1">
      <c r="A26" s="20">
        <v>16.0</v>
      </c>
      <c r="B26" s="21" t="s">
        <v>48</v>
      </c>
      <c r="C26" s="27" t="s">
        <v>49</v>
      </c>
      <c r="D26" s="62" t="s">
        <v>18</v>
      </c>
      <c r="E26" s="62" t="s">
        <v>18</v>
      </c>
      <c r="F26" s="62" t="s">
        <v>18</v>
      </c>
      <c r="G26" s="62" t="s">
        <v>18</v>
      </c>
      <c r="H26" s="62" t="s">
        <v>18</v>
      </c>
      <c r="I26" s="62" t="s">
        <v>18</v>
      </c>
      <c r="J26" s="62" t="s">
        <v>18</v>
      </c>
      <c r="K26" s="62" t="s">
        <v>18</v>
      </c>
      <c r="L26" s="62" t="s">
        <v>18</v>
      </c>
      <c r="M26" s="62" t="s">
        <v>18</v>
      </c>
      <c r="N26" s="62" t="s">
        <v>18</v>
      </c>
      <c r="O26" s="63">
        <f t="shared" si="1"/>
        <v>10</v>
      </c>
      <c r="P26" s="63">
        <f t="shared" si="2"/>
        <v>0</v>
      </c>
      <c r="Q26" s="63">
        <f t="shared" si="3"/>
        <v>10</v>
      </c>
      <c r="R26" s="64">
        <f t="shared" si="4"/>
        <v>100</v>
      </c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</row>
    <row r="27" ht="15.75" customHeight="1">
      <c r="A27" s="20">
        <v>17.0</v>
      </c>
      <c r="B27" s="21" t="s">
        <v>50</v>
      </c>
      <c r="C27" s="27" t="s">
        <v>51</v>
      </c>
      <c r="D27" s="62" t="s">
        <v>18</v>
      </c>
      <c r="E27" s="62" t="s">
        <v>18</v>
      </c>
      <c r="F27" s="62" t="s">
        <v>18</v>
      </c>
      <c r="G27" s="62" t="s">
        <v>18</v>
      </c>
      <c r="H27" s="62" t="s">
        <v>18</v>
      </c>
      <c r="I27" s="62" t="s">
        <v>18</v>
      </c>
      <c r="J27" s="62" t="s">
        <v>18</v>
      </c>
      <c r="K27" s="62" t="s">
        <v>18</v>
      </c>
      <c r="L27" s="62" t="s">
        <v>18</v>
      </c>
      <c r="M27" s="62" t="s">
        <v>18</v>
      </c>
      <c r="N27" s="62" t="s">
        <v>18</v>
      </c>
      <c r="O27" s="63">
        <f t="shared" si="1"/>
        <v>10</v>
      </c>
      <c r="P27" s="63">
        <f t="shared" si="2"/>
        <v>0</v>
      </c>
      <c r="Q27" s="63">
        <f t="shared" si="3"/>
        <v>10</v>
      </c>
      <c r="R27" s="64">
        <f t="shared" si="4"/>
        <v>100</v>
      </c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</row>
    <row r="28" ht="15.75" customHeight="1">
      <c r="A28" s="20">
        <v>18.0</v>
      </c>
      <c r="B28" s="21" t="s">
        <v>52</v>
      </c>
      <c r="C28" s="27" t="s">
        <v>53</v>
      </c>
      <c r="D28" s="62" t="s">
        <v>18</v>
      </c>
      <c r="E28" s="62" t="s">
        <v>18</v>
      </c>
      <c r="F28" s="62" t="s">
        <v>18</v>
      </c>
      <c r="G28" s="62" t="s">
        <v>18</v>
      </c>
      <c r="H28" s="62" t="s">
        <v>18</v>
      </c>
      <c r="I28" s="62" t="s">
        <v>18</v>
      </c>
      <c r="J28" s="62" t="s">
        <v>18</v>
      </c>
      <c r="K28" s="62" t="s">
        <v>18</v>
      </c>
      <c r="L28" s="62" t="s">
        <v>18</v>
      </c>
      <c r="M28" s="62" t="s">
        <v>18</v>
      </c>
      <c r="N28" s="62" t="s">
        <v>18</v>
      </c>
      <c r="O28" s="63">
        <f t="shared" si="1"/>
        <v>10</v>
      </c>
      <c r="P28" s="63">
        <f t="shared" si="2"/>
        <v>0</v>
      </c>
      <c r="Q28" s="63">
        <f t="shared" si="3"/>
        <v>10</v>
      </c>
      <c r="R28" s="64">
        <f t="shared" si="4"/>
        <v>100</v>
      </c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</row>
    <row r="29" ht="15.75" customHeight="1">
      <c r="A29" s="20">
        <v>19.0</v>
      </c>
      <c r="B29" s="21" t="s">
        <v>54</v>
      </c>
      <c r="C29" s="27" t="s">
        <v>55</v>
      </c>
      <c r="D29" s="62" t="s">
        <v>18</v>
      </c>
      <c r="E29" s="62" t="s">
        <v>18</v>
      </c>
      <c r="F29" s="62" t="s">
        <v>18</v>
      </c>
      <c r="G29" s="62" t="s">
        <v>18</v>
      </c>
      <c r="H29" s="62" t="s">
        <v>18</v>
      </c>
      <c r="I29" s="62" t="s">
        <v>18</v>
      </c>
      <c r="J29" s="62" t="s">
        <v>18</v>
      </c>
      <c r="K29" s="62" t="s">
        <v>18</v>
      </c>
      <c r="L29" s="62" t="s">
        <v>18</v>
      </c>
      <c r="M29" s="62" t="s">
        <v>18</v>
      </c>
      <c r="N29" s="62" t="s">
        <v>18</v>
      </c>
      <c r="O29" s="63">
        <f t="shared" si="1"/>
        <v>10</v>
      </c>
      <c r="P29" s="63">
        <f t="shared" si="2"/>
        <v>0</v>
      </c>
      <c r="Q29" s="63">
        <f t="shared" si="3"/>
        <v>10</v>
      </c>
      <c r="R29" s="64">
        <f t="shared" si="4"/>
        <v>100</v>
      </c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</row>
    <row r="30" ht="15.75" customHeight="1">
      <c r="A30" s="20">
        <v>20.0</v>
      </c>
      <c r="B30" s="21" t="s">
        <v>56</v>
      </c>
      <c r="C30" s="27" t="s">
        <v>57</v>
      </c>
      <c r="D30" s="62" t="s">
        <v>18</v>
      </c>
      <c r="E30" s="62" t="s">
        <v>18</v>
      </c>
      <c r="F30" s="62" t="s">
        <v>18</v>
      </c>
      <c r="G30" s="62" t="s">
        <v>19</v>
      </c>
      <c r="H30" s="62" t="s">
        <v>18</v>
      </c>
      <c r="I30" s="62" t="s">
        <v>18</v>
      </c>
      <c r="J30" s="62" t="s">
        <v>18</v>
      </c>
      <c r="K30" s="62" t="s">
        <v>18</v>
      </c>
      <c r="L30" s="62" t="s">
        <v>18</v>
      </c>
      <c r="M30" s="62" t="s">
        <v>18</v>
      </c>
      <c r="N30" s="62" t="s">
        <v>18</v>
      </c>
      <c r="O30" s="63">
        <f t="shared" si="1"/>
        <v>9</v>
      </c>
      <c r="P30" s="63">
        <f t="shared" si="2"/>
        <v>1</v>
      </c>
      <c r="Q30" s="63">
        <f t="shared" si="3"/>
        <v>10</v>
      </c>
      <c r="R30" s="64">
        <f t="shared" si="4"/>
        <v>90</v>
      </c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</row>
    <row r="31" ht="15.75" customHeight="1">
      <c r="A31" s="20">
        <v>21.0</v>
      </c>
      <c r="B31" s="21" t="s">
        <v>58</v>
      </c>
      <c r="C31" s="27" t="s">
        <v>59</v>
      </c>
      <c r="D31" s="62" t="s">
        <v>18</v>
      </c>
      <c r="E31" s="62" t="s">
        <v>18</v>
      </c>
      <c r="F31" s="62" t="s">
        <v>18</v>
      </c>
      <c r="G31" s="62" t="s">
        <v>18</v>
      </c>
      <c r="H31" s="62" t="s">
        <v>18</v>
      </c>
      <c r="I31" s="62" t="s">
        <v>18</v>
      </c>
      <c r="J31" s="62" t="s">
        <v>18</v>
      </c>
      <c r="K31" s="62" t="s">
        <v>18</v>
      </c>
      <c r="L31" s="62" t="s">
        <v>18</v>
      </c>
      <c r="M31" s="62" t="s">
        <v>18</v>
      </c>
      <c r="N31" s="62" t="s">
        <v>18</v>
      </c>
      <c r="O31" s="63">
        <f t="shared" si="1"/>
        <v>10</v>
      </c>
      <c r="P31" s="63">
        <f t="shared" si="2"/>
        <v>0</v>
      </c>
      <c r="Q31" s="63">
        <f t="shared" si="3"/>
        <v>10</v>
      </c>
      <c r="R31" s="64">
        <f t="shared" si="4"/>
        <v>100</v>
      </c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</row>
    <row r="32" ht="15.75" customHeight="1">
      <c r="A32" s="20">
        <v>22.0</v>
      </c>
      <c r="B32" s="21" t="s">
        <v>60</v>
      </c>
      <c r="C32" s="27" t="s">
        <v>61</v>
      </c>
      <c r="D32" s="62" t="s">
        <v>18</v>
      </c>
      <c r="E32" s="62" t="s">
        <v>18</v>
      </c>
      <c r="F32" s="62" t="s">
        <v>18</v>
      </c>
      <c r="G32" s="62" t="s">
        <v>18</v>
      </c>
      <c r="H32" s="62" t="s">
        <v>18</v>
      </c>
      <c r="I32" s="62" t="s">
        <v>18</v>
      </c>
      <c r="J32" s="62" t="s">
        <v>18</v>
      </c>
      <c r="K32" s="62" t="s">
        <v>18</v>
      </c>
      <c r="L32" s="62" t="s">
        <v>18</v>
      </c>
      <c r="M32" s="62" t="s">
        <v>18</v>
      </c>
      <c r="N32" s="62" t="s">
        <v>18</v>
      </c>
      <c r="O32" s="63">
        <f t="shared" si="1"/>
        <v>10</v>
      </c>
      <c r="P32" s="63">
        <f t="shared" si="2"/>
        <v>0</v>
      </c>
      <c r="Q32" s="63">
        <f t="shared" si="3"/>
        <v>10</v>
      </c>
      <c r="R32" s="64">
        <f t="shared" si="4"/>
        <v>100</v>
      </c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</row>
    <row r="33" ht="15.75" customHeight="1">
      <c r="A33" s="20">
        <v>23.0</v>
      </c>
      <c r="B33" s="21" t="s">
        <v>62</v>
      </c>
      <c r="C33" s="27" t="s">
        <v>63</v>
      </c>
      <c r="D33" s="62" t="s">
        <v>18</v>
      </c>
      <c r="E33" s="62" t="s">
        <v>18</v>
      </c>
      <c r="F33" s="62" t="s">
        <v>18</v>
      </c>
      <c r="G33" s="62" t="s">
        <v>18</v>
      </c>
      <c r="H33" s="62" t="s">
        <v>18</v>
      </c>
      <c r="I33" s="62" t="s">
        <v>18</v>
      </c>
      <c r="J33" s="62" t="s">
        <v>18</v>
      </c>
      <c r="K33" s="62" t="s">
        <v>19</v>
      </c>
      <c r="L33" s="62" t="s">
        <v>18</v>
      </c>
      <c r="M33" s="62" t="s">
        <v>18</v>
      </c>
      <c r="N33" s="62" t="s">
        <v>18</v>
      </c>
      <c r="O33" s="63">
        <f t="shared" si="1"/>
        <v>9</v>
      </c>
      <c r="P33" s="63">
        <f t="shared" si="2"/>
        <v>1</v>
      </c>
      <c r="Q33" s="63">
        <f t="shared" si="3"/>
        <v>10</v>
      </c>
      <c r="R33" s="64">
        <f t="shared" si="4"/>
        <v>90</v>
      </c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</row>
    <row r="34" ht="15.75" customHeight="1">
      <c r="A34" s="20">
        <v>24.0</v>
      </c>
      <c r="B34" s="21" t="s">
        <v>64</v>
      </c>
      <c r="C34" s="27" t="s">
        <v>65</v>
      </c>
      <c r="D34" s="62" t="s">
        <v>18</v>
      </c>
      <c r="E34" s="62" t="s">
        <v>18</v>
      </c>
      <c r="F34" s="62" t="s">
        <v>18</v>
      </c>
      <c r="G34" s="62" t="s">
        <v>18</v>
      </c>
      <c r="H34" s="62" t="s">
        <v>18</v>
      </c>
      <c r="I34" s="62" t="s">
        <v>18</v>
      </c>
      <c r="J34" s="62" t="s">
        <v>18</v>
      </c>
      <c r="K34" s="62" t="s">
        <v>19</v>
      </c>
      <c r="L34" s="62" t="s">
        <v>18</v>
      </c>
      <c r="M34" s="62" t="s">
        <v>18</v>
      </c>
      <c r="N34" s="62" t="s">
        <v>18</v>
      </c>
      <c r="O34" s="63">
        <f t="shared" si="1"/>
        <v>9</v>
      </c>
      <c r="P34" s="63">
        <f t="shared" si="2"/>
        <v>1</v>
      </c>
      <c r="Q34" s="63">
        <f t="shared" si="3"/>
        <v>10</v>
      </c>
      <c r="R34" s="64">
        <f t="shared" si="4"/>
        <v>90</v>
      </c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</row>
    <row r="35" ht="15.75" customHeight="1">
      <c r="A35" s="20">
        <v>25.0</v>
      </c>
      <c r="B35" s="21" t="s">
        <v>66</v>
      </c>
      <c r="C35" s="27" t="s">
        <v>67</v>
      </c>
      <c r="D35" s="62" t="s">
        <v>18</v>
      </c>
      <c r="E35" s="62" t="s">
        <v>18</v>
      </c>
      <c r="F35" s="62" t="s">
        <v>18</v>
      </c>
      <c r="G35" s="62" t="s">
        <v>18</v>
      </c>
      <c r="H35" s="62" t="s">
        <v>18</v>
      </c>
      <c r="I35" s="62" t="s">
        <v>18</v>
      </c>
      <c r="J35" s="62" t="s">
        <v>18</v>
      </c>
      <c r="K35" s="62" t="s">
        <v>19</v>
      </c>
      <c r="L35" s="62" t="s">
        <v>18</v>
      </c>
      <c r="M35" s="62" t="s">
        <v>18</v>
      </c>
      <c r="N35" s="62" t="s">
        <v>18</v>
      </c>
      <c r="O35" s="63">
        <f t="shared" si="1"/>
        <v>9</v>
      </c>
      <c r="P35" s="63">
        <f t="shared" si="2"/>
        <v>1</v>
      </c>
      <c r="Q35" s="63">
        <f t="shared" si="3"/>
        <v>10</v>
      </c>
      <c r="R35" s="64">
        <f t="shared" si="4"/>
        <v>90</v>
      </c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</row>
    <row r="36" ht="15.75" customHeight="1">
      <c r="A36" s="20">
        <v>26.0</v>
      </c>
      <c r="B36" s="21" t="s">
        <v>68</v>
      </c>
      <c r="C36" s="27" t="s">
        <v>69</v>
      </c>
      <c r="D36" s="62" t="s">
        <v>18</v>
      </c>
      <c r="E36" s="62" t="s">
        <v>18</v>
      </c>
      <c r="F36" s="62" t="s">
        <v>18</v>
      </c>
      <c r="G36" s="62" t="s">
        <v>18</v>
      </c>
      <c r="H36" s="62" t="s">
        <v>18</v>
      </c>
      <c r="I36" s="62" t="s">
        <v>18</v>
      </c>
      <c r="J36" s="62" t="s">
        <v>18</v>
      </c>
      <c r="K36" s="62" t="s">
        <v>18</v>
      </c>
      <c r="L36" s="62" t="s">
        <v>18</v>
      </c>
      <c r="M36" s="62" t="s">
        <v>18</v>
      </c>
      <c r="N36" s="62" t="s">
        <v>18</v>
      </c>
      <c r="O36" s="63">
        <f t="shared" si="1"/>
        <v>10</v>
      </c>
      <c r="P36" s="63">
        <f t="shared" si="2"/>
        <v>0</v>
      </c>
      <c r="Q36" s="63">
        <f t="shared" si="3"/>
        <v>10</v>
      </c>
      <c r="R36" s="64">
        <f t="shared" si="4"/>
        <v>100</v>
      </c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</row>
    <row r="37" ht="15.75" customHeight="1">
      <c r="A37" s="20">
        <v>27.0</v>
      </c>
      <c r="B37" s="21" t="s">
        <v>70</v>
      </c>
      <c r="C37" s="27" t="s">
        <v>71</v>
      </c>
      <c r="D37" s="62" t="s">
        <v>18</v>
      </c>
      <c r="E37" s="62" t="s">
        <v>18</v>
      </c>
      <c r="F37" s="62" t="s">
        <v>18</v>
      </c>
      <c r="G37" s="62" t="s">
        <v>18</v>
      </c>
      <c r="H37" s="62" t="s">
        <v>18</v>
      </c>
      <c r="I37" s="62" t="s">
        <v>18</v>
      </c>
      <c r="J37" s="62" t="s">
        <v>18</v>
      </c>
      <c r="K37" s="62" t="s">
        <v>18</v>
      </c>
      <c r="L37" s="62" t="s">
        <v>18</v>
      </c>
      <c r="M37" s="62" t="s">
        <v>18</v>
      </c>
      <c r="N37" s="62" t="s">
        <v>18</v>
      </c>
      <c r="O37" s="63">
        <f t="shared" si="1"/>
        <v>10</v>
      </c>
      <c r="P37" s="63">
        <f t="shared" si="2"/>
        <v>0</v>
      </c>
      <c r="Q37" s="63">
        <f t="shared" si="3"/>
        <v>10</v>
      </c>
      <c r="R37" s="64">
        <f t="shared" si="4"/>
        <v>100</v>
      </c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</row>
    <row r="38" ht="15.75" customHeight="1">
      <c r="A38" s="20">
        <v>28.0</v>
      </c>
      <c r="B38" s="21" t="s">
        <v>72</v>
      </c>
      <c r="C38" s="27" t="s">
        <v>73</v>
      </c>
      <c r="D38" s="62" t="s">
        <v>18</v>
      </c>
      <c r="E38" s="62" t="s">
        <v>18</v>
      </c>
      <c r="F38" s="62" t="s">
        <v>18</v>
      </c>
      <c r="G38" s="62" t="s">
        <v>18</v>
      </c>
      <c r="H38" s="62" t="s">
        <v>18</v>
      </c>
      <c r="I38" s="62" t="s">
        <v>18</v>
      </c>
      <c r="J38" s="62" t="s">
        <v>18</v>
      </c>
      <c r="K38" s="62" t="s">
        <v>18</v>
      </c>
      <c r="L38" s="62" t="s">
        <v>19</v>
      </c>
      <c r="M38" s="62" t="s">
        <v>18</v>
      </c>
      <c r="N38" s="62" t="s">
        <v>18</v>
      </c>
      <c r="O38" s="63">
        <f t="shared" si="1"/>
        <v>9</v>
      </c>
      <c r="P38" s="63">
        <f t="shared" si="2"/>
        <v>1</v>
      </c>
      <c r="Q38" s="63">
        <f t="shared" si="3"/>
        <v>10</v>
      </c>
      <c r="R38" s="64">
        <f t="shared" si="4"/>
        <v>90</v>
      </c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</row>
    <row r="39" ht="15.75" customHeight="1">
      <c r="A39" s="20">
        <v>29.0</v>
      </c>
      <c r="B39" s="21" t="s">
        <v>74</v>
      </c>
      <c r="C39" s="27" t="s">
        <v>75</v>
      </c>
      <c r="D39" s="62" t="s">
        <v>18</v>
      </c>
      <c r="E39" s="62" t="s">
        <v>18</v>
      </c>
      <c r="F39" s="62" t="s">
        <v>18</v>
      </c>
      <c r="G39" s="62" t="s">
        <v>18</v>
      </c>
      <c r="H39" s="62" t="s">
        <v>18</v>
      </c>
      <c r="I39" s="62" t="s">
        <v>18</v>
      </c>
      <c r="J39" s="62" t="s">
        <v>18</v>
      </c>
      <c r="K39" s="62" t="s">
        <v>18</v>
      </c>
      <c r="L39" s="62" t="s">
        <v>18</v>
      </c>
      <c r="M39" s="62" t="s">
        <v>18</v>
      </c>
      <c r="N39" s="62" t="s">
        <v>18</v>
      </c>
      <c r="O39" s="63">
        <f t="shared" si="1"/>
        <v>10</v>
      </c>
      <c r="P39" s="63">
        <f t="shared" si="2"/>
        <v>0</v>
      </c>
      <c r="Q39" s="63">
        <f t="shared" si="3"/>
        <v>10</v>
      </c>
      <c r="R39" s="64">
        <f t="shared" si="4"/>
        <v>100</v>
      </c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</row>
    <row r="40" ht="15.75" customHeight="1">
      <c r="A40" s="20">
        <v>30.0</v>
      </c>
      <c r="B40" s="21" t="s">
        <v>76</v>
      </c>
      <c r="C40" s="27" t="s">
        <v>77</v>
      </c>
      <c r="D40" s="62" t="s">
        <v>18</v>
      </c>
      <c r="E40" s="62" t="s">
        <v>18</v>
      </c>
      <c r="F40" s="62" t="s">
        <v>18</v>
      </c>
      <c r="G40" s="62" t="s">
        <v>18</v>
      </c>
      <c r="H40" s="62" t="s">
        <v>18</v>
      </c>
      <c r="I40" s="62" t="s">
        <v>18</v>
      </c>
      <c r="J40" s="62" t="s">
        <v>18</v>
      </c>
      <c r="K40" s="62" t="s">
        <v>18</v>
      </c>
      <c r="L40" s="62" t="s">
        <v>18</v>
      </c>
      <c r="M40" s="62" t="s">
        <v>18</v>
      </c>
      <c r="N40" s="62" t="s">
        <v>18</v>
      </c>
      <c r="O40" s="63">
        <f t="shared" si="1"/>
        <v>10</v>
      </c>
      <c r="P40" s="63">
        <f t="shared" si="2"/>
        <v>0</v>
      </c>
      <c r="Q40" s="63">
        <f t="shared" si="3"/>
        <v>10</v>
      </c>
      <c r="R40" s="64">
        <f t="shared" si="4"/>
        <v>100</v>
      </c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</row>
    <row r="41" ht="15.75" customHeight="1">
      <c r="A41" s="20">
        <v>31.0</v>
      </c>
      <c r="B41" s="21" t="s">
        <v>78</v>
      </c>
      <c r="C41" s="27" t="s">
        <v>79</v>
      </c>
      <c r="D41" s="62" t="s">
        <v>18</v>
      </c>
      <c r="E41" s="62" t="s">
        <v>18</v>
      </c>
      <c r="F41" s="62" t="s">
        <v>18</v>
      </c>
      <c r="G41" s="62" t="s">
        <v>18</v>
      </c>
      <c r="H41" s="62" t="s">
        <v>18</v>
      </c>
      <c r="I41" s="62" t="s">
        <v>18</v>
      </c>
      <c r="J41" s="62" t="s">
        <v>18</v>
      </c>
      <c r="K41" s="62" t="s">
        <v>18</v>
      </c>
      <c r="L41" s="62" t="s">
        <v>18</v>
      </c>
      <c r="M41" s="62" t="s">
        <v>18</v>
      </c>
      <c r="N41" s="62" t="s">
        <v>18</v>
      </c>
      <c r="O41" s="63">
        <f t="shared" si="1"/>
        <v>10</v>
      </c>
      <c r="P41" s="63">
        <f t="shared" si="2"/>
        <v>0</v>
      </c>
      <c r="Q41" s="63">
        <f t="shared" si="3"/>
        <v>10</v>
      </c>
      <c r="R41" s="64">
        <f t="shared" si="4"/>
        <v>100</v>
      </c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</row>
    <row r="42" ht="15.75" customHeight="1">
      <c r="A42" s="20">
        <v>32.0</v>
      </c>
      <c r="B42" s="21" t="s">
        <v>80</v>
      </c>
      <c r="C42" s="27" t="s">
        <v>81</v>
      </c>
      <c r="D42" s="62" t="s">
        <v>18</v>
      </c>
      <c r="E42" s="62" t="s">
        <v>18</v>
      </c>
      <c r="F42" s="62" t="s">
        <v>18</v>
      </c>
      <c r="G42" s="62" t="s">
        <v>18</v>
      </c>
      <c r="H42" s="62" t="s">
        <v>18</v>
      </c>
      <c r="I42" s="62" t="s">
        <v>18</v>
      </c>
      <c r="J42" s="62" t="s">
        <v>18</v>
      </c>
      <c r="K42" s="62" t="s">
        <v>18</v>
      </c>
      <c r="L42" s="62" t="s">
        <v>18</v>
      </c>
      <c r="M42" s="62" t="s">
        <v>18</v>
      </c>
      <c r="N42" s="62" t="s">
        <v>18</v>
      </c>
      <c r="O42" s="63">
        <f t="shared" si="1"/>
        <v>10</v>
      </c>
      <c r="P42" s="63">
        <f t="shared" si="2"/>
        <v>0</v>
      </c>
      <c r="Q42" s="63">
        <f t="shared" si="3"/>
        <v>10</v>
      </c>
      <c r="R42" s="64">
        <f t="shared" si="4"/>
        <v>100</v>
      </c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</row>
    <row r="43" ht="15.75" customHeight="1">
      <c r="A43" s="20">
        <v>33.0</v>
      </c>
      <c r="B43" s="21" t="s">
        <v>82</v>
      </c>
      <c r="C43" s="27" t="s">
        <v>83</v>
      </c>
      <c r="D43" s="62" t="s">
        <v>18</v>
      </c>
      <c r="E43" s="62" t="s">
        <v>18</v>
      </c>
      <c r="F43" s="62" t="s">
        <v>18</v>
      </c>
      <c r="G43" s="62" t="s">
        <v>18</v>
      </c>
      <c r="H43" s="62" t="s">
        <v>18</v>
      </c>
      <c r="I43" s="62" t="s">
        <v>18</v>
      </c>
      <c r="J43" s="62" t="s">
        <v>18</v>
      </c>
      <c r="K43" s="62" t="s">
        <v>18</v>
      </c>
      <c r="L43" s="62" t="s">
        <v>18</v>
      </c>
      <c r="M43" s="62" t="s">
        <v>18</v>
      </c>
      <c r="N43" s="62" t="s">
        <v>18</v>
      </c>
      <c r="O43" s="63">
        <f t="shared" si="1"/>
        <v>10</v>
      </c>
      <c r="P43" s="63">
        <f t="shared" si="2"/>
        <v>0</v>
      </c>
      <c r="Q43" s="63">
        <f t="shared" si="3"/>
        <v>10</v>
      </c>
      <c r="R43" s="64">
        <f t="shared" si="4"/>
        <v>100</v>
      </c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</row>
    <row r="44" ht="15.75" customHeight="1">
      <c r="A44" s="20">
        <v>34.0</v>
      </c>
      <c r="B44" s="21" t="s">
        <v>84</v>
      </c>
      <c r="C44" s="27" t="s">
        <v>85</v>
      </c>
      <c r="D44" s="62" t="s">
        <v>18</v>
      </c>
      <c r="E44" s="62" t="s">
        <v>18</v>
      </c>
      <c r="F44" s="62" t="s">
        <v>18</v>
      </c>
      <c r="G44" s="62" t="s">
        <v>18</v>
      </c>
      <c r="H44" s="62" t="s">
        <v>18</v>
      </c>
      <c r="I44" s="62" t="s">
        <v>18</v>
      </c>
      <c r="J44" s="62" t="s">
        <v>18</v>
      </c>
      <c r="K44" s="62" t="s">
        <v>18</v>
      </c>
      <c r="L44" s="62" t="s">
        <v>18</v>
      </c>
      <c r="M44" s="62" t="s">
        <v>18</v>
      </c>
      <c r="N44" s="62" t="s">
        <v>18</v>
      </c>
      <c r="O44" s="63">
        <f t="shared" si="1"/>
        <v>10</v>
      </c>
      <c r="P44" s="63">
        <f t="shared" si="2"/>
        <v>0</v>
      </c>
      <c r="Q44" s="63">
        <f t="shared" si="3"/>
        <v>10</v>
      </c>
      <c r="R44" s="64">
        <f t="shared" si="4"/>
        <v>100</v>
      </c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</row>
    <row r="45" ht="15.75" customHeight="1">
      <c r="A45" s="20">
        <v>35.0</v>
      </c>
      <c r="B45" s="21" t="s">
        <v>86</v>
      </c>
      <c r="C45" s="27" t="s">
        <v>87</v>
      </c>
      <c r="D45" s="62" t="s">
        <v>18</v>
      </c>
      <c r="E45" s="62" t="s">
        <v>18</v>
      </c>
      <c r="F45" s="62" t="s">
        <v>18</v>
      </c>
      <c r="G45" s="62" t="s">
        <v>18</v>
      </c>
      <c r="H45" s="62" t="s">
        <v>18</v>
      </c>
      <c r="I45" s="62" t="s">
        <v>18</v>
      </c>
      <c r="J45" s="62" t="s">
        <v>18</v>
      </c>
      <c r="K45" s="62" t="s">
        <v>18</v>
      </c>
      <c r="L45" s="62" t="s">
        <v>18</v>
      </c>
      <c r="M45" s="62" t="s">
        <v>18</v>
      </c>
      <c r="N45" s="62" t="s">
        <v>18</v>
      </c>
      <c r="O45" s="63">
        <f t="shared" si="1"/>
        <v>10</v>
      </c>
      <c r="P45" s="63">
        <f t="shared" si="2"/>
        <v>0</v>
      </c>
      <c r="Q45" s="63">
        <f t="shared" si="3"/>
        <v>10</v>
      </c>
      <c r="R45" s="64">
        <f t="shared" si="4"/>
        <v>100</v>
      </c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</row>
    <row r="46" ht="15.75" customHeight="1">
      <c r="A46" s="20">
        <v>36.0</v>
      </c>
      <c r="B46" s="21" t="s">
        <v>88</v>
      </c>
      <c r="C46" s="27" t="s">
        <v>89</v>
      </c>
      <c r="D46" s="62" t="s">
        <v>18</v>
      </c>
      <c r="E46" s="62" t="s">
        <v>18</v>
      </c>
      <c r="F46" s="62" t="s">
        <v>18</v>
      </c>
      <c r="G46" s="62" t="s">
        <v>18</v>
      </c>
      <c r="H46" s="62" t="s">
        <v>18</v>
      </c>
      <c r="I46" s="62" t="s">
        <v>18</v>
      </c>
      <c r="J46" s="62" t="s">
        <v>18</v>
      </c>
      <c r="K46" s="62" t="s">
        <v>19</v>
      </c>
      <c r="L46" s="62" t="s">
        <v>18</v>
      </c>
      <c r="M46" s="62" t="s">
        <v>18</v>
      </c>
      <c r="N46" s="62" t="s">
        <v>18</v>
      </c>
      <c r="O46" s="63">
        <f t="shared" si="1"/>
        <v>9</v>
      </c>
      <c r="P46" s="63">
        <f t="shared" si="2"/>
        <v>1</v>
      </c>
      <c r="Q46" s="63">
        <f t="shared" si="3"/>
        <v>10</v>
      </c>
      <c r="R46" s="64">
        <f t="shared" si="4"/>
        <v>90</v>
      </c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</row>
    <row r="47" ht="15.75" customHeight="1">
      <c r="A47" s="20">
        <v>37.0</v>
      </c>
      <c r="B47" s="21" t="s">
        <v>90</v>
      </c>
      <c r="C47" s="27" t="s">
        <v>91</v>
      </c>
      <c r="D47" s="62" t="s">
        <v>18</v>
      </c>
      <c r="E47" s="62" t="s">
        <v>18</v>
      </c>
      <c r="F47" s="62" t="s">
        <v>18</v>
      </c>
      <c r="G47" s="62" t="s">
        <v>18</v>
      </c>
      <c r="H47" s="62" t="s">
        <v>18</v>
      </c>
      <c r="I47" s="62" t="s">
        <v>18</v>
      </c>
      <c r="J47" s="62" t="s">
        <v>18</v>
      </c>
      <c r="K47" s="62" t="s">
        <v>18</v>
      </c>
      <c r="L47" s="62" t="s">
        <v>18</v>
      </c>
      <c r="M47" s="62" t="s">
        <v>18</v>
      </c>
      <c r="N47" s="62" t="s">
        <v>18</v>
      </c>
      <c r="O47" s="63">
        <f t="shared" si="1"/>
        <v>10</v>
      </c>
      <c r="P47" s="63">
        <f t="shared" si="2"/>
        <v>0</v>
      </c>
      <c r="Q47" s="63">
        <f t="shared" si="3"/>
        <v>10</v>
      </c>
      <c r="R47" s="64">
        <f t="shared" si="4"/>
        <v>100</v>
      </c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5"/>
      <c r="AF47" s="65"/>
      <c r="AG47" s="65"/>
      <c r="AH47" s="65"/>
    </row>
    <row r="48" ht="15.75" customHeight="1">
      <c r="A48" s="66"/>
      <c r="B48" s="21"/>
      <c r="C48" s="2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3"/>
      <c r="P48" s="63"/>
      <c r="Q48" s="63"/>
      <c r="R48" s="64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</row>
    <row r="49" ht="15.75" customHeight="1">
      <c r="A49" s="66"/>
      <c r="B49" s="21"/>
      <c r="C49" s="2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3"/>
      <c r="P49" s="63"/>
      <c r="Q49" s="63"/>
      <c r="R49" s="64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</row>
    <row r="50" ht="15.75" customHeight="1">
      <c r="A50" s="66"/>
      <c r="B50" s="21"/>
      <c r="C50" s="2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3"/>
      <c r="P50" s="63"/>
      <c r="Q50" s="63"/>
      <c r="R50" s="64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</row>
    <row r="51" ht="15.75" customHeight="1">
      <c r="A51" s="66"/>
      <c r="B51" s="68"/>
      <c r="C51" s="42" t="s">
        <v>168</v>
      </c>
      <c r="D51" s="43">
        <f t="shared" ref="D51:E51" si="5">COUNTIF(D11:D50,"P") + COUNTIF(D11:D50, "1")</f>
        <v>36</v>
      </c>
      <c r="E51" s="43">
        <f t="shared" si="5"/>
        <v>35</v>
      </c>
      <c r="F51" s="43"/>
      <c r="G51" s="43">
        <f>COUNTIF(G11:G50,"P") + COUNTIF(G11:G50, "1")</f>
        <v>35</v>
      </c>
      <c r="H51" s="43"/>
      <c r="I51" s="43"/>
      <c r="J51" s="43">
        <f t="shared" ref="J51:M51" si="6">COUNTIF(J11:J50,"P") + COUNTIF(J11:J50, "1")</f>
        <v>36</v>
      </c>
      <c r="K51" s="43">
        <f t="shared" si="6"/>
        <v>31</v>
      </c>
      <c r="L51" s="43">
        <f t="shared" si="6"/>
        <v>34</v>
      </c>
      <c r="M51" s="43">
        <f t="shared" si="6"/>
        <v>36</v>
      </c>
      <c r="N51" s="43"/>
      <c r="O51" s="63"/>
      <c r="P51" s="63"/>
      <c r="Q51" s="63"/>
      <c r="R51" s="64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</row>
    <row r="52" ht="15.75" customHeight="1">
      <c r="A52" s="7"/>
      <c r="B52" s="7"/>
      <c r="C52" s="42" t="s">
        <v>169</v>
      </c>
      <c r="D52" s="45">
        <f t="shared" ref="D52:E52" si="7">COUNTIF(D12:D50,"A") + COUNTIF(D12:D50, "1")</f>
        <v>1</v>
      </c>
      <c r="E52" s="45">
        <f t="shared" si="7"/>
        <v>2</v>
      </c>
      <c r="F52" s="45"/>
      <c r="G52" s="69">
        <f>COUNTIF(G12:G50,"A") + COUNTIF(G12:G50, "1")</f>
        <v>2</v>
      </c>
      <c r="H52" s="45"/>
      <c r="I52" s="45"/>
      <c r="J52" s="45">
        <f t="shared" ref="J52:M52" si="8">COUNTIF(J12:J50,"A") + COUNTIF(J12:J50, "1")</f>
        <v>1</v>
      </c>
      <c r="K52" s="45">
        <f t="shared" si="8"/>
        <v>6</v>
      </c>
      <c r="L52" s="45">
        <f t="shared" si="8"/>
        <v>3</v>
      </c>
      <c r="M52" s="45">
        <f t="shared" si="8"/>
        <v>1</v>
      </c>
      <c r="N52" s="70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</row>
    <row r="53" ht="15.75" customHeight="1">
      <c r="G53" s="8"/>
    </row>
    <row r="54" ht="15.75" customHeight="1">
      <c r="G54" s="8"/>
    </row>
    <row r="55" ht="15.75" customHeight="1">
      <c r="G55" s="8"/>
    </row>
    <row r="56" ht="15.75" customHeight="1">
      <c r="G56" s="8"/>
    </row>
    <row r="57" ht="15.75" customHeight="1">
      <c r="G57" s="8"/>
    </row>
    <row r="58" ht="15.75" customHeight="1">
      <c r="G58" s="8"/>
    </row>
    <row r="59" ht="15.75" customHeight="1">
      <c r="G59" s="8"/>
    </row>
    <row r="60" ht="15.75" customHeight="1">
      <c r="G60" s="8"/>
    </row>
    <row r="61" ht="15.75" customHeight="1">
      <c r="G61" s="8"/>
    </row>
    <row r="62" ht="15.75" customHeight="1">
      <c r="G62" s="8"/>
    </row>
    <row r="63" ht="15.75" customHeight="1">
      <c r="G63" s="8"/>
    </row>
    <row r="64" ht="15.75" customHeight="1">
      <c r="G64" s="8"/>
    </row>
    <row r="65" ht="15.75" customHeight="1">
      <c r="G65" s="8"/>
    </row>
    <row r="66" ht="15.75" customHeight="1">
      <c r="G66" s="8"/>
    </row>
    <row r="67" ht="15.75" customHeight="1">
      <c r="G67" s="8"/>
    </row>
    <row r="68" ht="15.75" customHeight="1">
      <c r="G68" s="8"/>
    </row>
    <row r="69" ht="15.75" customHeight="1">
      <c r="G69" s="8"/>
    </row>
    <row r="70" ht="15.75" customHeight="1">
      <c r="G70" s="8"/>
    </row>
    <row r="71" ht="15.75" customHeight="1">
      <c r="G71" s="8"/>
    </row>
    <row r="72" ht="15.75" customHeight="1">
      <c r="G72" s="8"/>
    </row>
    <row r="73" ht="15.75" customHeight="1">
      <c r="G73" s="8"/>
    </row>
    <row r="74" ht="15.75" customHeight="1">
      <c r="G74" s="8"/>
    </row>
    <row r="75" ht="15.75" customHeight="1">
      <c r="G75" s="8"/>
    </row>
    <row r="76" ht="15.75" customHeight="1">
      <c r="G76" s="8"/>
    </row>
    <row r="77" ht="15.75" customHeight="1">
      <c r="G77" s="8"/>
    </row>
    <row r="78" ht="15.75" customHeight="1">
      <c r="G78" s="8"/>
    </row>
    <row r="79" ht="15.75" customHeight="1">
      <c r="G79" s="8"/>
    </row>
    <row r="80" ht="15.75" customHeight="1">
      <c r="G80" s="8"/>
    </row>
    <row r="81" ht="15.75" customHeight="1">
      <c r="G81" s="8"/>
    </row>
    <row r="82" ht="15.75" customHeight="1">
      <c r="G82" s="8"/>
    </row>
    <row r="83" ht="15.75" customHeight="1">
      <c r="G83" s="8"/>
    </row>
    <row r="84" ht="15.75" customHeight="1">
      <c r="G84" s="8"/>
    </row>
    <row r="85" ht="15.75" customHeight="1">
      <c r="G85" s="8"/>
    </row>
    <row r="86" ht="15.75" customHeight="1">
      <c r="G86" s="8"/>
    </row>
    <row r="87" ht="15.75" customHeight="1">
      <c r="G87" s="8"/>
    </row>
    <row r="88" ht="15.75" customHeight="1">
      <c r="G88" s="8"/>
    </row>
    <row r="89" ht="15.75" customHeight="1">
      <c r="G89" s="8"/>
    </row>
    <row r="90" ht="15.75" customHeight="1">
      <c r="G90" s="8"/>
    </row>
    <row r="91" ht="15.75" customHeight="1">
      <c r="G91" s="8"/>
    </row>
    <row r="92" ht="15.75" customHeight="1">
      <c r="G92" s="8"/>
    </row>
    <row r="93" ht="15.75" customHeight="1">
      <c r="G93" s="8"/>
    </row>
    <row r="94" ht="15.75" customHeight="1">
      <c r="G94" s="8"/>
    </row>
    <row r="95" ht="15.75" customHeight="1">
      <c r="G95" s="8"/>
    </row>
    <row r="96" ht="15.75" customHeight="1">
      <c r="G96" s="8"/>
    </row>
    <row r="97" ht="15.75" customHeight="1">
      <c r="G97" s="8"/>
    </row>
    <row r="98" ht="15.75" customHeight="1">
      <c r="G98" s="8"/>
    </row>
    <row r="99" ht="15.75" customHeight="1">
      <c r="G99" s="8"/>
    </row>
    <row r="100" ht="15.75" customHeight="1">
      <c r="G100" s="8"/>
    </row>
    <row r="101" ht="15.75" customHeight="1">
      <c r="G101" s="8"/>
    </row>
    <row r="102" ht="15.75" customHeight="1">
      <c r="G102" s="8"/>
    </row>
    <row r="103" ht="15.75" customHeight="1">
      <c r="G103" s="8"/>
    </row>
    <row r="104" ht="15.75" customHeight="1">
      <c r="G104" s="8"/>
    </row>
    <row r="105" ht="15.75" customHeight="1">
      <c r="G105" s="8"/>
    </row>
    <row r="106" ht="15.75" customHeight="1">
      <c r="G106" s="8"/>
    </row>
    <row r="107" ht="15.75" customHeight="1">
      <c r="G107" s="8"/>
    </row>
    <row r="108" ht="15.75" customHeight="1">
      <c r="G108" s="8"/>
    </row>
    <row r="109" ht="15.75" customHeight="1">
      <c r="G109" s="8"/>
    </row>
    <row r="110" ht="15.75" customHeight="1">
      <c r="G110" s="8"/>
    </row>
    <row r="111" ht="15.75" customHeight="1">
      <c r="G111" s="8"/>
    </row>
    <row r="112" ht="15.75" customHeight="1">
      <c r="G112" s="8"/>
    </row>
    <row r="113" ht="15.75" customHeight="1">
      <c r="G113" s="8"/>
    </row>
    <row r="114" ht="15.75" customHeight="1">
      <c r="G114" s="8"/>
    </row>
    <row r="115" ht="15.75" customHeight="1">
      <c r="G115" s="8"/>
    </row>
    <row r="116" ht="15.75" customHeight="1">
      <c r="G116" s="8"/>
    </row>
    <row r="117" ht="15.75" customHeight="1">
      <c r="G117" s="8"/>
    </row>
    <row r="118" ht="15.75" customHeight="1">
      <c r="G118" s="8"/>
    </row>
    <row r="119" ht="15.75" customHeight="1">
      <c r="G119" s="8"/>
    </row>
    <row r="120" ht="15.75" customHeight="1">
      <c r="G120" s="8"/>
    </row>
    <row r="121" ht="15.75" customHeight="1">
      <c r="G121" s="8"/>
    </row>
    <row r="122" ht="15.75" customHeight="1">
      <c r="G122" s="8"/>
    </row>
    <row r="123" ht="15.75" customHeight="1">
      <c r="G123" s="8"/>
    </row>
    <row r="124" ht="15.75" customHeight="1">
      <c r="G124" s="8"/>
    </row>
    <row r="125" ht="15.75" customHeight="1">
      <c r="G125" s="8"/>
    </row>
    <row r="126" ht="15.75" customHeight="1">
      <c r="G126" s="8"/>
    </row>
    <row r="127" ht="15.75" customHeight="1">
      <c r="G127" s="8"/>
    </row>
    <row r="128" ht="15.75" customHeight="1">
      <c r="G128" s="8"/>
    </row>
    <row r="129" ht="15.75" customHeight="1">
      <c r="G129" s="8"/>
    </row>
    <row r="130" ht="15.75" customHeight="1">
      <c r="G130" s="8"/>
    </row>
    <row r="131" ht="15.75" customHeight="1">
      <c r="G131" s="8"/>
    </row>
    <row r="132" ht="15.75" customHeight="1">
      <c r="G132" s="8"/>
    </row>
    <row r="133" ht="15.75" customHeight="1">
      <c r="G133" s="8"/>
    </row>
    <row r="134" ht="15.75" customHeight="1">
      <c r="G134" s="8"/>
    </row>
    <row r="135" ht="15.75" customHeight="1">
      <c r="G135" s="8"/>
    </row>
    <row r="136" ht="15.75" customHeight="1">
      <c r="G136" s="8"/>
    </row>
    <row r="137" ht="15.75" customHeight="1">
      <c r="G137" s="8"/>
    </row>
    <row r="138" ht="15.75" customHeight="1">
      <c r="G138" s="8"/>
    </row>
    <row r="139" ht="15.75" customHeight="1">
      <c r="G139" s="8"/>
    </row>
    <row r="140" ht="15.75" customHeight="1">
      <c r="G140" s="8"/>
    </row>
    <row r="141" ht="15.75" customHeight="1">
      <c r="G141" s="8"/>
    </row>
    <row r="142" ht="15.75" customHeight="1">
      <c r="G142" s="8"/>
    </row>
    <row r="143" ht="15.75" customHeight="1">
      <c r="G143" s="8"/>
    </row>
    <row r="144" ht="15.75" customHeight="1">
      <c r="G144" s="8"/>
    </row>
    <row r="145" ht="15.75" customHeight="1">
      <c r="G145" s="8"/>
    </row>
    <row r="146" ht="15.75" customHeight="1">
      <c r="G146" s="8"/>
    </row>
    <row r="147" ht="15.75" customHeight="1">
      <c r="G147" s="8"/>
    </row>
    <row r="148" ht="15.75" customHeight="1">
      <c r="G148" s="8"/>
    </row>
    <row r="149" ht="15.75" customHeight="1">
      <c r="G149" s="8"/>
    </row>
    <row r="150" ht="15.75" customHeight="1">
      <c r="G150" s="8"/>
    </row>
    <row r="151" ht="15.75" customHeight="1">
      <c r="G151" s="8"/>
    </row>
    <row r="152" ht="15.75" customHeight="1">
      <c r="G152" s="8"/>
    </row>
    <row r="153" ht="15.75" customHeight="1">
      <c r="G153" s="8"/>
    </row>
    <row r="154" ht="15.75" customHeight="1">
      <c r="G154" s="8"/>
    </row>
    <row r="155" ht="15.75" customHeight="1">
      <c r="G155" s="8"/>
    </row>
    <row r="156" ht="15.75" customHeight="1">
      <c r="G156" s="8"/>
    </row>
    <row r="157" ht="15.75" customHeight="1">
      <c r="G157" s="8"/>
    </row>
    <row r="158" ht="15.75" customHeight="1">
      <c r="G158" s="8"/>
    </row>
    <row r="159" ht="15.75" customHeight="1">
      <c r="G159" s="8"/>
    </row>
    <row r="160" ht="15.75" customHeight="1">
      <c r="G160" s="8"/>
    </row>
    <row r="161" ht="15.75" customHeight="1">
      <c r="G161" s="8"/>
    </row>
    <row r="162" ht="15.75" customHeight="1">
      <c r="G162" s="8"/>
    </row>
    <row r="163" ht="15.75" customHeight="1">
      <c r="G163" s="8"/>
    </row>
    <row r="164" ht="15.75" customHeight="1">
      <c r="G164" s="8"/>
    </row>
    <row r="165" ht="15.75" customHeight="1">
      <c r="G165" s="8"/>
    </row>
    <row r="166" ht="15.75" customHeight="1">
      <c r="G166" s="8"/>
    </row>
    <row r="167" ht="15.75" customHeight="1">
      <c r="G167" s="8"/>
    </row>
    <row r="168" ht="15.75" customHeight="1">
      <c r="G168" s="8"/>
    </row>
    <row r="169" ht="15.75" customHeight="1">
      <c r="G169" s="8"/>
    </row>
    <row r="170" ht="15.75" customHeight="1">
      <c r="G170" s="8"/>
    </row>
    <row r="171" ht="15.75" customHeight="1">
      <c r="G171" s="8"/>
    </row>
    <row r="172" ht="15.75" customHeight="1">
      <c r="G172" s="8"/>
    </row>
    <row r="173" ht="15.75" customHeight="1">
      <c r="G173" s="8"/>
    </row>
    <row r="174" ht="15.75" customHeight="1">
      <c r="G174" s="8"/>
    </row>
    <row r="175" ht="15.75" customHeight="1">
      <c r="G175" s="8"/>
    </row>
    <row r="176" ht="15.75" customHeight="1">
      <c r="G176" s="8"/>
    </row>
    <row r="177" ht="15.75" customHeight="1">
      <c r="G177" s="8"/>
    </row>
    <row r="178" ht="15.75" customHeight="1">
      <c r="G178" s="8"/>
    </row>
    <row r="179" ht="15.75" customHeight="1">
      <c r="G179" s="8"/>
    </row>
    <row r="180" ht="15.75" customHeight="1">
      <c r="G180" s="8"/>
    </row>
    <row r="181" ht="15.75" customHeight="1">
      <c r="G181" s="8"/>
    </row>
    <row r="182" ht="15.75" customHeight="1">
      <c r="G182" s="8"/>
    </row>
    <row r="183" ht="15.75" customHeight="1">
      <c r="G183" s="8"/>
    </row>
    <row r="184" ht="15.75" customHeight="1">
      <c r="G184" s="8"/>
    </row>
    <row r="185" ht="15.75" customHeight="1">
      <c r="G185" s="8"/>
    </row>
    <row r="186" ht="15.75" customHeight="1">
      <c r="G186" s="8"/>
    </row>
    <row r="187" ht="15.75" customHeight="1">
      <c r="G187" s="8"/>
    </row>
    <row r="188" ht="15.75" customHeight="1">
      <c r="G188" s="8"/>
    </row>
    <row r="189" ht="15.75" customHeight="1">
      <c r="G189" s="8"/>
    </row>
    <row r="190" ht="15.75" customHeight="1">
      <c r="G190" s="8"/>
    </row>
    <row r="191" ht="15.75" customHeight="1">
      <c r="G191" s="8"/>
    </row>
    <row r="192" ht="15.75" customHeight="1">
      <c r="G192" s="8"/>
    </row>
    <row r="193" ht="15.75" customHeight="1">
      <c r="G193" s="8"/>
    </row>
    <row r="194" ht="15.75" customHeight="1">
      <c r="G194" s="8"/>
    </row>
    <row r="195" ht="15.75" customHeight="1">
      <c r="G195" s="8"/>
    </row>
    <row r="196" ht="15.75" customHeight="1">
      <c r="G196" s="8"/>
    </row>
    <row r="197" ht="15.75" customHeight="1">
      <c r="G197" s="8"/>
    </row>
    <row r="198" ht="15.75" customHeight="1">
      <c r="G198" s="8"/>
    </row>
    <row r="199" ht="15.75" customHeight="1">
      <c r="G199" s="8"/>
    </row>
    <row r="200" ht="15.75" customHeight="1">
      <c r="G200" s="8"/>
    </row>
    <row r="201" ht="15.75" customHeight="1">
      <c r="G201" s="8"/>
    </row>
    <row r="202" ht="15.75" customHeight="1">
      <c r="G202" s="8"/>
    </row>
    <row r="203" ht="15.75" customHeight="1">
      <c r="G203" s="8"/>
    </row>
    <row r="204" ht="15.75" customHeight="1">
      <c r="G204" s="8"/>
    </row>
    <row r="205" ht="15.75" customHeight="1">
      <c r="G205" s="8"/>
    </row>
    <row r="206" ht="15.75" customHeight="1">
      <c r="G206" s="8"/>
    </row>
    <row r="207" ht="15.75" customHeight="1">
      <c r="G207" s="8"/>
    </row>
    <row r="208" ht="15.75" customHeight="1">
      <c r="G208" s="8"/>
    </row>
    <row r="209" ht="15.75" customHeight="1">
      <c r="G209" s="8"/>
    </row>
    <row r="210" ht="15.75" customHeight="1">
      <c r="G210" s="8"/>
    </row>
    <row r="211" ht="15.75" customHeight="1">
      <c r="G211" s="8"/>
    </row>
    <row r="212" ht="15.75" customHeight="1">
      <c r="G212" s="8"/>
    </row>
    <row r="213" ht="15.75" customHeight="1">
      <c r="G213" s="8"/>
    </row>
    <row r="214" ht="15.75" customHeight="1">
      <c r="G214" s="8"/>
    </row>
    <row r="215" ht="15.75" customHeight="1">
      <c r="G215" s="8"/>
    </row>
    <row r="216" ht="15.75" customHeight="1">
      <c r="G216" s="8"/>
    </row>
    <row r="217" ht="15.75" customHeight="1">
      <c r="G217" s="8"/>
    </row>
    <row r="218" ht="15.75" customHeight="1">
      <c r="G218" s="8"/>
    </row>
    <row r="219" ht="15.75" customHeight="1">
      <c r="G219" s="8"/>
    </row>
    <row r="220" ht="15.75" customHeight="1">
      <c r="G220" s="8"/>
    </row>
    <row r="221" ht="15.75" customHeight="1">
      <c r="G221" s="8"/>
    </row>
    <row r="222" ht="15.75" customHeight="1">
      <c r="G222" s="8"/>
    </row>
    <row r="223" ht="15.75" customHeight="1">
      <c r="G223" s="8"/>
    </row>
    <row r="224" ht="15.75" customHeight="1">
      <c r="G224" s="8"/>
    </row>
    <row r="225" ht="15.75" customHeight="1">
      <c r="G225" s="8"/>
    </row>
    <row r="226" ht="15.75" customHeight="1">
      <c r="G226" s="8"/>
    </row>
    <row r="227" ht="15.75" customHeight="1">
      <c r="G227" s="8"/>
    </row>
    <row r="228" ht="15.75" customHeight="1">
      <c r="G228" s="8"/>
    </row>
    <row r="229" ht="15.75" customHeight="1">
      <c r="G229" s="8"/>
    </row>
    <row r="230" ht="15.75" customHeight="1">
      <c r="G230" s="8"/>
    </row>
    <row r="231" ht="15.75" customHeight="1">
      <c r="G231" s="8"/>
    </row>
    <row r="232" ht="15.75" customHeight="1">
      <c r="G232" s="8"/>
    </row>
    <row r="233" ht="15.75" customHeight="1">
      <c r="G233" s="8"/>
    </row>
    <row r="234" ht="15.75" customHeight="1">
      <c r="G234" s="8"/>
    </row>
    <row r="235" ht="15.75" customHeight="1">
      <c r="G235" s="8"/>
    </row>
    <row r="236" ht="15.75" customHeight="1">
      <c r="G236" s="8"/>
    </row>
    <row r="237" ht="15.75" customHeight="1">
      <c r="G237" s="8"/>
    </row>
    <row r="238" ht="15.75" customHeight="1">
      <c r="G238" s="8"/>
    </row>
    <row r="239" ht="15.75" customHeight="1">
      <c r="G239" s="8"/>
    </row>
    <row r="240" ht="15.75" customHeight="1">
      <c r="G240" s="8"/>
    </row>
    <row r="241" ht="15.75" customHeight="1">
      <c r="G241" s="8"/>
    </row>
    <row r="242" ht="15.75" customHeight="1">
      <c r="G242" s="8"/>
    </row>
    <row r="243" ht="15.75" customHeight="1">
      <c r="G243" s="8"/>
    </row>
    <row r="244" ht="15.75" customHeight="1">
      <c r="G244" s="8"/>
    </row>
    <row r="245" ht="15.75" customHeight="1">
      <c r="G245" s="8"/>
    </row>
    <row r="246" ht="15.75" customHeight="1">
      <c r="G246" s="8"/>
    </row>
    <row r="247" ht="15.75" customHeight="1">
      <c r="G247" s="8"/>
    </row>
    <row r="248" ht="15.75" customHeight="1">
      <c r="G248" s="8"/>
    </row>
    <row r="249" ht="15.75" customHeight="1">
      <c r="G249" s="8"/>
    </row>
    <row r="250" ht="15.75" customHeight="1">
      <c r="G250" s="8"/>
    </row>
    <row r="251" ht="15.75" customHeight="1">
      <c r="G251" s="8"/>
    </row>
    <row r="252" ht="15.75" customHeight="1">
      <c r="G252" s="8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1">
    <mergeCell ref="D9:F9"/>
    <mergeCell ref="G9:I9"/>
    <mergeCell ref="J9:L9"/>
    <mergeCell ref="M9:N9"/>
    <mergeCell ref="A1:AH1"/>
    <mergeCell ref="A2:AH2"/>
    <mergeCell ref="A3:AH3"/>
    <mergeCell ref="A4:AH4"/>
    <mergeCell ref="A5:AH5"/>
    <mergeCell ref="A6:AH6"/>
    <mergeCell ref="A7:AC7"/>
  </mergeCells>
  <conditionalFormatting sqref="D11:N50">
    <cfRule type="containsText" dxfId="2" priority="1" operator="containsText" text="P">
      <formula>NOT(ISERROR(SEARCH(("P"),(D11))))</formula>
    </cfRule>
  </conditionalFormatting>
  <conditionalFormatting sqref="D11:N50">
    <cfRule type="containsText" dxfId="3" priority="2" operator="containsText" text="A">
      <formula>NOT(ISERROR(SEARCH(("A"),(D11))))</formula>
    </cfRule>
  </conditionalFormatting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4.43"/>
    <col customWidth="1" min="3" max="3" width="34.71"/>
    <col customWidth="1" min="4" max="4" width="6.57"/>
    <col customWidth="1" min="5" max="5" width="6.0"/>
    <col customWidth="1" min="6" max="7" width="7.57"/>
    <col customWidth="1" min="8" max="9" width="6.57"/>
    <col customWidth="1" min="10" max="10" width="7.29"/>
    <col customWidth="1" min="11" max="11" width="6.0"/>
    <col customWidth="1" min="12" max="12" width="6.86"/>
    <col customWidth="1" min="13" max="14" width="7.0"/>
    <col customWidth="1" min="15" max="15" width="8.86"/>
    <col customWidth="1" min="16" max="16" width="7.71"/>
    <col customWidth="1" min="17" max="17" width="6.86"/>
    <col customWidth="1" min="18" max="18" width="12.0"/>
  </cols>
  <sheetData>
    <row r="1" ht="15.0" customHeight="1">
      <c r="A1" s="7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3"/>
    </row>
    <row r="2" ht="15.0" customHeight="1">
      <c r="A2" s="7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3"/>
    </row>
    <row r="3" ht="15.0" customHeight="1">
      <c r="A3" s="7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3"/>
    </row>
    <row r="4" ht="15.0" customHeight="1">
      <c r="A4" s="72" t="s">
        <v>174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3"/>
    </row>
    <row r="5" ht="15.0" customHeight="1">
      <c r="A5" s="71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3"/>
    </row>
    <row r="6" ht="15.0" customHeight="1">
      <c r="A6" s="71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3"/>
    </row>
    <row r="7" ht="15.0" customHeight="1">
      <c r="A7" s="73"/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5"/>
    </row>
    <row r="8">
      <c r="A8" s="7"/>
      <c r="B8" s="7"/>
      <c r="C8" s="76" t="s">
        <v>175</v>
      </c>
      <c r="D8" s="48"/>
      <c r="E8" s="48"/>
      <c r="F8" s="48"/>
      <c r="G8" s="48"/>
      <c r="H8" s="48"/>
      <c r="I8" s="48"/>
      <c r="J8" s="48"/>
      <c r="K8" s="48"/>
      <c r="L8" s="48"/>
      <c r="M8" s="7"/>
      <c r="N8" s="7"/>
      <c r="O8" s="48"/>
      <c r="P8" s="48"/>
      <c r="Q8" s="48"/>
      <c r="R8" s="77"/>
    </row>
    <row r="9" ht="15.0" customHeight="1">
      <c r="A9" s="7"/>
      <c r="B9" s="7"/>
      <c r="C9" s="78"/>
      <c r="D9" s="79" t="s">
        <v>176</v>
      </c>
      <c r="E9" s="52"/>
      <c r="F9" s="53"/>
      <c r="G9" s="50" t="s">
        <v>177</v>
      </c>
      <c r="H9" s="2"/>
      <c r="I9" s="3"/>
      <c r="J9" s="50" t="s">
        <v>173</v>
      </c>
      <c r="K9" s="3"/>
      <c r="L9" s="80" t="s">
        <v>8</v>
      </c>
      <c r="M9" s="2"/>
      <c r="N9" s="3"/>
      <c r="O9" s="81" t="s">
        <v>9</v>
      </c>
      <c r="P9" s="82" t="s">
        <v>10</v>
      </c>
      <c r="Q9" s="82" t="s">
        <v>11</v>
      </c>
      <c r="R9" s="83" t="s">
        <v>12</v>
      </c>
    </row>
    <row r="10">
      <c r="A10" s="84" t="s">
        <v>13</v>
      </c>
      <c r="B10" s="85" t="s">
        <v>14</v>
      </c>
      <c r="C10" s="85" t="s">
        <v>15</v>
      </c>
      <c r="D10" s="60">
        <v>12.0</v>
      </c>
      <c r="E10" s="60">
        <v>19.0</v>
      </c>
      <c r="F10" s="60">
        <v>30.0</v>
      </c>
      <c r="G10" s="60">
        <v>2.0</v>
      </c>
      <c r="H10" s="60">
        <v>9.0</v>
      </c>
      <c r="I10" s="60">
        <v>16.0</v>
      </c>
      <c r="J10" s="86">
        <v>14.0</v>
      </c>
      <c r="K10" s="86">
        <v>28.0</v>
      </c>
      <c r="L10" s="60">
        <v>4.0</v>
      </c>
      <c r="M10" s="60">
        <v>21.0</v>
      </c>
      <c r="N10" s="86">
        <v>28.0</v>
      </c>
      <c r="O10" s="55"/>
      <c r="P10" s="55"/>
      <c r="Q10" s="55"/>
      <c r="R10" s="87"/>
    </row>
    <row r="11">
      <c r="A11" s="20">
        <v>38.0</v>
      </c>
      <c r="B11" s="21" t="s">
        <v>92</v>
      </c>
      <c r="C11" s="27" t="s">
        <v>93</v>
      </c>
      <c r="D11" s="62" t="s">
        <v>18</v>
      </c>
      <c r="E11" s="62" t="s">
        <v>18</v>
      </c>
      <c r="F11" s="62" t="s">
        <v>19</v>
      </c>
      <c r="G11" s="62" t="s">
        <v>18</v>
      </c>
      <c r="H11" s="62" t="s">
        <v>18</v>
      </c>
      <c r="I11" s="62" t="s">
        <v>18</v>
      </c>
      <c r="J11" s="62" t="s">
        <v>18</v>
      </c>
      <c r="K11" s="62" t="s">
        <v>18</v>
      </c>
      <c r="L11" s="62" t="s">
        <v>18</v>
      </c>
      <c r="M11" s="62" t="s">
        <v>18</v>
      </c>
      <c r="N11" s="88"/>
      <c r="O11" s="63">
        <f t="shared" ref="O11:O47" si="1">COUNTIF(D11:M11,"P")+COUNTIF(D11:M11,"1")</f>
        <v>9</v>
      </c>
      <c r="P11" s="63">
        <f t="shared" ref="P11:P47" si="2">COUNTIF(D11:M11,"A")+COUNTIF(D11:M11,"0")</f>
        <v>1</v>
      </c>
      <c r="Q11" s="63">
        <f t="shared" ref="Q11:Q47" si="3">SUM(O11:P11)</f>
        <v>10</v>
      </c>
      <c r="R11" s="89">
        <f t="shared" ref="R11:R47" si="4">(O11/Q11)*100</f>
        <v>90</v>
      </c>
    </row>
    <row r="12">
      <c r="A12" s="20">
        <v>39.0</v>
      </c>
      <c r="B12" s="21" t="s">
        <v>94</v>
      </c>
      <c r="C12" s="27" t="s">
        <v>95</v>
      </c>
      <c r="D12" s="62" t="s">
        <v>18</v>
      </c>
      <c r="E12" s="62" t="s">
        <v>18</v>
      </c>
      <c r="F12" s="62" t="s">
        <v>18</v>
      </c>
      <c r="G12" s="62" t="s">
        <v>18</v>
      </c>
      <c r="H12" s="62" t="s">
        <v>18</v>
      </c>
      <c r="I12" s="62" t="s">
        <v>18</v>
      </c>
      <c r="J12" s="62" t="s">
        <v>18</v>
      </c>
      <c r="K12" s="62" t="s">
        <v>18</v>
      </c>
      <c r="L12" s="62" t="s">
        <v>18</v>
      </c>
      <c r="M12" s="62" t="s">
        <v>18</v>
      </c>
      <c r="N12" s="88"/>
      <c r="O12" s="63">
        <f t="shared" si="1"/>
        <v>10</v>
      </c>
      <c r="P12" s="63">
        <f t="shared" si="2"/>
        <v>0</v>
      </c>
      <c r="Q12" s="63">
        <f t="shared" si="3"/>
        <v>10</v>
      </c>
      <c r="R12" s="89">
        <f t="shared" si="4"/>
        <v>100</v>
      </c>
    </row>
    <row r="13">
      <c r="A13" s="20">
        <v>40.0</v>
      </c>
      <c r="B13" s="21" t="s">
        <v>96</v>
      </c>
      <c r="C13" s="27" t="s">
        <v>97</v>
      </c>
      <c r="D13" s="62" t="s">
        <v>19</v>
      </c>
      <c r="E13" s="62" t="s">
        <v>19</v>
      </c>
      <c r="F13" s="62" t="s">
        <v>19</v>
      </c>
      <c r="G13" s="62" t="s">
        <v>19</v>
      </c>
      <c r="H13" s="62" t="s">
        <v>19</v>
      </c>
      <c r="I13" s="62" t="s">
        <v>19</v>
      </c>
      <c r="J13" s="62" t="s">
        <v>19</v>
      </c>
      <c r="K13" s="62" t="s">
        <v>19</v>
      </c>
      <c r="L13" s="62" t="s">
        <v>19</v>
      </c>
      <c r="M13" s="62" t="s">
        <v>19</v>
      </c>
      <c r="N13" s="88"/>
      <c r="O13" s="63">
        <f t="shared" si="1"/>
        <v>0</v>
      </c>
      <c r="P13" s="63">
        <f t="shared" si="2"/>
        <v>10</v>
      </c>
      <c r="Q13" s="63">
        <f t="shared" si="3"/>
        <v>10</v>
      </c>
      <c r="R13" s="89">
        <f t="shared" si="4"/>
        <v>0</v>
      </c>
    </row>
    <row r="14">
      <c r="A14" s="20">
        <v>41.0</v>
      </c>
      <c r="B14" s="21" t="s">
        <v>98</v>
      </c>
      <c r="C14" s="27" t="s">
        <v>99</v>
      </c>
      <c r="D14" s="62" t="s">
        <v>18</v>
      </c>
      <c r="E14" s="62" t="s">
        <v>18</v>
      </c>
      <c r="F14" s="62" t="s">
        <v>18</v>
      </c>
      <c r="G14" s="62" t="s">
        <v>18</v>
      </c>
      <c r="H14" s="62" t="s">
        <v>18</v>
      </c>
      <c r="I14" s="62" t="s">
        <v>18</v>
      </c>
      <c r="J14" s="62" t="s">
        <v>18</v>
      </c>
      <c r="K14" s="62" t="s">
        <v>18</v>
      </c>
      <c r="L14" s="62" t="s">
        <v>18</v>
      </c>
      <c r="M14" s="62" t="s">
        <v>18</v>
      </c>
      <c r="N14" s="88"/>
      <c r="O14" s="63">
        <f t="shared" si="1"/>
        <v>10</v>
      </c>
      <c r="P14" s="63">
        <f t="shared" si="2"/>
        <v>0</v>
      </c>
      <c r="Q14" s="63">
        <f t="shared" si="3"/>
        <v>10</v>
      </c>
      <c r="R14" s="89">
        <f t="shared" si="4"/>
        <v>100</v>
      </c>
    </row>
    <row r="15">
      <c r="A15" s="20">
        <v>42.0</v>
      </c>
      <c r="B15" s="21" t="s">
        <v>100</v>
      </c>
      <c r="C15" s="27" t="s">
        <v>101</v>
      </c>
      <c r="D15" s="62" t="s">
        <v>18</v>
      </c>
      <c r="E15" s="62" t="s">
        <v>18</v>
      </c>
      <c r="F15" s="62" t="s">
        <v>18</v>
      </c>
      <c r="G15" s="62" t="s">
        <v>18</v>
      </c>
      <c r="H15" s="62" t="s">
        <v>18</v>
      </c>
      <c r="I15" s="62" t="s">
        <v>18</v>
      </c>
      <c r="J15" s="62" t="s">
        <v>19</v>
      </c>
      <c r="K15" s="62" t="s">
        <v>18</v>
      </c>
      <c r="L15" s="62" t="s">
        <v>18</v>
      </c>
      <c r="M15" s="62" t="s">
        <v>18</v>
      </c>
      <c r="N15" s="88"/>
      <c r="O15" s="63">
        <f t="shared" si="1"/>
        <v>9</v>
      </c>
      <c r="P15" s="63">
        <f t="shared" si="2"/>
        <v>1</v>
      </c>
      <c r="Q15" s="63">
        <f t="shared" si="3"/>
        <v>10</v>
      </c>
      <c r="R15" s="89">
        <f t="shared" si="4"/>
        <v>90</v>
      </c>
    </row>
    <row r="16">
      <c r="A16" s="20">
        <v>43.0</v>
      </c>
      <c r="B16" s="21" t="s">
        <v>102</v>
      </c>
      <c r="C16" s="27" t="s">
        <v>103</v>
      </c>
      <c r="D16" s="62" t="s">
        <v>19</v>
      </c>
      <c r="E16" s="62" t="s">
        <v>19</v>
      </c>
      <c r="F16" s="62" t="s">
        <v>19</v>
      </c>
      <c r="G16" s="62" t="s">
        <v>19</v>
      </c>
      <c r="H16" s="62" t="s">
        <v>19</v>
      </c>
      <c r="I16" s="62" t="s">
        <v>19</v>
      </c>
      <c r="J16" s="62" t="s">
        <v>19</v>
      </c>
      <c r="K16" s="62" t="s">
        <v>19</v>
      </c>
      <c r="L16" s="62" t="s">
        <v>19</v>
      </c>
      <c r="M16" s="62" t="s">
        <v>19</v>
      </c>
      <c r="N16" s="88"/>
      <c r="O16" s="63">
        <f t="shared" si="1"/>
        <v>0</v>
      </c>
      <c r="P16" s="63">
        <f t="shared" si="2"/>
        <v>10</v>
      </c>
      <c r="Q16" s="63">
        <f t="shared" si="3"/>
        <v>10</v>
      </c>
      <c r="R16" s="89">
        <f t="shared" si="4"/>
        <v>0</v>
      </c>
    </row>
    <row r="17">
      <c r="A17" s="20">
        <v>44.0</v>
      </c>
      <c r="B17" s="21" t="s">
        <v>104</v>
      </c>
      <c r="C17" s="27" t="s">
        <v>105</v>
      </c>
      <c r="D17" s="62" t="s">
        <v>18</v>
      </c>
      <c r="E17" s="62" t="s">
        <v>18</v>
      </c>
      <c r="F17" s="62" t="s">
        <v>18</v>
      </c>
      <c r="G17" s="62" t="s">
        <v>18</v>
      </c>
      <c r="H17" s="62" t="s">
        <v>18</v>
      </c>
      <c r="I17" s="62" t="s">
        <v>18</v>
      </c>
      <c r="J17" s="62" t="s">
        <v>18</v>
      </c>
      <c r="K17" s="62" t="s">
        <v>18</v>
      </c>
      <c r="L17" s="62" t="s">
        <v>18</v>
      </c>
      <c r="M17" s="62" t="s">
        <v>18</v>
      </c>
      <c r="N17" s="88"/>
      <c r="O17" s="63">
        <f t="shared" si="1"/>
        <v>10</v>
      </c>
      <c r="P17" s="63">
        <f t="shared" si="2"/>
        <v>0</v>
      </c>
      <c r="Q17" s="63">
        <f t="shared" si="3"/>
        <v>10</v>
      </c>
      <c r="R17" s="89">
        <f t="shared" si="4"/>
        <v>100</v>
      </c>
    </row>
    <row r="18">
      <c r="A18" s="20">
        <v>45.0</v>
      </c>
      <c r="B18" s="21" t="s">
        <v>106</v>
      </c>
      <c r="C18" s="27" t="s">
        <v>107</v>
      </c>
      <c r="D18" s="62" t="s">
        <v>18</v>
      </c>
      <c r="E18" s="62" t="s">
        <v>18</v>
      </c>
      <c r="F18" s="62" t="s">
        <v>18</v>
      </c>
      <c r="G18" s="62" t="s">
        <v>18</v>
      </c>
      <c r="H18" s="62" t="s">
        <v>18</v>
      </c>
      <c r="I18" s="62" t="s">
        <v>18</v>
      </c>
      <c r="J18" s="62" t="s">
        <v>18</v>
      </c>
      <c r="K18" s="62" t="s">
        <v>18</v>
      </c>
      <c r="L18" s="62" t="s">
        <v>18</v>
      </c>
      <c r="M18" s="62" t="s">
        <v>18</v>
      </c>
      <c r="N18" s="88"/>
      <c r="O18" s="63">
        <f t="shared" si="1"/>
        <v>10</v>
      </c>
      <c r="P18" s="63">
        <f t="shared" si="2"/>
        <v>0</v>
      </c>
      <c r="Q18" s="63">
        <f t="shared" si="3"/>
        <v>10</v>
      </c>
      <c r="R18" s="89">
        <f t="shared" si="4"/>
        <v>100</v>
      </c>
    </row>
    <row r="19">
      <c r="A19" s="20">
        <v>46.0</v>
      </c>
      <c r="B19" s="21" t="s">
        <v>108</v>
      </c>
      <c r="C19" s="27" t="s">
        <v>109</v>
      </c>
      <c r="D19" s="62" t="s">
        <v>18</v>
      </c>
      <c r="E19" s="62" t="s">
        <v>18</v>
      </c>
      <c r="F19" s="62" t="s">
        <v>18</v>
      </c>
      <c r="G19" s="62" t="s">
        <v>18</v>
      </c>
      <c r="H19" s="62" t="s">
        <v>18</v>
      </c>
      <c r="I19" s="62" t="s">
        <v>18</v>
      </c>
      <c r="J19" s="62" t="s">
        <v>18</v>
      </c>
      <c r="K19" s="62" t="s">
        <v>18</v>
      </c>
      <c r="L19" s="62" t="s">
        <v>18</v>
      </c>
      <c r="M19" s="62" t="s">
        <v>18</v>
      </c>
      <c r="N19" s="88"/>
      <c r="O19" s="63">
        <f t="shared" si="1"/>
        <v>10</v>
      </c>
      <c r="P19" s="63">
        <f t="shared" si="2"/>
        <v>0</v>
      </c>
      <c r="Q19" s="63">
        <f t="shared" si="3"/>
        <v>10</v>
      </c>
      <c r="R19" s="89">
        <f t="shared" si="4"/>
        <v>100</v>
      </c>
    </row>
    <row r="20" ht="15.75" customHeight="1">
      <c r="A20" s="20">
        <v>47.0</v>
      </c>
      <c r="B20" s="21" t="s">
        <v>110</v>
      </c>
      <c r="C20" s="27" t="s">
        <v>111</v>
      </c>
      <c r="D20" s="62" t="s">
        <v>18</v>
      </c>
      <c r="E20" s="62" t="s">
        <v>18</v>
      </c>
      <c r="F20" s="62" t="s">
        <v>18</v>
      </c>
      <c r="G20" s="62" t="s">
        <v>18</v>
      </c>
      <c r="H20" s="62" t="s">
        <v>18</v>
      </c>
      <c r="I20" s="62" t="s">
        <v>18</v>
      </c>
      <c r="J20" s="62" t="s">
        <v>18</v>
      </c>
      <c r="K20" s="62" t="s">
        <v>19</v>
      </c>
      <c r="L20" s="62" t="s">
        <v>18</v>
      </c>
      <c r="M20" s="62" t="s">
        <v>18</v>
      </c>
      <c r="N20" s="88"/>
      <c r="O20" s="63">
        <f t="shared" si="1"/>
        <v>9</v>
      </c>
      <c r="P20" s="63">
        <f t="shared" si="2"/>
        <v>1</v>
      </c>
      <c r="Q20" s="63">
        <f t="shared" si="3"/>
        <v>10</v>
      </c>
      <c r="R20" s="89">
        <f t="shared" si="4"/>
        <v>90</v>
      </c>
    </row>
    <row r="21" ht="15.75" customHeight="1">
      <c r="A21" s="20">
        <v>48.0</v>
      </c>
      <c r="B21" s="21" t="s">
        <v>112</v>
      </c>
      <c r="C21" s="27" t="s">
        <v>113</v>
      </c>
      <c r="D21" s="62" t="s">
        <v>18</v>
      </c>
      <c r="E21" s="62" t="s">
        <v>19</v>
      </c>
      <c r="F21" s="62" t="s">
        <v>18</v>
      </c>
      <c r="G21" s="62" t="s">
        <v>18</v>
      </c>
      <c r="H21" s="62" t="s">
        <v>18</v>
      </c>
      <c r="I21" s="62" t="s">
        <v>18</v>
      </c>
      <c r="J21" s="62" t="s">
        <v>18</v>
      </c>
      <c r="K21" s="62" t="s">
        <v>18</v>
      </c>
      <c r="L21" s="62" t="s">
        <v>18</v>
      </c>
      <c r="M21" s="62" t="s">
        <v>18</v>
      </c>
      <c r="N21" s="88"/>
      <c r="O21" s="63">
        <f t="shared" si="1"/>
        <v>9</v>
      </c>
      <c r="P21" s="63">
        <f t="shared" si="2"/>
        <v>1</v>
      </c>
      <c r="Q21" s="63">
        <f t="shared" si="3"/>
        <v>10</v>
      </c>
      <c r="R21" s="89">
        <f t="shared" si="4"/>
        <v>90</v>
      </c>
    </row>
    <row r="22" ht="15.75" customHeight="1">
      <c r="A22" s="20">
        <v>49.0</v>
      </c>
      <c r="B22" s="21" t="s">
        <v>114</v>
      </c>
      <c r="C22" s="27" t="s">
        <v>115</v>
      </c>
      <c r="D22" s="62" t="s">
        <v>18</v>
      </c>
      <c r="E22" s="62" t="s">
        <v>18</v>
      </c>
      <c r="F22" s="62" t="s">
        <v>18</v>
      </c>
      <c r="G22" s="62" t="s">
        <v>18</v>
      </c>
      <c r="H22" s="62" t="s">
        <v>18</v>
      </c>
      <c r="I22" s="62" t="s">
        <v>18</v>
      </c>
      <c r="J22" s="62" t="s">
        <v>18</v>
      </c>
      <c r="K22" s="62" t="s">
        <v>18</v>
      </c>
      <c r="L22" s="62" t="s">
        <v>18</v>
      </c>
      <c r="M22" s="62" t="s">
        <v>18</v>
      </c>
      <c r="N22" s="88"/>
      <c r="O22" s="63">
        <f t="shared" si="1"/>
        <v>10</v>
      </c>
      <c r="P22" s="63">
        <f t="shared" si="2"/>
        <v>0</v>
      </c>
      <c r="Q22" s="63">
        <f t="shared" si="3"/>
        <v>10</v>
      </c>
      <c r="R22" s="89">
        <f t="shared" si="4"/>
        <v>100</v>
      </c>
    </row>
    <row r="23" ht="15.75" customHeight="1">
      <c r="A23" s="20">
        <v>50.0</v>
      </c>
      <c r="B23" s="21" t="s">
        <v>116</v>
      </c>
      <c r="C23" s="27" t="s">
        <v>117</v>
      </c>
      <c r="D23" s="62" t="s">
        <v>18</v>
      </c>
      <c r="E23" s="62" t="s">
        <v>18</v>
      </c>
      <c r="F23" s="62" t="s">
        <v>18</v>
      </c>
      <c r="G23" s="62" t="s">
        <v>18</v>
      </c>
      <c r="H23" s="62" t="s">
        <v>19</v>
      </c>
      <c r="I23" s="62" t="s">
        <v>18</v>
      </c>
      <c r="J23" s="62" t="s">
        <v>18</v>
      </c>
      <c r="K23" s="62" t="s">
        <v>18</v>
      </c>
      <c r="L23" s="62" t="s">
        <v>18</v>
      </c>
      <c r="M23" s="62" t="s">
        <v>18</v>
      </c>
      <c r="N23" s="88"/>
      <c r="O23" s="63">
        <f t="shared" si="1"/>
        <v>9</v>
      </c>
      <c r="P23" s="63">
        <f t="shared" si="2"/>
        <v>1</v>
      </c>
      <c r="Q23" s="63">
        <f t="shared" si="3"/>
        <v>10</v>
      </c>
      <c r="R23" s="89">
        <f t="shared" si="4"/>
        <v>90</v>
      </c>
    </row>
    <row r="24" ht="15.75" customHeight="1">
      <c r="A24" s="20">
        <v>51.0</v>
      </c>
      <c r="B24" s="21" t="s">
        <v>118</v>
      </c>
      <c r="C24" s="27" t="s">
        <v>119</v>
      </c>
      <c r="D24" s="62" t="s">
        <v>18</v>
      </c>
      <c r="E24" s="62" t="s">
        <v>18</v>
      </c>
      <c r="F24" s="62" t="s">
        <v>18</v>
      </c>
      <c r="G24" s="62" t="s">
        <v>18</v>
      </c>
      <c r="H24" s="62" t="s">
        <v>18</v>
      </c>
      <c r="I24" s="62" t="s">
        <v>18</v>
      </c>
      <c r="J24" s="62" t="s">
        <v>18</v>
      </c>
      <c r="K24" s="62" t="s">
        <v>18</v>
      </c>
      <c r="L24" s="62" t="s">
        <v>18</v>
      </c>
      <c r="M24" s="62" t="s">
        <v>18</v>
      </c>
      <c r="N24" s="88"/>
      <c r="O24" s="63">
        <f t="shared" si="1"/>
        <v>10</v>
      </c>
      <c r="P24" s="63">
        <f t="shared" si="2"/>
        <v>0</v>
      </c>
      <c r="Q24" s="63">
        <f t="shared" si="3"/>
        <v>10</v>
      </c>
      <c r="R24" s="89">
        <f t="shared" si="4"/>
        <v>100</v>
      </c>
    </row>
    <row r="25" ht="15.75" customHeight="1">
      <c r="A25" s="20">
        <v>52.0</v>
      </c>
      <c r="B25" s="21" t="s">
        <v>120</v>
      </c>
      <c r="C25" s="27" t="s">
        <v>121</v>
      </c>
      <c r="D25" s="62" t="s">
        <v>18</v>
      </c>
      <c r="E25" s="62" t="s">
        <v>18</v>
      </c>
      <c r="F25" s="62" t="s">
        <v>18</v>
      </c>
      <c r="G25" s="62" t="s">
        <v>18</v>
      </c>
      <c r="H25" s="62" t="s">
        <v>18</v>
      </c>
      <c r="I25" s="62" t="s">
        <v>18</v>
      </c>
      <c r="J25" s="62" t="s">
        <v>18</v>
      </c>
      <c r="K25" s="62" t="s">
        <v>18</v>
      </c>
      <c r="L25" s="62" t="s">
        <v>18</v>
      </c>
      <c r="M25" s="62" t="s">
        <v>18</v>
      </c>
      <c r="N25" s="88"/>
      <c r="O25" s="63">
        <f t="shared" si="1"/>
        <v>10</v>
      </c>
      <c r="P25" s="63">
        <f t="shared" si="2"/>
        <v>0</v>
      </c>
      <c r="Q25" s="63">
        <f t="shared" si="3"/>
        <v>10</v>
      </c>
      <c r="R25" s="89">
        <f t="shared" si="4"/>
        <v>100</v>
      </c>
    </row>
    <row r="26" ht="15.75" customHeight="1">
      <c r="A26" s="20">
        <v>53.0</v>
      </c>
      <c r="B26" s="21" t="s">
        <v>122</v>
      </c>
      <c r="C26" s="27" t="s">
        <v>123</v>
      </c>
      <c r="D26" s="62" t="s">
        <v>18</v>
      </c>
      <c r="E26" s="62" t="s">
        <v>18</v>
      </c>
      <c r="F26" s="62" t="s">
        <v>18</v>
      </c>
      <c r="G26" s="62" t="s">
        <v>18</v>
      </c>
      <c r="H26" s="62" t="s">
        <v>18</v>
      </c>
      <c r="I26" s="62" t="s">
        <v>18</v>
      </c>
      <c r="J26" s="62" t="s">
        <v>18</v>
      </c>
      <c r="K26" s="62" t="s">
        <v>19</v>
      </c>
      <c r="L26" s="62" t="s">
        <v>18</v>
      </c>
      <c r="M26" s="62" t="s">
        <v>18</v>
      </c>
      <c r="N26" s="88"/>
      <c r="O26" s="63">
        <f t="shared" si="1"/>
        <v>9</v>
      </c>
      <c r="P26" s="63">
        <f t="shared" si="2"/>
        <v>1</v>
      </c>
      <c r="Q26" s="63">
        <f t="shared" si="3"/>
        <v>10</v>
      </c>
      <c r="R26" s="89">
        <f t="shared" si="4"/>
        <v>90</v>
      </c>
    </row>
    <row r="27" ht="15.75" customHeight="1">
      <c r="A27" s="20">
        <v>54.0</v>
      </c>
      <c r="B27" s="21" t="s">
        <v>124</v>
      </c>
      <c r="C27" s="27" t="s">
        <v>125</v>
      </c>
      <c r="D27" s="62" t="s">
        <v>18</v>
      </c>
      <c r="E27" s="62" t="s">
        <v>18</v>
      </c>
      <c r="F27" s="62" t="s">
        <v>18</v>
      </c>
      <c r="G27" s="62" t="s">
        <v>18</v>
      </c>
      <c r="H27" s="62" t="s">
        <v>18</v>
      </c>
      <c r="I27" s="62" t="s">
        <v>18</v>
      </c>
      <c r="J27" s="62" t="s">
        <v>18</v>
      </c>
      <c r="K27" s="62" t="s">
        <v>18</v>
      </c>
      <c r="L27" s="62" t="s">
        <v>18</v>
      </c>
      <c r="M27" s="62" t="s">
        <v>18</v>
      </c>
      <c r="N27" s="88"/>
      <c r="O27" s="63">
        <f t="shared" si="1"/>
        <v>10</v>
      </c>
      <c r="P27" s="63">
        <f t="shared" si="2"/>
        <v>0</v>
      </c>
      <c r="Q27" s="63">
        <f t="shared" si="3"/>
        <v>10</v>
      </c>
      <c r="R27" s="89">
        <f t="shared" si="4"/>
        <v>100</v>
      </c>
    </row>
    <row r="28" ht="15.75" customHeight="1">
      <c r="A28" s="20">
        <v>55.0</v>
      </c>
      <c r="B28" s="21" t="s">
        <v>126</v>
      </c>
      <c r="C28" s="27" t="s">
        <v>127</v>
      </c>
      <c r="D28" s="62" t="s">
        <v>18</v>
      </c>
      <c r="E28" s="62" t="s">
        <v>18</v>
      </c>
      <c r="F28" s="62" t="s">
        <v>19</v>
      </c>
      <c r="G28" s="62" t="s">
        <v>18</v>
      </c>
      <c r="H28" s="62" t="s">
        <v>18</v>
      </c>
      <c r="I28" s="62" t="s">
        <v>18</v>
      </c>
      <c r="J28" s="62" t="s">
        <v>18</v>
      </c>
      <c r="K28" s="62" t="s">
        <v>18</v>
      </c>
      <c r="L28" s="62" t="s">
        <v>18</v>
      </c>
      <c r="M28" s="62" t="s">
        <v>18</v>
      </c>
      <c r="N28" s="88"/>
      <c r="O28" s="63">
        <f t="shared" si="1"/>
        <v>9</v>
      </c>
      <c r="P28" s="63">
        <f t="shared" si="2"/>
        <v>1</v>
      </c>
      <c r="Q28" s="63">
        <f t="shared" si="3"/>
        <v>10</v>
      </c>
      <c r="R28" s="89">
        <f t="shared" si="4"/>
        <v>90</v>
      </c>
    </row>
    <row r="29" ht="15.75" customHeight="1">
      <c r="A29" s="20">
        <v>56.0</v>
      </c>
      <c r="B29" s="21" t="s">
        <v>128</v>
      </c>
      <c r="C29" s="27" t="s">
        <v>129</v>
      </c>
      <c r="D29" s="62" t="s">
        <v>18</v>
      </c>
      <c r="E29" s="62" t="s">
        <v>18</v>
      </c>
      <c r="F29" s="62" t="s">
        <v>18</v>
      </c>
      <c r="G29" s="62" t="s">
        <v>18</v>
      </c>
      <c r="H29" s="62" t="s">
        <v>18</v>
      </c>
      <c r="I29" s="62" t="s">
        <v>18</v>
      </c>
      <c r="J29" s="62" t="s">
        <v>18</v>
      </c>
      <c r="K29" s="62" t="s">
        <v>18</v>
      </c>
      <c r="L29" s="62" t="s">
        <v>18</v>
      </c>
      <c r="M29" s="62" t="s">
        <v>18</v>
      </c>
      <c r="N29" s="88"/>
      <c r="O29" s="63">
        <f t="shared" si="1"/>
        <v>10</v>
      </c>
      <c r="P29" s="63">
        <f t="shared" si="2"/>
        <v>0</v>
      </c>
      <c r="Q29" s="63">
        <f t="shared" si="3"/>
        <v>10</v>
      </c>
      <c r="R29" s="89">
        <f t="shared" si="4"/>
        <v>100</v>
      </c>
    </row>
    <row r="30" ht="15.75" customHeight="1">
      <c r="A30" s="20">
        <v>57.0</v>
      </c>
      <c r="B30" s="21" t="s">
        <v>130</v>
      </c>
      <c r="C30" s="27" t="s">
        <v>131</v>
      </c>
      <c r="D30" s="62" t="s">
        <v>18</v>
      </c>
      <c r="E30" s="62" t="s">
        <v>18</v>
      </c>
      <c r="F30" s="62" t="s">
        <v>18</v>
      </c>
      <c r="G30" s="62" t="s">
        <v>18</v>
      </c>
      <c r="H30" s="62" t="s">
        <v>18</v>
      </c>
      <c r="I30" s="62" t="s">
        <v>18</v>
      </c>
      <c r="J30" s="62" t="s">
        <v>18</v>
      </c>
      <c r="K30" s="62" t="s">
        <v>18</v>
      </c>
      <c r="L30" s="62" t="s">
        <v>18</v>
      </c>
      <c r="M30" s="62" t="s">
        <v>18</v>
      </c>
      <c r="N30" s="88"/>
      <c r="O30" s="63">
        <f t="shared" si="1"/>
        <v>10</v>
      </c>
      <c r="P30" s="63">
        <f t="shared" si="2"/>
        <v>0</v>
      </c>
      <c r="Q30" s="63">
        <f t="shared" si="3"/>
        <v>10</v>
      </c>
      <c r="R30" s="89">
        <f t="shared" si="4"/>
        <v>100</v>
      </c>
    </row>
    <row r="31" ht="15.75" customHeight="1">
      <c r="A31" s="20">
        <v>58.0</v>
      </c>
      <c r="B31" s="21" t="s">
        <v>132</v>
      </c>
      <c r="C31" s="27" t="s">
        <v>133</v>
      </c>
      <c r="D31" s="62" t="s">
        <v>18</v>
      </c>
      <c r="E31" s="62" t="s">
        <v>18</v>
      </c>
      <c r="F31" s="62" t="s">
        <v>18</v>
      </c>
      <c r="G31" s="62" t="s">
        <v>18</v>
      </c>
      <c r="H31" s="62" t="s">
        <v>18</v>
      </c>
      <c r="I31" s="62" t="s">
        <v>18</v>
      </c>
      <c r="J31" s="62" t="s">
        <v>18</v>
      </c>
      <c r="K31" s="62" t="s">
        <v>19</v>
      </c>
      <c r="L31" s="62" t="s">
        <v>18</v>
      </c>
      <c r="M31" s="62" t="s">
        <v>18</v>
      </c>
      <c r="N31" s="88"/>
      <c r="O31" s="63">
        <f t="shared" si="1"/>
        <v>9</v>
      </c>
      <c r="P31" s="63">
        <f t="shared" si="2"/>
        <v>1</v>
      </c>
      <c r="Q31" s="63">
        <f t="shared" si="3"/>
        <v>10</v>
      </c>
      <c r="R31" s="89">
        <f t="shared" si="4"/>
        <v>90</v>
      </c>
    </row>
    <row r="32" ht="15.75" customHeight="1">
      <c r="A32" s="20">
        <v>59.0</v>
      </c>
      <c r="B32" s="21" t="s">
        <v>134</v>
      </c>
      <c r="C32" s="27" t="s">
        <v>135</v>
      </c>
      <c r="D32" s="62" t="s">
        <v>18</v>
      </c>
      <c r="E32" s="62" t="s">
        <v>18</v>
      </c>
      <c r="F32" s="62" t="s">
        <v>18</v>
      </c>
      <c r="G32" s="62" t="s">
        <v>18</v>
      </c>
      <c r="H32" s="62" t="s">
        <v>18</v>
      </c>
      <c r="I32" s="62" t="s">
        <v>18</v>
      </c>
      <c r="J32" s="62" t="s">
        <v>18</v>
      </c>
      <c r="K32" s="62" t="s">
        <v>18</v>
      </c>
      <c r="L32" s="62" t="s">
        <v>18</v>
      </c>
      <c r="M32" s="62" t="s">
        <v>18</v>
      </c>
      <c r="N32" s="88"/>
      <c r="O32" s="63">
        <f t="shared" si="1"/>
        <v>10</v>
      </c>
      <c r="P32" s="63">
        <f t="shared" si="2"/>
        <v>0</v>
      </c>
      <c r="Q32" s="63">
        <f t="shared" si="3"/>
        <v>10</v>
      </c>
      <c r="R32" s="89">
        <f t="shared" si="4"/>
        <v>100</v>
      </c>
    </row>
    <row r="33" ht="15.75" customHeight="1">
      <c r="A33" s="20">
        <v>60.0</v>
      </c>
      <c r="B33" s="21" t="s">
        <v>136</v>
      </c>
      <c r="C33" s="27" t="s">
        <v>137</v>
      </c>
      <c r="D33" s="62" t="s">
        <v>18</v>
      </c>
      <c r="E33" s="62" t="s">
        <v>18</v>
      </c>
      <c r="F33" s="62" t="s">
        <v>18</v>
      </c>
      <c r="G33" s="62" t="s">
        <v>18</v>
      </c>
      <c r="H33" s="62" t="s">
        <v>18</v>
      </c>
      <c r="I33" s="62" t="s">
        <v>18</v>
      </c>
      <c r="J33" s="62" t="s">
        <v>18</v>
      </c>
      <c r="K33" s="62" t="s">
        <v>18</v>
      </c>
      <c r="L33" s="62" t="s">
        <v>18</v>
      </c>
      <c r="M33" s="62" t="s">
        <v>18</v>
      </c>
      <c r="N33" s="88"/>
      <c r="O33" s="63">
        <f t="shared" si="1"/>
        <v>10</v>
      </c>
      <c r="P33" s="63">
        <f t="shared" si="2"/>
        <v>0</v>
      </c>
      <c r="Q33" s="63">
        <f t="shared" si="3"/>
        <v>10</v>
      </c>
      <c r="R33" s="89">
        <f t="shared" si="4"/>
        <v>100</v>
      </c>
    </row>
    <row r="34" ht="15.75" customHeight="1">
      <c r="A34" s="20">
        <v>61.0</v>
      </c>
      <c r="B34" s="21" t="s">
        <v>138</v>
      </c>
      <c r="C34" s="27" t="s">
        <v>139</v>
      </c>
      <c r="D34" s="62" t="s">
        <v>18</v>
      </c>
      <c r="E34" s="62" t="s">
        <v>18</v>
      </c>
      <c r="F34" s="62" t="s">
        <v>18</v>
      </c>
      <c r="G34" s="62" t="s">
        <v>18</v>
      </c>
      <c r="H34" s="62" t="s">
        <v>18</v>
      </c>
      <c r="I34" s="62" t="s">
        <v>18</v>
      </c>
      <c r="J34" s="62" t="s">
        <v>18</v>
      </c>
      <c r="K34" s="62" t="s">
        <v>18</v>
      </c>
      <c r="L34" s="62" t="s">
        <v>18</v>
      </c>
      <c r="M34" s="62" t="s">
        <v>18</v>
      </c>
      <c r="N34" s="88"/>
      <c r="O34" s="63">
        <f t="shared" si="1"/>
        <v>10</v>
      </c>
      <c r="P34" s="63">
        <f t="shared" si="2"/>
        <v>0</v>
      </c>
      <c r="Q34" s="63">
        <f t="shared" si="3"/>
        <v>10</v>
      </c>
      <c r="R34" s="89">
        <f t="shared" si="4"/>
        <v>100</v>
      </c>
    </row>
    <row r="35" ht="15.75" customHeight="1">
      <c r="A35" s="20">
        <v>62.0</v>
      </c>
      <c r="B35" s="21" t="s">
        <v>140</v>
      </c>
      <c r="C35" s="27" t="s">
        <v>141</v>
      </c>
      <c r="D35" s="62" t="s">
        <v>18</v>
      </c>
      <c r="E35" s="62" t="s">
        <v>18</v>
      </c>
      <c r="F35" s="62" t="s">
        <v>18</v>
      </c>
      <c r="G35" s="62" t="s">
        <v>18</v>
      </c>
      <c r="H35" s="62" t="s">
        <v>18</v>
      </c>
      <c r="I35" s="62" t="s">
        <v>18</v>
      </c>
      <c r="J35" s="62" t="s">
        <v>18</v>
      </c>
      <c r="K35" s="62" t="s">
        <v>18</v>
      </c>
      <c r="L35" s="62" t="s">
        <v>18</v>
      </c>
      <c r="M35" s="62" t="s">
        <v>18</v>
      </c>
      <c r="N35" s="88"/>
      <c r="O35" s="63">
        <f t="shared" si="1"/>
        <v>10</v>
      </c>
      <c r="P35" s="63">
        <f t="shared" si="2"/>
        <v>0</v>
      </c>
      <c r="Q35" s="63">
        <f t="shared" si="3"/>
        <v>10</v>
      </c>
      <c r="R35" s="89">
        <f t="shared" si="4"/>
        <v>100</v>
      </c>
    </row>
    <row r="36" ht="15.75" customHeight="1">
      <c r="A36" s="20">
        <v>63.0</v>
      </c>
      <c r="B36" s="21" t="s">
        <v>142</v>
      </c>
      <c r="C36" s="27" t="s">
        <v>143</v>
      </c>
      <c r="D36" s="62" t="s">
        <v>18</v>
      </c>
      <c r="E36" s="62" t="s">
        <v>18</v>
      </c>
      <c r="F36" s="62" t="s">
        <v>18</v>
      </c>
      <c r="G36" s="62" t="s">
        <v>18</v>
      </c>
      <c r="H36" s="62" t="s">
        <v>19</v>
      </c>
      <c r="I36" s="62" t="s">
        <v>18</v>
      </c>
      <c r="J36" s="62" t="s">
        <v>18</v>
      </c>
      <c r="K36" s="62" t="s">
        <v>18</v>
      </c>
      <c r="L36" s="62" t="s">
        <v>18</v>
      </c>
      <c r="M36" s="62" t="s">
        <v>18</v>
      </c>
      <c r="N36" s="88"/>
      <c r="O36" s="63">
        <f t="shared" si="1"/>
        <v>9</v>
      </c>
      <c r="P36" s="63">
        <f t="shared" si="2"/>
        <v>1</v>
      </c>
      <c r="Q36" s="63">
        <f t="shared" si="3"/>
        <v>10</v>
      </c>
      <c r="R36" s="89">
        <f t="shared" si="4"/>
        <v>90</v>
      </c>
    </row>
    <row r="37" ht="15.75" customHeight="1">
      <c r="A37" s="20">
        <v>64.0</v>
      </c>
      <c r="B37" s="21" t="s">
        <v>144</v>
      </c>
      <c r="C37" s="27" t="s">
        <v>145</v>
      </c>
      <c r="D37" s="62" t="s">
        <v>18</v>
      </c>
      <c r="E37" s="62" t="s">
        <v>18</v>
      </c>
      <c r="F37" s="62" t="s">
        <v>18</v>
      </c>
      <c r="G37" s="62" t="s">
        <v>18</v>
      </c>
      <c r="H37" s="62" t="s">
        <v>18</v>
      </c>
      <c r="I37" s="62" t="s">
        <v>18</v>
      </c>
      <c r="J37" s="62" t="s">
        <v>19</v>
      </c>
      <c r="K37" s="62" t="s">
        <v>18</v>
      </c>
      <c r="L37" s="62" t="s">
        <v>18</v>
      </c>
      <c r="M37" s="62" t="s">
        <v>18</v>
      </c>
      <c r="N37" s="88"/>
      <c r="O37" s="63">
        <f t="shared" si="1"/>
        <v>9</v>
      </c>
      <c r="P37" s="63">
        <f t="shared" si="2"/>
        <v>1</v>
      </c>
      <c r="Q37" s="63">
        <f t="shared" si="3"/>
        <v>10</v>
      </c>
      <c r="R37" s="89">
        <f t="shared" si="4"/>
        <v>90</v>
      </c>
    </row>
    <row r="38" ht="15.75" customHeight="1">
      <c r="A38" s="20">
        <v>65.0</v>
      </c>
      <c r="B38" s="21" t="s">
        <v>146</v>
      </c>
      <c r="C38" s="27" t="s">
        <v>147</v>
      </c>
      <c r="D38" s="62" t="s">
        <v>18</v>
      </c>
      <c r="E38" s="62" t="s">
        <v>18</v>
      </c>
      <c r="F38" s="62" t="s">
        <v>18</v>
      </c>
      <c r="G38" s="62" t="s">
        <v>18</v>
      </c>
      <c r="H38" s="62" t="s">
        <v>18</v>
      </c>
      <c r="I38" s="62" t="s">
        <v>18</v>
      </c>
      <c r="J38" s="62" t="s">
        <v>19</v>
      </c>
      <c r="K38" s="62" t="s">
        <v>18</v>
      </c>
      <c r="L38" s="62" t="s">
        <v>18</v>
      </c>
      <c r="M38" s="62" t="s">
        <v>18</v>
      </c>
      <c r="N38" s="88"/>
      <c r="O38" s="63">
        <f t="shared" si="1"/>
        <v>9</v>
      </c>
      <c r="P38" s="63">
        <f t="shared" si="2"/>
        <v>1</v>
      </c>
      <c r="Q38" s="63">
        <f t="shared" si="3"/>
        <v>10</v>
      </c>
      <c r="R38" s="89">
        <f t="shared" si="4"/>
        <v>90</v>
      </c>
    </row>
    <row r="39" ht="15.75" customHeight="1">
      <c r="A39" s="20">
        <v>66.0</v>
      </c>
      <c r="B39" s="21" t="s">
        <v>148</v>
      </c>
      <c r="C39" s="27" t="s">
        <v>149</v>
      </c>
      <c r="D39" s="62" t="s">
        <v>18</v>
      </c>
      <c r="E39" s="62" t="s">
        <v>18</v>
      </c>
      <c r="F39" s="62" t="s">
        <v>18</v>
      </c>
      <c r="G39" s="62" t="s">
        <v>18</v>
      </c>
      <c r="H39" s="62" t="s">
        <v>18</v>
      </c>
      <c r="I39" s="62" t="s">
        <v>18</v>
      </c>
      <c r="J39" s="62" t="s">
        <v>19</v>
      </c>
      <c r="K39" s="62" t="s">
        <v>18</v>
      </c>
      <c r="L39" s="62" t="s">
        <v>18</v>
      </c>
      <c r="M39" s="62" t="s">
        <v>18</v>
      </c>
      <c r="N39" s="88"/>
      <c r="O39" s="63">
        <f t="shared" si="1"/>
        <v>9</v>
      </c>
      <c r="P39" s="63">
        <f t="shared" si="2"/>
        <v>1</v>
      </c>
      <c r="Q39" s="63">
        <f t="shared" si="3"/>
        <v>10</v>
      </c>
      <c r="R39" s="89">
        <f t="shared" si="4"/>
        <v>90</v>
      </c>
    </row>
    <row r="40" ht="15.75" customHeight="1">
      <c r="A40" s="20">
        <v>67.0</v>
      </c>
      <c r="B40" s="21" t="s">
        <v>150</v>
      </c>
      <c r="C40" s="27" t="s">
        <v>151</v>
      </c>
      <c r="D40" s="62" t="s">
        <v>18</v>
      </c>
      <c r="E40" s="62" t="s">
        <v>18</v>
      </c>
      <c r="F40" s="62" t="s">
        <v>18</v>
      </c>
      <c r="G40" s="62" t="s">
        <v>18</v>
      </c>
      <c r="H40" s="62" t="s">
        <v>18</v>
      </c>
      <c r="I40" s="62" t="s">
        <v>18</v>
      </c>
      <c r="J40" s="62" t="s">
        <v>18</v>
      </c>
      <c r="K40" s="62" t="s">
        <v>18</v>
      </c>
      <c r="L40" s="62" t="s">
        <v>18</v>
      </c>
      <c r="M40" s="62" t="s">
        <v>18</v>
      </c>
      <c r="N40" s="88"/>
      <c r="O40" s="63">
        <f t="shared" si="1"/>
        <v>10</v>
      </c>
      <c r="P40" s="63">
        <f t="shared" si="2"/>
        <v>0</v>
      </c>
      <c r="Q40" s="63">
        <f t="shared" si="3"/>
        <v>10</v>
      </c>
      <c r="R40" s="89">
        <f t="shared" si="4"/>
        <v>100</v>
      </c>
    </row>
    <row r="41" ht="15.75" customHeight="1">
      <c r="A41" s="20">
        <v>68.0</v>
      </c>
      <c r="B41" s="21" t="s">
        <v>152</v>
      </c>
      <c r="C41" s="27" t="s">
        <v>153</v>
      </c>
      <c r="D41" s="62" t="s">
        <v>18</v>
      </c>
      <c r="E41" s="62" t="s">
        <v>18</v>
      </c>
      <c r="F41" s="62" t="s">
        <v>18</v>
      </c>
      <c r="G41" s="62" t="s">
        <v>18</v>
      </c>
      <c r="H41" s="62" t="s">
        <v>18</v>
      </c>
      <c r="I41" s="62" t="s">
        <v>18</v>
      </c>
      <c r="J41" s="62" t="s">
        <v>18</v>
      </c>
      <c r="K41" s="62" t="s">
        <v>18</v>
      </c>
      <c r="L41" s="62" t="s">
        <v>18</v>
      </c>
      <c r="M41" s="62" t="s">
        <v>18</v>
      </c>
      <c r="N41" s="88"/>
      <c r="O41" s="63">
        <f t="shared" si="1"/>
        <v>10</v>
      </c>
      <c r="P41" s="63">
        <f t="shared" si="2"/>
        <v>0</v>
      </c>
      <c r="Q41" s="63">
        <f t="shared" si="3"/>
        <v>10</v>
      </c>
      <c r="R41" s="89">
        <f t="shared" si="4"/>
        <v>100</v>
      </c>
    </row>
    <row r="42" ht="15.75" customHeight="1">
      <c r="A42" s="20">
        <v>69.0</v>
      </c>
      <c r="B42" s="90" t="s">
        <v>154</v>
      </c>
      <c r="C42" s="27" t="s">
        <v>155</v>
      </c>
      <c r="D42" s="62" t="s">
        <v>18</v>
      </c>
      <c r="E42" s="62" t="s">
        <v>18</v>
      </c>
      <c r="F42" s="62" t="s">
        <v>18</v>
      </c>
      <c r="G42" s="62" t="s">
        <v>18</v>
      </c>
      <c r="H42" s="62" t="s">
        <v>18</v>
      </c>
      <c r="I42" s="62" t="s">
        <v>18</v>
      </c>
      <c r="J42" s="62" t="s">
        <v>18</v>
      </c>
      <c r="K42" s="62" t="s">
        <v>18</v>
      </c>
      <c r="L42" s="62" t="s">
        <v>18</v>
      </c>
      <c r="M42" s="62" t="s">
        <v>18</v>
      </c>
      <c r="N42" s="88"/>
      <c r="O42" s="63">
        <f t="shared" si="1"/>
        <v>10</v>
      </c>
      <c r="P42" s="63">
        <f t="shared" si="2"/>
        <v>0</v>
      </c>
      <c r="Q42" s="63">
        <f t="shared" si="3"/>
        <v>10</v>
      </c>
      <c r="R42" s="89">
        <f t="shared" si="4"/>
        <v>100</v>
      </c>
    </row>
    <row r="43" ht="15.75" customHeight="1">
      <c r="A43" s="20">
        <v>70.0</v>
      </c>
      <c r="B43" s="36" t="s">
        <v>156</v>
      </c>
      <c r="C43" s="27" t="s">
        <v>157</v>
      </c>
      <c r="D43" s="62" t="s">
        <v>18</v>
      </c>
      <c r="E43" s="62" t="s">
        <v>18</v>
      </c>
      <c r="F43" s="62" t="s">
        <v>18</v>
      </c>
      <c r="G43" s="62" t="s">
        <v>18</v>
      </c>
      <c r="H43" s="62" t="s">
        <v>18</v>
      </c>
      <c r="I43" s="62" t="s">
        <v>18</v>
      </c>
      <c r="J43" s="62" t="s">
        <v>18</v>
      </c>
      <c r="K43" s="62" t="s">
        <v>18</v>
      </c>
      <c r="L43" s="62" t="s">
        <v>18</v>
      </c>
      <c r="M43" s="62" t="s">
        <v>18</v>
      </c>
      <c r="N43" s="88"/>
      <c r="O43" s="63">
        <f t="shared" si="1"/>
        <v>10</v>
      </c>
      <c r="P43" s="63">
        <f t="shared" si="2"/>
        <v>0</v>
      </c>
      <c r="Q43" s="63">
        <f t="shared" si="3"/>
        <v>10</v>
      </c>
      <c r="R43" s="89">
        <f t="shared" si="4"/>
        <v>100</v>
      </c>
    </row>
    <row r="44" ht="15.75" customHeight="1">
      <c r="A44" s="20">
        <v>71.0</v>
      </c>
      <c r="B44" s="36" t="s">
        <v>158</v>
      </c>
      <c r="C44" s="27" t="s">
        <v>159</v>
      </c>
      <c r="D44" s="62" t="s">
        <v>18</v>
      </c>
      <c r="E44" s="62" t="s">
        <v>18</v>
      </c>
      <c r="F44" s="62" t="s">
        <v>18</v>
      </c>
      <c r="G44" s="62" t="s">
        <v>18</v>
      </c>
      <c r="H44" s="62" t="s">
        <v>18</v>
      </c>
      <c r="I44" s="62" t="s">
        <v>18</v>
      </c>
      <c r="J44" s="62" t="s">
        <v>19</v>
      </c>
      <c r="K44" s="62" t="s">
        <v>18</v>
      </c>
      <c r="L44" s="62" t="s">
        <v>18</v>
      </c>
      <c r="M44" s="62" t="s">
        <v>18</v>
      </c>
      <c r="N44" s="88"/>
      <c r="O44" s="63">
        <f t="shared" si="1"/>
        <v>9</v>
      </c>
      <c r="P44" s="63">
        <f t="shared" si="2"/>
        <v>1</v>
      </c>
      <c r="Q44" s="63">
        <f t="shared" si="3"/>
        <v>10</v>
      </c>
      <c r="R44" s="89">
        <f t="shared" si="4"/>
        <v>90</v>
      </c>
    </row>
    <row r="45" ht="15.75" customHeight="1">
      <c r="A45" s="20">
        <v>72.0</v>
      </c>
      <c r="B45" s="21" t="s">
        <v>160</v>
      </c>
      <c r="C45" s="27" t="s">
        <v>161</v>
      </c>
      <c r="D45" s="62" t="s">
        <v>18</v>
      </c>
      <c r="E45" s="62" t="s">
        <v>18</v>
      </c>
      <c r="F45" s="62" t="s">
        <v>18</v>
      </c>
      <c r="G45" s="62" t="s">
        <v>18</v>
      </c>
      <c r="H45" s="62" t="s">
        <v>18</v>
      </c>
      <c r="I45" s="62" t="s">
        <v>18</v>
      </c>
      <c r="J45" s="62" t="s">
        <v>19</v>
      </c>
      <c r="K45" s="62" t="s">
        <v>18</v>
      </c>
      <c r="L45" s="62" t="s">
        <v>18</v>
      </c>
      <c r="M45" s="62" t="s">
        <v>18</v>
      </c>
      <c r="N45" s="88"/>
      <c r="O45" s="63">
        <f t="shared" si="1"/>
        <v>9</v>
      </c>
      <c r="P45" s="63">
        <f t="shared" si="2"/>
        <v>1</v>
      </c>
      <c r="Q45" s="63">
        <f t="shared" si="3"/>
        <v>10</v>
      </c>
      <c r="R45" s="89">
        <f t="shared" si="4"/>
        <v>90</v>
      </c>
    </row>
    <row r="46" ht="15.75" customHeight="1">
      <c r="A46" s="20">
        <v>73.0</v>
      </c>
      <c r="B46" s="21" t="s">
        <v>162</v>
      </c>
      <c r="C46" s="27" t="s">
        <v>163</v>
      </c>
      <c r="D46" s="62" t="s">
        <v>18</v>
      </c>
      <c r="E46" s="62" t="s">
        <v>18</v>
      </c>
      <c r="F46" s="62" t="s">
        <v>18</v>
      </c>
      <c r="G46" s="62" t="s">
        <v>18</v>
      </c>
      <c r="H46" s="62" t="s">
        <v>18</v>
      </c>
      <c r="I46" s="62" t="s">
        <v>18</v>
      </c>
      <c r="J46" s="62" t="s">
        <v>18</v>
      </c>
      <c r="K46" s="62" t="s">
        <v>18</v>
      </c>
      <c r="L46" s="62" t="s">
        <v>18</v>
      </c>
      <c r="M46" s="62" t="s">
        <v>18</v>
      </c>
      <c r="N46" s="88"/>
      <c r="O46" s="63">
        <f t="shared" si="1"/>
        <v>10</v>
      </c>
      <c r="P46" s="63">
        <f t="shared" si="2"/>
        <v>0</v>
      </c>
      <c r="Q46" s="63">
        <f t="shared" si="3"/>
        <v>10</v>
      </c>
      <c r="R46" s="89">
        <f t="shared" si="4"/>
        <v>100</v>
      </c>
    </row>
    <row r="47" ht="15.75" customHeight="1">
      <c r="A47" s="20">
        <v>74.0</v>
      </c>
      <c r="B47" s="21" t="s">
        <v>164</v>
      </c>
      <c r="C47" s="27" t="s">
        <v>165</v>
      </c>
      <c r="D47" s="62" t="s">
        <v>18</v>
      </c>
      <c r="E47" s="62" t="s">
        <v>18</v>
      </c>
      <c r="F47" s="62" t="s">
        <v>18</v>
      </c>
      <c r="G47" s="62" t="s">
        <v>18</v>
      </c>
      <c r="H47" s="62" t="s">
        <v>18</v>
      </c>
      <c r="I47" s="62" t="s">
        <v>18</v>
      </c>
      <c r="J47" s="62" t="s">
        <v>18</v>
      </c>
      <c r="K47" s="62" t="s">
        <v>18</v>
      </c>
      <c r="L47" s="62" t="s">
        <v>18</v>
      </c>
      <c r="M47" s="62" t="s">
        <v>18</v>
      </c>
      <c r="N47" s="88"/>
      <c r="O47" s="63">
        <f t="shared" si="1"/>
        <v>10</v>
      </c>
      <c r="P47" s="63">
        <f t="shared" si="2"/>
        <v>0</v>
      </c>
      <c r="Q47" s="63">
        <f t="shared" si="3"/>
        <v>10</v>
      </c>
      <c r="R47" s="89">
        <f t="shared" si="4"/>
        <v>100</v>
      </c>
    </row>
    <row r="48" ht="15.75" customHeight="1">
      <c r="A48" s="91">
        <v>75.0</v>
      </c>
      <c r="B48" s="36" t="s">
        <v>166</v>
      </c>
      <c r="C48" s="37" t="s">
        <v>167</v>
      </c>
      <c r="D48" s="62" t="s">
        <v>18</v>
      </c>
      <c r="E48" s="62" t="s">
        <v>18</v>
      </c>
      <c r="F48" s="62" t="s">
        <v>18</v>
      </c>
      <c r="G48" s="62" t="s">
        <v>18</v>
      </c>
      <c r="H48" s="62" t="s">
        <v>18</v>
      </c>
      <c r="I48" s="62" t="s">
        <v>18</v>
      </c>
      <c r="J48" s="62" t="s">
        <v>18</v>
      </c>
      <c r="K48" s="62" t="s">
        <v>18</v>
      </c>
      <c r="L48" s="62" t="s">
        <v>18</v>
      </c>
      <c r="M48" s="62" t="s">
        <v>18</v>
      </c>
      <c r="N48" s="88"/>
      <c r="O48" s="63">
        <v>0.0</v>
      </c>
      <c r="P48" s="63">
        <v>0.0</v>
      </c>
      <c r="Q48" s="63">
        <v>0.0</v>
      </c>
      <c r="R48" s="89" t="e">
        <v>#DIV/0!</v>
      </c>
    </row>
    <row r="49" ht="15.75" customHeight="1">
      <c r="A49" s="92"/>
      <c r="B49" s="36"/>
      <c r="C49" s="37"/>
      <c r="D49" s="93"/>
      <c r="E49" s="67"/>
      <c r="F49" s="67"/>
      <c r="G49" s="67"/>
      <c r="H49" s="67"/>
      <c r="I49" s="67"/>
      <c r="J49" s="67"/>
      <c r="K49" s="67"/>
      <c r="L49" s="93"/>
      <c r="M49" s="93"/>
      <c r="N49" s="94"/>
      <c r="O49" s="63"/>
      <c r="P49" s="63"/>
      <c r="Q49" s="63"/>
      <c r="R49" s="89"/>
    </row>
    <row r="50" ht="15.75" customHeight="1">
      <c r="A50" s="92"/>
      <c r="B50" s="36"/>
      <c r="C50" s="37"/>
      <c r="D50" s="93"/>
      <c r="E50" s="67"/>
      <c r="F50" s="67"/>
      <c r="G50" s="67"/>
      <c r="H50" s="67"/>
      <c r="I50" s="67"/>
      <c r="J50" s="67"/>
      <c r="K50" s="67"/>
      <c r="L50" s="93"/>
      <c r="M50" s="93"/>
      <c r="N50" s="94"/>
      <c r="O50" s="63"/>
      <c r="P50" s="63"/>
      <c r="Q50" s="63"/>
      <c r="R50" s="89"/>
    </row>
    <row r="51" ht="15.75" customHeight="1">
      <c r="A51" s="8"/>
      <c r="B51" s="8"/>
      <c r="C51" s="7"/>
      <c r="D51" s="95"/>
      <c r="E51" s="67"/>
      <c r="F51" s="95"/>
      <c r="G51" s="95"/>
      <c r="H51" s="95"/>
      <c r="I51" s="96"/>
      <c r="J51" s="67"/>
      <c r="K51" s="7"/>
      <c r="L51" s="7"/>
      <c r="M51" s="7"/>
      <c r="N51" s="7"/>
      <c r="O51" s="97"/>
      <c r="P51" s="97"/>
      <c r="Q51" s="97"/>
      <c r="R51" s="98"/>
    </row>
    <row r="52" ht="15.75" customHeight="1">
      <c r="A52" s="8"/>
      <c r="B52" s="8"/>
      <c r="C52" s="7"/>
      <c r="D52" s="95"/>
      <c r="E52" s="95"/>
      <c r="F52" s="95"/>
      <c r="G52" s="95"/>
      <c r="H52" s="95"/>
      <c r="I52" s="99"/>
      <c r="J52" s="7"/>
      <c r="K52" s="7"/>
      <c r="L52" s="7"/>
      <c r="M52" s="7"/>
      <c r="N52" s="7"/>
      <c r="O52" s="97"/>
      <c r="P52" s="97"/>
      <c r="Q52" s="97"/>
      <c r="R52" s="98"/>
    </row>
    <row r="53" ht="15.75" customHeight="1">
      <c r="A53" s="8"/>
      <c r="B53" s="8"/>
      <c r="C53" s="42" t="s">
        <v>168</v>
      </c>
      <c r="D53" s="43">
        <f t="shared" ref="D53:H53" si="5">COUNTIF(D10:D52,"P") + COUNTIF(D10:D52, "1")</f>
        <v>36</v>
      </c>
      <c r="E53" s="43">
        <f t="shared" si="5"/>
        <v>35</v>
      </c>
      <c r="F53" s="43">
        <f t="shared" si="5"/>
        <v>34</v>
      </c>
      <c r="G53" s="43">
        <f t="shared" si="5"/>
        <v>36</v>
      </c>
      <c r="H53" s="43">
        <f t="shared" si="5"/>
        <v>34</v>
      </c>
      <c r="I53" s="43"/>
      <c r="J53" s="43">
        <f t="shared" ref="J53:M53" si="6">COUNTIF(J10:J52,"P") + COUNTIF(J10:J52, "1")</f>
        <v>30</v>
      </c>
      <c r="K53" s="43">
        <f t="shared" si="6"/>
        <v>33</v>
      </c>
      <c r="L53" s="43">
        <f t="shared" si="6"/>
        <v>36</v>
      </c>
      <c r="M53" s="43">
        <f t="shared" si="6"/>
        <v>36</v>
      </c>
      <c r="N53" s="43"/>
      <c r="O53" s="43">
        <f t="shared" ref="O53:Q53" si="7">COUNTIF(O10:O52,"P") + COUNTIF(O10:O52, "1")</f>
        <v>0</v>
      </c>
      <c r="P53" s="43">
        <f t="shared" si="7"/>
        <v>14</v>
      </c>
      <c r="Q53" s="43">
        <f t="shared" si="7"/>
        <v>0</v>
      </c>
      <c r="R53" s="43"/>
    </row>
    <row r="54" ht="15.75" customHeight="1">
      <c r="A54" s="7"/>
      <c r="B54" s="7"/>
      <c r="C54" s="42" t="s">
        <v>169</v>
      </c>
      <c r="D54" s="45">
        <f t="shared" ref="D54:H54" si="8">COUNTIF(D11:D52,"A") + COUNTIF(D11:D52, "1")</f>
        <v>2</v>
      </c>
      <c r="E54" s="45">
        <f t="shared" si="8"/>
        <v>3</v>
      </c>
      <c r="F54" s="45">
        <f t="shared" si="8"/>
        <v>4</v>
      </c>
      <c r="G54" s="45">
        <f t="shared" si="8"/>
        <v>2</v>
      </c>
      <c r="H54" s="45">
        <f t="shared" si="8"/>
        <v>4</v>
      </c>
      <c r="I54" s="45"/>
      <c r="J54" s="45">
        <f t="shared" ref="J54:M54" si="9">COUNTIF(J11:J52,"A") + COUNTIF(J11:J52, "1")</f>
        <v>8</v>
      </c>
      <c r="K54" s="45">
        <f t="shared" si="9"/>
        <v>5</v>
      </c>
      <c r="L54" s="45">
        <f t="shared" si="9"/>
        <v>2</v>
      </c>
      <c r="M54" s="45">
        <f t="shared" si="9"/>
        <v>2</v>
      </c>
      <c r="N54" s="45"/>
      <c r="O54" s="45">
        <f t="shared" ref="O54:Q54" si="10">COUNTIF(O11:O52,"A") + COUNTIF(O11:O52, "1")</f>
        <v>0</v>
      </c>
      <c r="P54" s="45">
        <f t="shared" si="10"/>
        <v>14</v>
      </c>
      <c r="Q54" s="45">
        <f t="shared" si="10"/>
        <v>0</v>
      </c>
      <c r="R54" s="45"/>
    </row>
    <row r="55" ht="15.75" customHeight="1">
      <c r="A55" s="7"/>
      <c r="B55" s="7"/>
      <c r="C55" s="7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7"/>
      <c r="Q55" s="7"/>
      <c r="R55" s="100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1">
    <mergeCell ref="D9:F9"/>
    <mergeCell ref="G9:I9"/>
    <mergeCell ref="J9:K9"/>
    <mergeCell ref="L9:N9"/>
    <mergeCell ref="A1:AI1"/>
    <mergeCell ref="A2:AI2"/>
    <mergeCell ref="A3:AI3"/>
    <mergeCell ref="A4:AI4"/>
    <mergeCell ref="A5:AI5"/>
    <mergeCell ref="A6:AI6"/>
    <mergeCell ref="A7:R7"/>
  </mergeCells>
  <conditionalFormatting sqref="D11:D50 E11:E51 F11:I50 J11:J51 K11:N50">
    <cfRule type="containsText" dxfId="2" priority="1" operator="containsText" text="P">
      <formula>NOT(ISERROR(SEARCH(("P"),(D11))))</formula>
    </cfRule>
  </conditionalFormatting>
  <conditionalFormatting sqref="D11:D50 E11:E51 F11:I50 J11:J51 K11:N50">
    <cfRule type="containsText" dxfId="3" priority="2" operator="containsText" text="A">
      <formula>NOT(ISERROR(SEARCH(("A"),(D11))))</formula>
    </cfRule>
  </conditionalFormatting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0"/>
    <col customWidth="1" min="3" max="3" width="34.71"/>
    <col customWidth="1" min="4" max="4" width="10.29"/>
    <col customWidth="1" min="5" max="7" width="9.14"/>
    <col customWidth="1" min="8" max="13" width="12.29"/>
    <col customWidth="1" min="14" max="38" width="8.71"/>
  </cols>
  <sheetData>
    <row r="1" ht="17.25" customHeight="1">
      <c r="A1" s="7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3"/>
    </row>
    <row r="2" ht="17.25" customHeight="1">
      <c r="A2" s="7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3"/>
    </row>
    <row r="3" ht="17.25" customHeight="1">
      <c r="A3" s="7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3"/>
    </row>
    <row r="4" ht="17.25" customHeight="1">
      <c r="A4" s="71" t="s">
        <v>178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3"/>
    </row>
    <row r="5" ht="17.25" customHeight="1">
      <c r="A5" s="71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3"/>
    </row>
    <row r="6" ht="17.25" customHeight="1">
      <c r="A6" s="71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3"/>
    </row>
    <row r="7">
      <c r="D7" s="4"/>
      <c r="E7" s="101"/>
      <c r="F7" s="5"/>
      <c r="G7" s="5"/>
      <c r="H7" s="102"/>
      <c r="I7" s="102"/>
      <c r="J7" s="102"/>
      <c r="K7" s="102"/>
      <c r="L7" s="102"/>
      <c r="M7" s="102"/>
      <c r="Z7" s="103"/>
    </row>
    <row r="8">
      <c r="D8" s="4"/>
      <c r="E8" s="101"/>
      <c r="F8" s="5"/>
      <c r="G8" s="5"/>
      <c r="H8" s="102"/>
      <c r="I8" s="102"/>
      <c r="J8" s="102"/>
      <c r="K8" s="102"/>
      <c r="L8" s="102"/>
      <c r="M8" s="102"/>
      <c r="Z8" s="103"/>
    </row>
    <row r="9" ht="15.0" customHeight="1">
      <c r="D9" s="104" t="s">
        <v>179</v>
      </c>
      <c r="E9" s="104" t="s">
        <v>180</v>
      </c>
      <c r="F9" s="105" t="s">
        <v>181</v>
      </c>
      <c r="G9" s="105" t="s">
        <v>182</v>
      </c>
      <c r="H9" s="104" t="s">
        <v>183</v>
      </c>
      <c r="I9" s="106" t="s">
        <v>184</v>
      </c>
      <c r="J9" s="106" t="s">
        <v>185</v>
      </c>
      <c r="K9" s="106" t="s">
        <v>186</v>
      </c>
      <c r="L9" s="107" t="s">
        <v>187</v>
      </c>
      <c r="M9" s="107" t="s">
        <v>188</v>
      </c>
      <c r="N9" s="107" t="s">
        <v>189</v>
      </c>
      <c r="Z9" s="103"/>
    </row>
    <row r="10">
      <c r="D10" s="108"/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Z10" s="103"/>
    </row>
    <row r="11"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</row>
    <row r="12">
      <c r="A12" s="110" t="s">
        <v>13</v>
      </c>
      <c r="B12" s="110" t="s">
        <v>14</v>
      </c>
      <c r="C12" s="110" t="s">
        <v>15</v>
      </c>
      <c r="D12" s="111"/>
      <c r="E12" s="112"/>
      <c r="F12" s="112"/>
      <c r="G12" s="112"/>
      <c r="H12" s="32"/>
      <c r="I12" s="113"/>
      <c r="J12" s="113"/>
      <c r="K12" s="113"/>
      <c r="L12" s="114"/>
      <c r="M12" s="114"/>
      <c r="N12" s="115"/>
    </row>
    <row r="13">
      <c r="A13" s="116">
        <v>1.0</v>
      </c>
      <c r="B13" s="21" t="s">
        <v>16</v>
      </c>
      <c r="C13" s="22" t="s">
        <v>17</v>
      </c>
      <c r="D13" s="111">
        <f>Th_CSE_SDP!AP11</f>
        <v>32</v>
      </c>
      <c r="E13" s="117" t="str">
        <f>th_cse_ab!AC11</f>
        <v>#REF!</v>
      </c>
      <c r="F13" s="118">
        <f t="shared" ref="F13:F86" si="1">D13</f>
        <v>32</v>
      </c>
      <c r="G13" s="118">
        <f>LAB_B1!O11</f>
        <v>10</v>
      </c>
      <c r="H13" s="32">
        <f>Th_CSE_SDP!AR11</f>
        <v>35</v>
      </c>
      <c r="I13" s="119">
        <f t="shared" ref="I13:I86" si="2">SUM(F13:G13)</f>
        <v>42</v>
      </c>
      <c r="J13" s="119">
        <f>LAB_B1!Q11</f>
        <v>10</v>
      </c>
      <c r="K13" s="119">
        <f t="shared" ref="K13:K86" si="3">H13+J13</f>
        <v>45</v>
      </c>
      <c r="L13" s="114">
        <f t="shared" ref="L13:L86" si="4">(F13/H13)*100</f>
        <v>91.42857143</v>
      </c>
      <c r="M13" s="114">
        <f t="shared" ref="M13:M86" si="5">(G13/J13)*100</f>
        <v>100</v>
      </c>
      <c r="N13" s="115">
        <f t="shared" ref="N13:N86" si="6">(I13/K13)*100</f>
        <v>93.33333333</v>
      </c>
    </row>
    <row r="14">
      <c r="A14" s="116">
        <v>2.0</v>
      </c>
      <c r="B14" s="21" t="s">
        <v>20</v>
      </c>
      <c r="C14" s="27" t="s">
        <v>21</v>
      </c>
      <c r="D14" s="111">
        <f>Th_CSE_SDP!AP12</f>
        <v>34</v>
      </c>
      <c r="E14" s="117" t="str">
        <f>th_cse_ab!AC11</f>
        <v>#REF!</v>
      </c>
      <c r="F14" s="118">
        <f t="shared" si="1"/>
        <v>34</v>
      </c>
      <c r="G14" s="118">
        <f>LAB_B1!O12</f>
        <v>10</v>
      </c>
      <c r="H14" s="32">
        <f>Th_CSE_SDP!AR12</f>
        <v>35</v>
      </c>
      <c r="I14" s="119">
        <f t="shared" si="2"/>
        <v>44</v>
      </c>
      <c r="J14" s="119">
        <f>LAB_B1!Q12</f>
        <v>10</v>
      </c>
      <c r="K14" s="119">
        <f t="shared" si="3"/>
        <v>45</v>
      </c>
      <c r="L14" s="114">
        <f t="shared" si="4"/>
        <v>97.14285714</v>
      </c>
      <c r="M14" s="114">
        <f t="shared" si="5"/>
        <v>100</v>
      </c>
      <c r="N14" s="115">
        <f t="shared" si="6"/>
        <v>97.77777778</v>
      </c>
    </row>
    <row r="15">
      <c r="A15" s="116">
        <v>3.0</v>
      </c>
      <c r="B15" s="21" t="s">
        <v>22</v>
      </c>
      <c r="C15" s="27" t="s">
        <v>23</v>
      </c>
      <c r="D15" s="111">
        <f>Th_CSE_SDP!AP13</f>
        <v>33</v>
      </c>
      <c r="E15" s="117" t="str">
        <f>th_cse_ab!AC11</f>
        <v>#REF!</v>
      </c>
      <c r="F15" s="118">
        <f t="shared" si="1"/>
        <v>33</v>
      </c>
      <c r="G15" s="118">
        <f>LAB_B1!O13</f>
        <v>10</v>
      </c>
      <c r="H15" s="32">
        <f>Th_CSE_SDP!AR13</f>
        <v>35</v>
      </c>
      <c r="I15" s="119">
        <f t="shared" si="2"/>
        <v>43</v>
      </c>
      <c r="J15" s="119">
        <f>LAB_B1!Q13</f>
        <v>10</v>
      </c>
      <c r="K15" s="119">
        <f t="shared" si="3"/>
        <v>45</v>
      </c>
      <c r="L15" s="114">
        <f t="shared" si="4"/>
        <v>94.28571429</v>
      </c>
      <c r="M15" s="114">
        <f t="shared" si="5"/>
        <v>100</v>
      </c>
      <c r="N15" s="115">
        <f t="shared" si="6"/>
        <v>95.55555556</v>
      </c>
    </row>
    <row r="16">
      <c r="A16" s="116">
        <v>4.0</v>
      </c>
      <c r="B16" s="21" t="s">
        <v>24</v>
      </c>
      <c r="C16" s="27" t="s">
        <v>25</v>
      </c>
      <c r="D16" s="111">
        <f>Th_CSE_SDP!AP14</f>
        <v>35</v>
      </c>
      <c r="E16" s="117" t="str">
        <f>th_cse_ab!AC11</f>
        <v>#REF!</v>
      </c>
      <c r="F16" s="118">
        <f t="shared" si="1"/>
        <v>35</v>
      </c>
      <c r="G16" s="118">
        <f>LAB_B1!O14</f>
        <v>8</v>
      </c>
      <c r="H16" s="32">
        <f>Th_CSE_SDP!AR14</f>
        <v>35</v>
      </c>
      <c r="I16" s="119">
        <f t="shared" si="2"/>
        <v>43</v>
      </c>
      <c r="J16" s="119">
        <f>LAB_B1!Q14</f>
        <v>10</v>
      </c>
      <c r="K16" s="119">
        <f t="shared" si="3"/>
        <v>45</v>
      </c>
      <c r="L16" s="114">
        <f t="shared" si="4"/>
        <v>100</v>
      </c>
      <c r="M16" s="114">
        <f t="shared" si="5"/>
        <v>80</v>
      </c>
      <c r="N16" s="115">
        <f t="shared" si="6"/>
        <v>95.55555556</v>
      </c>
    </row>
    <row r="17">
      <c r="A17" s="116">
        <v>5.0</v>
      </c>
      <c r="B17" s="21" t="s">
        <v>26</v>
      </c>
      <c r="C17" s="27" t="s">
        <v>27</v>
      </c>
      <c r="D17" s="111">
        <f>Th_CSE_SDP!AP15</f>
        <v>31</v>
      </c>
      <c r="E17" s="117" t="str">
        <f>th_cse_ab!AC11</f>
        <v>#REF!</v>
      </c>
      <c r="F17" s="118">
        <f t="shared" si="1"/>
        <v>31</v>
      </c>
      <c r="G17" s="118">
        <f>LAB_B1!O15</f>
        <v>10</v>
      </c>
      <c r="H17" s="32">
        <f>Th_CSE_SDP!AR15</f>
        <v>35</v>
      </c>
      <c r="I17" s="119">
        <f t="shared" si="2"/>
        <v>41</v>
      </c>
      <c r="J17" s="119">
        <f>LAB_B1!Q15</f>
        <v>10</v>
      </c>
      <c r="K17" s="119">
        <f t="shared" si="3"/>
        <v>45</v>
      </c>
      <c r="L17" s="114">
        <f t="shared" si="4"/>
        <v>88.57142857</v>
      </c>
      <c r="M17" s="114">
        <f t="shared" si="5"/>
        <v>100</v>
      </c>
      <c r="N17" s="115">
        <f t="shared" si="6"/>
        <v>91.11111111</v>
      </c>
    </row>
    <row r="18">
      <c r="A18" s="116">
        <v>6.0</v>
      </c>
      <c r="B18" s="21" t="s">
        <v>28</v>
      </c>
      <c r="C18" s="27" t="s">
        <v>29</v>
      </c>
      <c r="D18" s="111">
        <f>Th_CSE_SDP!AP16</f>
        <v>35</v>
      </c>
      <c r="E18" s="117" t="str">
        <f>th_cse_ab!AC11</f>
        <v>#REF!</v>
      </c>
      <c r="F18" s="118">
        <f t="shared" si="1"/>
        <v>35</v>
      </c>
      <c r="G18" s="118">
        <f>LAB_B1!O16</f>
        <v>10</v>
      </c>
      <c r="H18" s="32">
        <f>Th_CSE_SDP!AR16</f>
        <v>35</v>
      </c>
      <c r="I18" s="119">
        <f t="shared" si="2"/>
        <v>45</v>
      </c>
      <c r="J18" s="119">
        <f>LAB_B1!Q16</f>
        <v>10</v>
      </c>
      <c r="K18" s="119">
        <f t="shared" si="3"/>
        <v>45</v>
      </c>
      <c r="L18" s="114">
        <f t="shared" si="4"/>
        <v>100</v>
      </c>
      <c r="M18" s="114">
        <f t="shared" si="5"/>
        <v>100</v>
      </c>
      <c r="N18" s="115">
        <f t="shared" si="6"/>
        <v>100</v>
      </c>
    </row>
    <row r="19">
      <c r="A19" s="116">
        <v>7.0</v>
      </c>
      <c r="B19" s="21" t="s">
        <v>30</v>
      </c>
      <c r="C19" s="27" t="s">
        <v>31</v>
      </c>
      <c r="D19" s="111">
        <f>Th_CSE_SDP!AP17</f>
        <v>33</v>
      </c>
      <c r="E19" s="117" t="str">
        <f>th_cse_ab!AC11</f>
        <v>#REF!</v>
      </c>
      <c r="F19" s="118">
        <f t="shared" si="1"/>
        <v>33</v>
      </c>
      <c r="G19" s="118">
        <f>LAB_B1!O17</f>
        <v>9</v>
      </c>
      <c r="H19" s="32">
        <f>Th_CSE_SDP!AR17</f>
        <v>35</v>
      </c>
      <c r="I19" s="119">
        <f t="shared" si="2"/>
        <v>42</v>
      </c>
      <c r="J19" s="119">
        <f>LAB_B1!Q17</f>
        <v>10</v>
      </c>
      <c r="K19" s="119">
        <f t="shared" si="3"/>
        <v>45</v>
      </c>
      <c r="L19" s="114">
        <f t="shared" si="4"/>
        <v>94.28571429</v>
      </c>
      <c r="M19" s="114">
        <f t="shared" si="5"/>
        <v>90</v>
      </c>
      <c r="N19" s="115">
        <f t="shared" si="6"/>
        <v>93.33333333</v>
      </c>
    </row>
    <row r="20" ht="15.75" customHeight="1">
      <c r="A20" s="116">
        <v>8.0</v>
      </c>
      <c r="B20" s="21" t="s">
        <v>32</v>
      </c>
      <c r="C20" s="27" t="s">
        <v>33</v>
      </c>
      <c r="D20" s="111">
        <f>Th_CSE_SDP!AP18</f>
        <v>34</v>
      </c>
      <c r="E20" s="117" t="str">
        <f>th_cse_ab!AC11</f>
        <v>#REF!</v>
      </c>
      <c r="F20" s="118">
        <f t="shared" si="1"/>
        <v>34</v>
      </c>
      <c r="G20" s="118">
        <f>LAB_B1!O18</f>
        <v>10</v>
      </c>
      <c r="H20" s="32">
        <f>Th_CSE_SDP!AR18</f>
        <v>35</v>
      </c>
      <c r="I20" s="119">
        <f t="shared" si="2"/>
        <v>44</v>
      </c>
      <c r="J20" s="119">
        <f>LAB_B1!Q18</f>
        <v>10</v>
      </c>
      <c r="K20" s="119">
        <f t="shared" si="3"/>
        <v>45</v>
      </c>
      <c r="L20" s="114">
        <f t="shared" si="4"/>
        <v>97.14285714</v>
      </c>
      <c r="M20" s="114">
        <f t="shared" si="5"/>
        <v>100</v>
      </c>
      <c r="N20" s="115">
        <f t="shared" si="6"/>
        <v>97.77777778</v>
      </c>
    </row>
    <row r="21" ht="15.75" customHeight="1">
      <c r="A21" s="116">
        <v>9.0</v>
      </c>
      <c r="B21" s="21" t="s">
        <v>34</v>
      </c>
      <c r="C21" s="27" t="s">
        <v>35</v>
      </c>
      <c r="D21" s="111">
        <f>Th_CSE_SDP!AP19</f>
        <v>35</v>
      </c>
      <c r="E21" s="117" t="str">
        <f>th_cse_ab!AC11</f>
        <v>#REF!</v>
      </c>
      <c r="F21" s="118">
        <f t="shared" si="1"/>
        <v>35</v>
      </c>
      <c r="G21" s="118">
        <f>LAB_B1!O19</f>
        <v>10</v>
      </c>
      <c r="H21" s="32">
        <f>Th_CSE_SDP!AR19</f>
        <v>35</v>
      </c>
      <c r="I21" s="119">
        <f t="shared" si="2"/>
        <v>45</v>
      </c>
      <c r="J21" s="119">
        <f>LAB_B1!Q19</f>
        <v>10</v>
      </c>
      <c r="K21" s="119">
        <f t="shared" si="3"/>
        <v>45</v>
      </c>
      <c r="L21" s="114">
        <f t="shared" si="4"/>
        <v>100</v>
      </c>
      <c r="M21" s="114">
        <f t="shared" si="5"/>
        <v>100</v>
      </c>
      <c r="N21" s="115">
        <f t="shared" si="6"/>
        <v>100</v>
      </c>
    </row>
    <row r="22" ht="15.75" customHeight="1">
      <c r="A22" s="116">
        <v>10.0</v>
      </c>
      <c r="B22" s="21" t="s">
        <v>36</v>
      </c>
      <c r="C22" s="27" t="s">
        <v>37</v>
      </c>
      <c r="D22" s="111">
        <f>Th_CSE_SDP!AP20</f>
        <v>35</v>
      </c>
      <c r="E22" s="117" t="str">
        <f>th_cse_ab!AC11</f>
        <v>#REF!</v>
      </c>
      <c r="F22" s="118">
        <f t="shared" si="1"/>
        <v>35</v>
      </c>
      <c r="G22" s="118">
        <f>LAB_B1!O20</f>
        <v>10</v>
      </c>
      <c r="H22" s="32">
        <f>Th_CSE_SDP!AR20</f>
        <v>35</v>
      </c>
      <c r="I22" s="119">
        <f t="shared" si="2"/>
        <v>45</v>
      </c>
      <c r="J22" s="119">
        <f>LAB_B1!Q20</f>
        <v>10</v>
      </c>
      <c r="K22" s="119">
        <f t="shared" si="3"/>
        <v>45</v>
      </c>
      <c r="L22" s="114">
        <f t="shared" si="4"/>
        <v>100</v>
      </c>
      <c r="M22" s="114">
        <f t="shared" si="5"/>
        <v>100</v>
      </c>
      <c r="N22" s="115">
        <f t="shared" si="6"/>
        <v>100</v>
      </c>
    </row>
    <row r="23" ht="15.75" customHeight="1">
      <c r="A23" s="116">
        <v>11.0</v>
      </c>
      <c r="B23" s="21" t="s">
        <v>38</v>
      </c>
      <c r="C23" s="27" t="s">
        <v>39</v>
      </c>
      <c r="D23" s="111">
        <f>Th_CSE_SDP!AP21</f>
        <v>0</v>
      </c>
      <c r="E23" s="117" t="str">
        <f>th_cse_ab!AC11</f>
        <v>#REF!</v>
      </c>
      <c r="F23" s="118">
        <f t="shared" si="1"/>
        <v>0</v>
      </c>
      <c r="G23" s="118">
        <f>LAB_B1!O21</f>
        <v>0</v>
      </c>
      <c r="H23" s="32">
        <f>Th_CSE_SDP!AR21</f>
        <v>35</v>
      </c>
      <c r="I23" s="119">
        <f t="shared" si="2"/>
        <v>0</v>
      </c>
      <c r="J23" s="119">
        <f>LAB_B1!Q21</f>
        <v>10</v>
      </c>
      <c r="K23" s="119">
        <f t="shared" si="3"/>
        <v>45</v>
      </c>
      <c r="L23" s="114">
        <f t="shared" si="4"/>
        <v>0</v>
      </c>
      <c r="M23" s="114">
        <f t="shared" si="5"/>
        <v>0</v>
      </c>
      <c r="N23" s="115">
        <f t="shared" si="6"/>
        <v>0</v>
      </c>
    </row>
    <row r="24" ht="15.75" customHeight="1">
      <c r="A24" s="116">
        <v>12.0</v>
      </c>
      <c r="B24" s="21" t="s">
        <v>40</v>
      </c>
      <c r="C24" s="27" t="s">
        <v>41</v>
      </c>
      <c r="D24" s="111">
        <f>Th_CSE_SDP!AP22</f>
        <v>34</v>
      </c>
      <c r="E24" s="117" t="str">
        <f>th_cse_ab!AC11</f>
        <v>#REF!</v>
      </c>
      <c r="F24" s="118">
        <f t="shared" si="1"/>
        <v>34</v>
      </c>
      <c r="G24" s="118">
        <f>LAB_B1!O22</f>
        <v>10</v>
      </c>
      <c r="H24" s="32">
        <f>Th_CSE_SDP!AR22</f>
        <v>35</v>
      </c>
      <c r="I24" s="119">
        <f t="shared" si="2"/>
        <v>44</v>
      </c>
      <c r="J24" s="119">
        <f>LAB_B1!Q22</f>
        <v>10</v>
      </c>
      <c r="K24" s="119">
        <f t="shared" si="3"/>
        <v>45</v>
      </c>
      <c r="L24" s="114">
        <f t="shared" si="4"/>
        <v>97.14285714</v>
      </c>
      <c r="M24" s="114">
        <f t="shared" si="5"/>
        <v>100</v>
      </c>
      <c r="N24" s="115">
        <f t="shared" si="6"/>
        <v>97.77777778</v>
      </c>
    </row>
    <row r="25" ht="15.75" customHeight="1">
      <c r="A25" s="116">
        <v>13.0</v>
      </c>
      <c r="B25" s="21" t="s">
        <v>42</v>
      </c>
      <c r="C25" s="27" t="s">
        <v>43</v>
      </c>
      <c r="D25" s="111">
        <f>Th_CSE_SDP!AP23</f>
        <v>35</v>
      </c>
      <c r="E25" s="117" t="str">
        <f>th_cse_ab!AC11</f>
        <v>#REF!</v>
      </c>
      <c r="F25" s="118">
        <f t="shared" si="1"/>
        <v>35</v>
      </c>
      <c r="G25" s="118">
        <f>LAB_B1!O23</f>
        <v>9</v>
      </c>
      <c r="H25" s="32">
        <f>Th_CSE_SDP!AR23</f>
        <v>35</v>
      </c>
      <c r="I25" s="119">
        <f t="shared" si="2"/>
        <v>44</v>
      </c>
      <c r="J25" s="119">
        <f>LAB_B1!Q23</f>
        <v>10</v>
      </c>
      <c r="K25" s="119">
        <f t="shared" si="3"/>
        <v>45</v>
      </c>
      <c r="L25" s="114">
        <f t="shared" si="4"/>
        <v>100</v>
      </c>
      <c r="M25" s="114">
        <f t="shared" si="5"/>
        <v>90</v>
      </c>
      <c r="N25" s="115">
        <f t="shared" si="6"/>
        <v>97.77777778</v>
      </c>
    </row>
    <row r="26" ht="15.75" customHeight="1">
      <c r="A26" s="116">
        <v>14.0</v>
      </c>
      <c r="B26" s="21" t="s">
        <v>44</v>
      </c>
      <c r="C26" s="27" t="s">
        <v>45</v>
      </c>
      <c r="D26" s="111">
        <f>Th_CSE_SDP!AP24</f>
        <v>34</v>
      </c>
      <c r="E26" s="117" t="str">
        <f>th_cse_ab!AC11</f>
        <v>#REF!</v>
      </c>
      <c r="F26" s="118">
        <f t="shared" si="1"/>
        <v>34</v>
      </c>
      <c r="G26" s="118">
        <f>LAB_B1!O24</f>
        <v>10</v>
      </c>
      <c r="H26" s="32">
        <f>Th_CSE_SDP!AR24</f>
        <v>35</v>
      </c>
      <c r="I26" s="119">
        <f t="shared" si="2"/>
        <v>44</v>
      </c>
      <c r="J26" s="119">
        <f>LAB_B1!Q24</f>
        <v>10</v>
      </c>
      <c r="K26" s="119">
        <f t="shared" si="3"/>
        <v>45</v>
      </c>
      <c r="L26" s="114">
        <f t="shared" si="4"/>
        <v>97.14285714</v>
      </c>
      <c r="M26" s="114">
        <f t="shared" si="5"/>
        <v>100</v>
      </c>
      <c r="N26" s="115">
        <f t="shared" si="6"/>
        <v>97.77777778</v>
      </c>
    </row>
    <row r="27" ht="15.75" customHeight="1">
      <c r="A27" s="116">
        <v>15.0</v>
      </c>
      <c r="B27" s="21" t="s">
        <v>46</v>
      </c>
      <c r="C27" s="27" t="s">
        <v>47</v>
      </c>
      <c r="D27" s="111">
        <f>Th_CSE_SDP!AP25</f>
        <v>35</v>
      </c>
      <c r="E27" s="117" t="str">
        <f>th_cse_ab!AC11</f>
        <v>#REF!</v>
      </c>
      <c r="F27" s="118">
        <f t="shared" si="1"/>
        <v>35</v>
      </c>
      <c r="G27" s="118">
        <f>LAB_B1!O25</f>
        <v>10</v>
      </c>
      <c r="H27" s="32">
        <f>Th_CSE_SDP!AR25</f>
        <v>35</v>
      </c>
      <c r="I27" s="119">
        <f t="shared" si="2"/>
        <v>45</v>
      </c>
      <c r="J27" s="119">
        <f>LAB_B1!Q25</f>
        <v>10</v>
      </c>
      <c r="K27" s="119">
        <f t="shared" si="3"/>
        <v>45</v>
      </c>
      <c r="L27" s="114">
        <f t="shared" si="4"/>
        <v>100</v>
      </c>
      <c r="M27" s="114">
        <f t="shared" si="5"/>
        <v>100</v>
      </c>
      <c r="N27" s="115">
        <f t="shared" si="6"/>
        <v>100</v>
      </c>
    </row>
    <row r="28" ht="15.75" customHeight="1">
      <c r="A28" s="116">
        <v>16.0</v>
      </c>
      <c r="B28" s="21" t="s">
        <v>48</v>
      </c>
      <c r="C28" s="27" t="s">
        <v>49</v>
      </c>
      <c r="D28" s="111">
        <f>Th_CSE_SDP!AP26</f>
        <v>31</v>
      </c>
      <c r="E28" s="117" t="str">
        <f>th_cse_ab!AC11</f>
        <v>#REF!</v>
      </c>
      <c r="F28" s="118">
        <f t="shared" si="1"/>
        <v>31</v>
      </c>
      <c r="G28" s="118">
        <f>LAB_B1!O26</f>
        <v>10</v>
      </c>
      <c r="H28" s="32">
        <f>Th_CSE_SDP!AR26</f>
        <v>35</v>
      </c>
      <c r="I28" s="119">
        <f t="shared" si="2"/>
        <v>41</v>
      </c>
      <c r="J28" s="119">
        <f>LAB_B1!Q26</f>
        <v>10</v>
      </c>
      <c r="K28" s="119">
        <f t="shared" si="3"/>
        <v>45</v>
      </c>
      <c r="L28" s="114">
        <f t="shared" si="4"/>
        <v>88.57142857</v>
      </c>
      <c r="M28" s="114">
        <f t="shared" si="5"/>
        <v>100</v>
      </c>
      <c r="N28" s="115">
        <f t="shared" si="6"/>
        <v>91.11111111</v>
      </c>
    </row>
    <row r="29" ht="15.75" customHeight="1">
      <c r="A29" s="116">
        <v>17.0</v>
      </c>
      <c r="B29" s="21" t="s">
        <v>50</v>
      </c>
      <c r="C29" s="27" t="s">
        <v>51</v>
      </c>
      <c r="D29" s="111">
        <f>Th_CSE_SDP!AP27</f>
        <v>35</v>
      </c>
      <c r="E29" s="117" t="str">
        <f>th_cse_ab!AC11</f>
        <v>#REF!</v>
      </c>
      <c r="F29" s="118">
        <f t="shared" si="1"/>
        <v>35</v>
      </c>
      <c r="G29" s="118">
        <f>LAB_B1!O27</f>
        <v>10</v>
      </c>
      <c r="H29" s="32">
        <f>Th_CSE_SDP!AR27</f>
        <v>35</v>
      </c>
      <c r="I29" s="119">
        <f t="shared" si="2"/>
        <v>45</v>
      </c>
      <c r="J29" s="119">
        <f>LAB_B1!Q27</f>
        <v>10</v>
      </c>
      <c r="K29" s="119">
        <f t="shared" si="3"/>
        <v>45</v>
      </c>
      <c r="L29" s="114">
        <f t="shared" si="4"/>
        <v>100</v>
      </c>
      <c r="M29" s="114">
        <f t="shared" si="5"/>
        <v>100</v>
      </c>
      <c r="N29" s="115">
        <f t="shared" si="6"/>
        <v>100</v>
      </c>
    </row>
    <row r="30" ht="15.75" customHeight="1">
      <c r="A30" s="116">
        <v>18.0</v>
      </c>
      <c r="B30" s="21" t="s">
        <v>52</v>
      </c>
      <c r="C30" s="27" t="s">
        <v>53</v>
      </c>
      <c r="D30" s="111">
        <f>Th_CSE_SDP!AP28</f>
        <v>35</v>
      </c>
      <c r="E30" s="117" t="str">
        <f>th_cse_ab!AC11</f>
        <v>#REF!</v>
      </c>
      <c r="F30" s="118">
        <f t="shared" si="1"/>
        <v>35</v>
      </c>
      <c r="G30" s="118">
        <f>LAB_B1!O28</f>
        <v>10</v>
      </c>
      <c r="H30" s="32">
        <f>Th_CSE_SDP!AR28</f>
        <v>35</v>
      </c>
      <c r="I30" s="119">
        <f t="shared" si="2"/>
        <v>45</v>
      </c>
      <c r="J30" s="119">
        <f>LAB_B1!Q28</f>
        <v>10</v>
      </c>
      <c r="K30" s="119">
        <f t="shared" si="3"/>
        <v>45</v>
      </c>
      <c r="L30" s="114">
        <f t="shared" si="4"/>
        <v>100</v>
      </c>
      <c r="M30" s="114">
        <f t="shared" si="5"/>
        <v>100</v>
      </c>
      <c r="N30" s="115">
        <f t="shared" si="6"/>
        <v>100</v>
      </c>
    </row>
    <row r="31" ht="15.75" customHeight="1">
      <c r="A31" s="116">
        <v>19.0</v>
      </c>
      <c r="B31" s="21" t="s">
        <v>54</v>
      </c>
      <c r="C31" s="27" t="s">
        <v>55</v>
      </c>
      <c r="D31" s="111">
        <f>Th_CSE_SDP!AP29</f>
        <v>34</v>
      </c>
      <c r="E31" s="117" t="str">
        <f>th_cse_ab!AC11</f>
        <v>#REF!</v>
      </c>
      <c r="F31" s="118">
        <f t="shared" si="1"/>
        <v>34</v>
      </c>
      <c r="G31" s="118">
        <f>LAB_B1!O29</f>
        <v>10</v>
      </c>
      <c r="H31" s="32">
        <f>Th_CSE_SDP!AR29</f>
        <v>35</v>
      </c>
      <c r="I31" s="119">
        <f t="shared" si="2"/>
        <v>44</v>
      </c>
      <c r="J31" s="119">
        <f>LAB_B1!Q29</f>
        <v>10</v>
      </c>
      <c r="K31" s="119">
        <f t="shared" si="3"/>
        <v>45</v>
      </c>
      <c r="L31" s="114">
        <f t="shared" si="4"/>
        <v>97.14285714</v>
      </c>
      <c r="M31" s="114">
        <f t="shared" si="5"/>
        <v>100</v>
      </c>
      <c r="N31" s="115">
        <f t="shared" si="6"/>
        <v>97.77777778</v>
      </c>
    </row>
    <row r="32" ht="15.75" customHeight="1">
      <c r="A32" s="116">
        <v>20.0</v>
      </c>
      <c r="B32" s="21" t="s">
        <v>56</v>
      </c>
      <c r="C32" s="27" t="s">
        <v>57</v>
      </c>
      <c r="D32" s="111">
        <f>Th_CSE_SDP!AP30</f>
        <v>33</v>
      </c>
      <c r="E32" s="117" t="str">
        <f>th_cse_ab!AC11</f>
        <v>#REF!</v>
      </c>
      <c r="F32" s="118">
        <f t="shared" si="1"/>
        <v>33</v>
      </c>
      <c r="G32" s="118">
        <f>LAB_B1!O30</f>
        <v>9</v>
      </c>
      <c r="H32" s="32">
        <f>Th_CSE_SDP!AR30</f>
        <v>35</v>
      </c>
      <c r="I32" s="119">
        <f t="shared" si="2"/>
        <v>42</v>
      </c>
      <c r="J32" s="119">
        <f>LAB_B1!Q30</f>
        <v>10</v>
      </c>
      <c r="K32" s="119">
        <f t="shared" si="3"/>
        <v>45</v>
      </c>
      <c r="L32" s="114">
        <f t="shared" si="4"/>
        <v>94.28571429</v>
      </c>
      <c r="M32" s="114">
        <f t="shared" si="5"/>
        <v>90</v>
      </c>
      <c r="N32" s="115">
        <f t="shared" si="6"/>
        <v>93.33333333</v>
      </c>
    </row>
    <row r="33" ht="15.75" customHeight="1">
      <c r="A33" s="116">
        <v>21.0</v>
      </c>
      <c r="B33" s="21" t="s">
        <v>58</v>
      </c>
      <c r="C33" s="27" t="s">
        <v>59</v>
      </c>
      <c r="D33" s="111">
        <f>Th_CSE_SDP!AP31</f>
        <v>34</v>
      </c>
      <c r="E33" s="117" t="str">
        <f>th_cse_ab!AC11</f>
        <v>#REF!</v>
      </c>
      <c r="F33" s="118">
        <f t="shared" si="1"/>
        <v>34</v>
      </c>
      <c r="G33" s="118">
        <f>LAB_B1!O31</f>
        <v>10</v>
      </c>
      <c r="H33" s="32">
        <f>Th_CSE_SDP!AR31</f>
        <v>35</v>
      </c>
      <c r="I33" s="119">
        <f t="shared" si="2"/>
        <v>44</v>
      </c>
      <c r="J33" s="119">
        <f>LAB_B1!Q31</f>
        <v>10</v>
      </c>
      <c r="K33" s="119">
        <f t="shared" si="3"/>
        <v>45</v>
      </c>
      <c r="L33" s="114">
        <f t="shared" si="4"/>
        <v>97.14285714</v>
      </c>
      <c r="M33" s="114">
        <f t="shared" si="5"/>
        <v>100</v>
      </c>
      <c r="N33" s="115">
        <f t="shared" si="6"/>
        <v>97.77777778</v>
      </c>
    </row>
    <row r="34" ht="15.75" customHeight="1">
      <c r="A34" s="116">
        <v>22.0</v>
      </c>
      <c r="B34" s="21" t="s">
        <v>60</v>
      </c>
      <c r="C34" s="27" t="s">
        <v>61</v>
      </c>
      <c r="D34" s="111">
        <f>Th_CSE_SDP!AP32</f>
        <v>34</v>
      </c>
      <c r="E34" s="117" t="str">
        <f>th_cse_ab!AC11</f>
        <v>#REF!</v>
      </c>
      <c r="F34" s="118">
        <f t="shared" si="1"/>
        <v>34</v>
      </c>
      <c r="G34" s="118">
        <f>LAB_B1!O32</f>
        <v>10</v>
      </c>
      <c r="H34" s="32">
        <f>Th_CSE_SDP!AR32</f>
        <v>35</v>
      </c>
      <c r="I34" s="119">
        <f t="shared" si="2"/>
        <v>44</v>
      </c>
      <c r="J34" s="119">
        <f>LAB_B1!Q32</f>
        <v>10</v>
      </c>
      <c r="K34" s="119">
        <f t="shared" si="3"/>
        <v>45</v>
      </c>
      <c r="L34" s="114">
        <f t="shared" si="4"/>
        <v>97.14285714</v>
      </c>
      <c r="M34" s="114">
        <f t="shared" si="5"/>
        <v>100</v>
      </c>
      <c r="N34" s="115">
        <f t="shared" si="6"/>
        <v>97.77777778</v>
      </c>
    </row>
    <row r="35" ht="15.75" customHeight="1">
      <c r="A35" s="116">
        <v>23.0</v>
      </c>
      <c r="B35" s="21" t="s">
        <v>62</v>
      </c>
      <c r="C35" s="27" t="s">
        <v>63</v>
      </c>
      <c r="D35" s="111">
        <f>Th_CSE_SDP!AP33</f>
        <v>31</v>
      </c>
      <c r="E35" s="117" t="str">
        <f>th_cse_ab!AC11</f>
        <v>#REF!</v>
      </c>
      <c r="F35" s="118">
        <f t="shared" si="1"/>
        <v>31</v>
      </c>
      <c r="G35" s="118">
        <f>LAB_B1!O33</f>
        <v>9</v>
      </c>
      <c r="H35" s="32">
        <f>Th_CSE_SDP!AR33</f>
        <v>35</v>
      </c>
      <c r="I35" s="119">
        <f t="shared" si="2"/>
        <v>40</v>
      </c>
      <c r="J35" s="119">
        <f>LAB_B1!Q33</f>
        <v>10</v>
      </c>
      <c r="K35" s="119">
        <f t="shared" si="3"/>
        <v>45</v>
      </c>
      <c r="L35" s="114">
        <f t="shared" si="4"/>
        <v>88.57142857</v>
      </c>
      <c r="M35" s="114">
        <f t="shared" si="5"/>
        <v>90</v>
      </c>
      <c r="N35" s="115">
        <f t="shared" si="6"/>
        <v>88.88888889</v>
      </c>
    </row>
    <row r="36" ht="15.75" customHeight="1">
      <c r="A36" s="116">
        <v>24.0</v>
      </c>
      <c r="B36" s="21" t="s">
        <v>64</v>
      </c>
      <c r="C36" s="27" t="s">
        <v>65</v>
      </c>
      <c r="D36" s="111">
        <f>Th_CSE_SDP!AP34</f>
        <v>35</v>
      </c>
      <c r="E36" s="117" t="str">
        <f>th_cse_ab!AC11</f>
        <v>#REF!</v>
      </c>
      <c r="F36" s="118">
        <f t="shared" si="1"/>
        <v>35</v>
      </c>
      <c r="G36" s="118">
        <f>LAB_B1!O34</f>
        <v>9</v>
      </c>
      <c r="H36" s="32">
        <f>Th_CSE_SDP!AR34</f>
        <v>35</v>
      </c>
      <c r="I36" s="119">
        <f t="shared" si="2"/>
        <v>44</v>
      </c>
      <c r="J36" s="119">
        <f>LAB_B1!Q34</f>
        <v>10</v>
      </c>
      <c r="K36" s="119">
        <f t="shared" si="3"/>
        <v>45</v>
      </c>
      <c r="L36" s="114">
        <f t="shared" si="4"/>
        <v>100</v>
      </c>
      <c r="M36" s="114">
        <f t="shared" si="5"/>
        <v>90</v>
      </c>
      <c r="N36" s="115">
        <f t="shared" si="6"/>
        <v>97.77777778</v>
      </c>
    </row>
    <row r="37" ht="15.75" customHeight="1">
      <c r="A37" s="116">
        <v>25.0</v>
      </c>
      <c r="B37" s="21" t="s">
        <v>66</v>
      </c>
      <c r="C37" s="27" t="s">
        <v>67</v>
      </c>
      <c r="D37" s="111">
        <f>Th_CSE_SDP!AP35</f>
        <v>34</v>
      </c>
      <c r="E37" s="117" t="str">
        <f>th_cse_ab!AC11</f>
        <v>#REF!</v>
      </c>
      <c r="F37" s="118">
        <f t="shared" si="1"/>
        <v>34</v>
      </c>
      <c r="G37" s="118">
        <f>LAB_B1!O35</f>
        <v>9</v>
      </c>
      <c r="H37" s="32">
        <f>Th_CSE_SDP!AR35</f>
        <v>35</v>
      </c>
      <c r="I37" s="119">
        <f t="shared" si="2"/>
        <v>43</v>
      </c>
      <c r="J37" s="119">
        <f>LAB_B1!Q35</f>
        <v>10</v>
      </c>
      <c r="K37" s="119">
        <f t="shared" si="3"/>
        <v>45</v>
      </c>
      <c r="L37" s="114">
        <f t="shared" si="4"/>
        <v>97.14285714</v>
      </c>
      <c r="M37" s="114">
        <f t="shared" si="5"/>
        <v>90</v>
      </c>
      <c r="N37" s="115">
        <f t="shared" si="6"/>
        <v>95.55555556</v>
      </c>
    </row>
    <row r="38" ht="15.75" customHeight="1">
      <c r="A38" s="116">
        <v>26.0</v>
      </c>
      <c r="B38" s="21" t="s">
        <v>68</v>
      </c>
      <c r="C38" s="27" t="s">
        <v>69</v>
      </c>
      <c r="D38" s="111">
        <f>Th_CSE_SDP!AP36</f>
        <v>33</v>
      </c>
      <c r="E38" s="117" t="str">
        <f>th_cse_ab!AC11</f>
        <v>#REF!</v>
      </c>
      <c r="F38" s="118">
        <f t="shared" si="1"/>
        <v>33</v>
      </c>
      <c r="G38" s="118">
        <f>LAB_B1!O36</f>
        <v>10</v>
      </c>
      <c r="H38" s="32">
        <f>Th_CSE_SDP!AR36</f>
        <v>35</v>
      </c>
      <c r="I38" s="119">
        <f t="shared" si="2"/>
        <v>43</v>
      </c>
      <c r="J38" s="119">
        <f>LAB_B1!Q36</f>
        <v>10</v>
      </c>
      <c r="K38" s="119">
        <f t="shared" si="3"/>
        <v>45</v>
      </c>
      <c r="L38" s="114">
        <f t="shared" si="4"/>
        <v>94.28571429</v>
      </c>
      <c r="M38" s="114">
        <f t="shared" si="5"/>
        <v>100</v>
      </c>
      <c r="N38" s="115">
        <f t="shared" si="6"/>
        <v>95.55555556</v>
      </c>
    </row>
    <row r="39" ht="15.75" customHeight="1">
      <c r="A39" s="116">
        <v>27.0</v>
      </c>
      <c r="B39" s="21" t="s">
        <v>70</v>
      </c>
      <c r="C39" s="27" t="s">
        <v>71</v>
      </c>
      <c r="D39" s="111">
        <f>Th_CSE_SDP!AP37</f>
        <v>33</v>
      </c>
      <c r="E39" s="117" t="str">
        <f>th_cse_ab!AC11</f>
        <v>#REF!</v>
      </c>
      <c r="F39" s="118">
        <f t="shared" si="1"/>
        <v>33</v>
      </c>
      <c r="G39" s="118">
        <f>LAB_B1!O37</f>
        <v>10</v>
      </c>
      <c r="H39" s="32">
        <f>Th_CSE_SDP!AR37</f>
        <v>35</v>
      </c>
      <c r="I39" s="119">
        <f t="shared" si="2"/>
        <v>43</v>
      </c>
      <c r="J39" s="119">
        <f>LAB_B1!Q37</f>
        <v>10</v>
      </c>
      <c r="K39" s="119">
        <f t="shared" si="3"/>
        <v>45</v>
      </c>
      <c r="L39" s="114">
        <f t="shared" si="4"/>
        <v>94.28571429</v>
      </c>
      <c r="M39" s="114">
        <f t="shared" si="5"/>
        <v>100</v>
      </c>
      <c r="N39" s="115">
        <f t="shared" si="6"/>
        <v>95.55555556</v>
      </c>
    </row>
    <row r="40" ht="15.75" customHeight="1">
      <c r="A40" s="116">
        <v>28.0</v>
      </c>
      <c r="B40" s="21" t="s">
        <v>72</v>
      </c>
      <c r="C40" s="27" t="s">
        <v>73</v>
      </c>
      <c r="D40" s="111">
        <f>Th_CSE_SDP!AP38</f>
        <v>34</v>
      </c>
      <c r="E40" s="117" t="str">
        <f>th_cse_ab!AC11</f>
        <v>#REF!</v>
      </c>
      <c r="F40" s="118">
        <f t="shared" si="1"/>
        <v>34</v>
      </c>
      <c r="G40" s="118">
        <f>LAB_B1!O38</f>
        <v>9</v>
      </c>
      <c r="H40" s="32">
        <f>Th_CSE_SDP!AR38</f>
        <v>35</v>
      </c>
      <c r="I40" s="119">
        <f t="shared" si="2"/>
        <v>43</v>
      </c>
      <c r="J40" s="119">
        <f>LAB_B1!Q38</f>
        <v>10</v>
      </c>
      <c r="K40" s="119">
        <f t="shared" si="3"/>
        <v>45</v>
      </c>
      <c r="L40" s="114">
        <f t="shared" si="4"/>
        <v>97.14285714</v>
      </c>
      <c r="M40" s="114">
        <f t="shared" si="5"/>
        <v>90</v>
      </c>
      <c r="N40" s="115">
        <f t="shared" si="6"/>
        <v>95.55555556</v>
      </c>
    </row>
    <row r="41" ht="15.75" customHeight="1">
      <c r="A41" s="116">
        <v>29.0</v>
      </c>
      <c r="B41" s="21" t="s">
        <v>74</v>
      </c>
      <c r="C41" s="27" t="s">
        <v>75</v>
      </c>
      <c r="D41" s="111">
        <f>Th_CSE_SDP!AP39</f>
        <v>34</v>
      </c>
      <c r="E41" s="117" t="str">
        <f>th_cse_ab!AC11</f>
        <v>#REF!</v>
      </c>
      <c r="F41" s="118">
        <f t="shared" si="1"/>
        <v>34</v>
      </c>
      <c r="G41" s="118">
        <f>LAB_B1!O39</f>
        <v>10</v>
      </c>
      <c r="H41" s="32">
        <f>Th_CSE_SDP!AR39</f>
        <v>35</v>
      </c>
      <c r="I41" s="119">
        <f t="shared" si="2"/>
        <v>44</v>
      </c>
      <c r="J41" s="119">
        <f>LAB_B1!Q39</f>
        <v>10</v>
      </c>
      <c r="K41" s="119">
        <f t="shared" si="3"/>
        <v>45</v>
      </c>
      <c r="L41" s="114">
        <f t="shared" si="4"/>
        <v>97.14285714</v>
      </c>
      <c r="M41" s="114">
        <f t="shared" si="5"/>
        <v>100</v>
      </c>
      <c r="N41" s="115">
        <f t="shared" si="6"/>
        <v>97.77777778</v>
      </c>
    </row>
    <row r="42" ht="15.75" customHeight="1">
      <c r="A42" s="116">
        <v>30.0</v>
      </c>
      <c r="B42" s="21" t="s">
        <v>76</v>
      </c>
      <c r="C42" s="27" t="s">
        <v>77</v>
      </c>
      <c r="D42" s="111">
        <f>Th_CSE_SDP!AP40</f>
        <v>34</v>
      </c>
      <c r="E42" s="117" t="str">
        <f>th_cse_ab!AC11</f>
        <v>#REF!</v>
      </c>
      <c r="F42" s="118">
        <f t="shared" si="1"/>
        <v>34</v>
      </c>
      <c r="G42" s="118">
        <f>LAB_B1!O40</f>
        <v>10</v>
      </c>
      <c r="H42" s="32">
        <f>Th_CSE_SDP!AR40</f>
        <v>35</v>
      </c>
      <c r="I42" s="119">
        <f t="shared" si="2"/>
        <v>44</v>
      </c>
      <c r="J42" s="119">
        <f>LAB_B1!Q40</f>
        <v>10</v>
      </c>
      <c r="K42" s="119">
        <f t="shared" si="3"/>
        <v>45</v>
      </c>
      <c r="L42" s="114">
        <f t="shared" si="4"/>
        <v>97.14285714</v>
      </c>
      <c r="M42" s="114">
        <f t="shared" si="5"/>
        <v>100</v>
      </c>
      <c r="N42" s="115">
        <f t="shared" si="6"/>
        <v>97.77777778</v>
      </c>
    </row>
    <row r="43" ht="15.75" customHeight="1">
      <c r="A43" s="116">
        <v>31.0</v>
      </c>
      <c r="B43" s="21" t="s">
        <v>78</v>
      </c>
      <c r="C43" s="27" t="s">
        <v>79</v>
      </c>
      <c r="D43" s="111">
        <f>Th_CSE_SDP!AP41</f>
        <v>35</v>
      </c>
      <c r="E43" s="117" t="str">
        <f>th_cse_ab!AC11</f>
        <v>#REF!</v>
      </c>
      <c r="F43" s="118">
        <f t="shared" si="1"/>
        <v>35</v>
      </c>
      <c r="G43" s="118">
        <f>LAB_B1!O41</f>
        <v>10</v>
      </c>
      <c r="H43" s="32">
        <f>Th_CSE_SDP!AR41</f>
        <v>35</v>
      </c>
      <c r="I43" s="119">
        <f t="shared" si="2"/>
        <v>45</v>
      </c>
      <c r="J43" s="119">
        <f>LAB_B1!Q41</f>
        <v>10</v>
      </c>
      <c r="K43" s="119">
        <f t="shared" si="3"/>
        <v>45</v>
      </c>
      <c r="L43" s="114">
        <f t="shared" si="4"/>
        <v>100</v>
      </c>
      <c r="M43" s="114">
        <f t="shared" si="5"/>
        <v>100</v>
      </c>
      <c r="N43" s="115">
        <f t="shared" si="6"/>
        <v>100</v>
      </c>
    </row>
    <row r="44" ht="15.75" customHeight="1">
      <c r="A44" s="116">
        <v>32.0</v>
      </c>
      <c r="B44" s="21" t="s">
        <v>80</v>
      </c>
      <c r="C44" s="27" t="s">
        <v>81</v>
      </c>
      <c r="D44" s="111">
        <f>Th_CSE_SDP!AP42</f>
        <v>34</v>
      </c>
      <c r="E44" s="117" t="str">
        <f>th_cse_ab!AC11</f>
        <v>#REF!</v>
      </c>
      <c r="F44" s="118">
        <f t="shared" si="1"/>
        <v>34</v>
      </c>
      <c r="G44" s="118">
        <f>LAB_B1!O42</f>
        <v>10</v>
      </c>
      <c r="H44" s="32">
        <f>Th_CSE_SDP!AR42</f>
        <v>35</v>
      </c>
      <c r="I44" s="119">
        <f t="shared" si="2"/>
        <v>44</v>
      </c>
      <c r="J44" s="119">
        <f>LAB_B1!Q42</f>
        <v>10</v>
      </c>
      <c r="K44" s="119">
        <f t="shared" si="3"/>
        <v>45</v>
      </c>
      <c r="L44" s="114">
        <f t="shared" si="4"/>
        <v>97.14285714</v>
      </c>
      <c r="M44" s="114">
        <f t="shared" si="5"/>
        <v>100</v>
      </c>
      <c r="N44" s="115">
        <f t="shared" si="6"/>
        <v>97.77777778</v>
      </c>
    </row>
    <row r="45" ht="15.75" customHeight="1">
      <c r="A45" s="116">
        <v>33.0</v>
      </c>
      <c r="B45" s="21" t="s">
        <v>82</v>
      </c>
      <c r="C45" s="27" t="s">
        <v>83</v>
      </c>
      <c r="D45" s="111">
        <f>Th_CSE_SDP!AP43</f>
        <v>34</v>
      </c>
      <c r="E45" s="117" t="str">
        <f>th_cse_ab!AC11</f>
        <v>#REF!</v>
      </c>
      <c r="F45" s="118">
        <f t="shared" si="1"/>
        <v>34</v>
      </c>
      <c r="G45" s="118">
        <f>LAB_B1!O43</f>
        <v>10</v>
      </c>
      <c r="H45" s="32">
        <f>Th_CSE_SDP!AR43</f>
        <v>35</v>
      </c>
      <c r="I45" s="119">
        <f t="shared" si="2"/>
        <v>44</v>
      </c>
      <c r="J45" s="119">
        <f>LAB_B1!Q43</f>
        <v>10</v>
      </c>
      <c r="K45" s="119">
        <f t="shared" si="3"/>
        <v>45</v>
      </c>
      <c r="L45" s="114">
        <f t="shared" si="4"/>
        <v>97.14285714</v>
      </c>
      <c r="M45" s="114">
        <f t="shared" si="5"/>
        <v>100</v>
      </c>
      <c r="N45" s="115">
        <f t="shared" si="6"/>
        <v>97.77777778</v>
      </c>
    </row>
    <row r="46" ht="15.75" customHeight="1">
      <c r="A46" s="116">
        <v>34.0</v>
      </c>
      <c r="B46" s="21" t="s">
        <v>84</v>
      </c>
      <c r="C46" s="27" t="s">
        <v>85</v>
      </c>
      <c r="D46" s="111">
        <f>Th_CSE_SDP!AP44</f>
        <v>35</v>
      </c>
      <c r="E46" s="117" t="str">
        <f>th_cse_ab!AC11</f>
        <v>#REF!</v>
      </c>
      <c r="F46" s="118">
        <f t="shared" si="1"/>
        <v>35</v>
      </c>
      <c r="G46" s="118">
        <f>LAB_B1!O44</f>
        <v>10</v>
      </c>
      <c r="H46" s="32">
        <f>Th_CSE_SDP!AR44</f>
        <v>35</v>
      </c>
      <c r="I46" s="119">
        <f t="shared" si="2"/>
        <v>45</v>
      </c>
      <c r="J46" s="119">
        <f>LAB_B1!Q44</f>
        <v>10</v>
      </c>
      <c r="K46" s="119">
        <f t="shared" si="3"/>
        <v>45</v>
      </c>
      <c r="L46" s="114">
        <f t="shared" si="4"/>
        <v>100</v>
      </c>
      <c r="M46" s="114">
        <f t="shared" si="5"/>
        <v>100</v>
      </c>
      <c r="N46" s="115">
        <f t="shared" si="6"/>
        <v>100</v>
      </c>
    </row>
    <row r="47" ht="15.75" customHeight="1">
      <c r="A47" s="116">
        <v>35.0</v>
      </c>
      <c r="B47" s="21" t="s">
        <v>86</v>
      </c>
      <c r="C47" s="27" t="s">
        <v>87</v>
      </c>
      <c r="D47" s="111">
        <f>Th_CSE_SDP!AP45</f>
        <v>35</v>
      </c>
      <c r="E47" s="117" t="str">
        <f>th_cse_ab!AC11</f>
        <v>#REF!</v>
      </c>
      <c r="F47" s="118">
        <f t="shared" si="1"/>
        <v>35</v>
      </c>
      <c r="G47" s="118">
        <f>LAB_B1!O45</f>
        <v>10</v>
      </c>
      <c r="H47" s="32">
        <f>Th_CSE_SDP!AR45</f>
        <v>35</v>
      </c>
      <c r="I47" s="119">
        <f t="shared" si="2"/>
        <v>45</v>
      </c>
      <c r="J47" s="119">
        <f>LAB_B1!Q45</f>
        <v>10</v>
      </c>
      <c r="K47" s="119">
        <f t="shared" si="3"/>
        <v>45</v>
      </c>
      <c r="L47" s="114">
        <f t="shared" si="4"/>
        <v>100</v>
      </c>
      <c r="M47" s="114">
        <f t="shared" si="5"/>
        <v>100</v>
      </c>
      <c r="N47" s="115">
        <f t="shared" si="6"/>
        <v>100</v>
      </c>
    </row>
    <row r="48" ht="15.75" customHeight="1">
      <c r="A48" s="116">
        <v>36.0</v>
      </c>
      <c r="B48" s="21" t="s">
        <v>88</v>
      </c>
      <c r="C48" s="27" t="s">
        <v>89</v>
      </c>
      <c r="D48" s="111">
        <f>Th_CSE_SDP!AP46</f>
        <v>34</v>
      </c>
      <c r="E48" s="117" t="str">
        <f>th_cse_ab!AC11</f>
        <v>#REF!</v>
      </c>
      <c r="F48" s="118">
        <f t="shared" si="1"/>
        <v>34</v>
      </c>
      <c r="G48" s="118">
        <f>LAB_B1!O46</f>
        <v>9</v>
      </c>
      <c r="H48" s="32">
        <f>Th_CSE_SDP!AR46</f>
        <v>35</v>
      </c>
      <c r="I48" s="119">
        <f t="shared" si="2"/>
        <v>43</v>
      </c>
      <c r="J48" s="119">
        <f>LAB_B1!Q46</f>
        <v>10</v>
      </c>
      <c r="K48" s="119">
        <f t="shared" si="3"/>
        <v>45</v>
      </c>
      <c r="L48" s="114">
        <f t="shared" si="4"/>
        <v>97.14285714</v>
      </c>
      <c r="M48" s="114">
        <f t="shared" si="5"/>
        <v>90</v>
      </c>
      <c r="N48" s="115">
        <f t="shared" si="6"/>
        <v>95.55555556</v>
      </c>
    </row>
    <row r="49" ht="15.75" customHeight="1">
      <c r="A49" s="116">
        <v>37.0</v>
      </c>
      <c r="B49" s="21" t="s">
        <v>90</v>
      </c>
      <c r="C49" s="27" t="s">
        <v>91</v>
      </c>
      <c r="D49" s="111">
        <f>Th_CSE_SDP!AP47</f>
        <v>34</v>
      </c>
      <c r="E49" s="117" t="str">
        <f>th_cse_ab!AC11</f>
        <v>#REF!</v>
      </c>
      <c r="F49" s="118">
        <f t="shared" si="1"/>
        <v>34</v>
      </c>
      <c r="G49" s="118">
        <f>LAB_B1!O47</f>
        <v>10</v>
      </c>
      <c r="H49" s="32">
        <f>Th_CSE_SDP!AR47</f>
        <v>35</v>
      </c>
      <c r="I49" s="119">
        <f t="shared" si="2"/>
        <v>44</v>
      </c>
      <c r="J49" s="119">
        <f>LAB_B1!Q47</f>
        <v>10</v>
      </c>
      <c r="K49" s="119">
        <f t="shared" si="3"/>
        <v>45</v>
      </c>
      <c r="L49" s="114">
        <f t="shared" si="4"/>
        <v>97.14285714</v>
      </c>
      <c r="M49" s="114">
        <f t="shared" si="5"/>
        <v>100</v>
      </c>
      <c r="N49" s="115">
        <f t="shared" si="6"/>
        <v>97.77777778</v>
      </c>
    </row>
    <row r="50" ht="15.75" customHeight="1">
      <c r="A50" s="116">
        <v>38.0</v>
      </c>
      <c r="B50" s="21" t="s">
        <v>92</v>
      </c>
      <c r="C50" s="27" t="s">
        <v>93</v>
      </c>
      <c r="D50" s="111">
        <f>Th_CSE_SDP!AP48</f>
        <v>35</v>
      </c>
      <c r="E50" s="117" t="str">
        <f>th_cse_ab!AC11</f>
        <v>#REF!</v>
      </c>
      <c r="F50" s="118">
        <f t="shared" si="1"/>
        <v>35</v>
      </c>
      <c r="G50" s="118">
        <f>LAB_B2!O11</f>
        <v>9</v>
      </c>
      <c r="H50" s="32">
        <f>Th_CSE_SDP!AR48</f>
        <v>35</v>
      </c>
      <c r="I50" s="119">
        <f t="shared" si="2"/>
        <v>44</v>
      </c>
      <c r="J50" s="119">
        <f>LAB_B2!Q11</f>
        <v>10</v>
      </c>
      <c r="K50" s="119">
        <f t="shared" si="3"/>
        <v>45</v>
      </c>
      <c r="L50" s="114">
        <f t="shared" si="4"/>
        <v>100</v>
      </c>
      <c r="M50" s="114">
        <f t="shared" si="5"/>
        <v>90</v>
      </c>
      <c r="N50" s="115">
        <f t="shared" si="6"/>
        <v>97.77777778</v>
      </c>
    </row>
    <row r="51" ht="15.75" customHeight="1">
      <c r="A51" s="116">
        <v>39.0</v>
      </c>
      <c r="B51" s="21" t="s">
        <v>94</v>
      </c>
      <c r="C51" s="27" t="s">
        <v>95</v>
      </c>
      <c r="D51" s="111">
        <f>Th_CSE_SDP!AP49</f>
        <v>35</v>
      </c>
      <c r="E51" s="117" t="str">
        <f>th_cse_ab!AC11</f>
        <v>#REF!</v>
      </c>
      <c r="F51" s="118">
        <f t="shared" si="1"/>
        <v>35</v>
      </c>
      <c r="G51" s="118">
        <f>LAB_B2!O12</f>
        <v>10</v>
      </c>
      <c r="H51" s="32">
        <f>Th_CSE_SDP!AR49</f>
        <v>35</v>
      </c>
      <c r="I51" s="119">
        <f t="shared" si="2"/>
        <v>45</v>
      </c>
      <c r="J51" s="119">
        <f>LAB_B2!Q12</f>
        <v>10</v>
      </c>
      <c r="K51" s="119">
        <f t="shared" si="3"/>
        <v>45</v>
      </c>
      <c r="L51" s="114">
        <f t="shared" si="4"/>
        <v>100</v>
      </c>
      <c r="M51" s="114">
        <f t="shared" si="5"/>
        <v>100</v>
      </c>
      <c r="N51" s="115">
        <f t="shared" si="6"/>
        <v>100</v>
      </c>
    </row>
    <row r="52" ht="15.75" customHeight="1">
      <c r="A52" s="116">
        <v>40.0</v>
      </c>
      <c r="B52" s="21" t="s">
        <v>96</v>
      </c>
      <c r="C52" s="27" t="s">
        <v>97</v>
      </c>
      <c r="D52" s="111">
        <f>Th_CSE_SDP!AP50</f>
        <v>0</v>
      </c>
      <c r="E52" s="117" t="str">
        <f>th_cse_ab!AC11</f>
        <v>#REF!</v>
      </c>
      <c r="F52" s="118">
        <f t="shared" si="1"/>
        <v>0</v>
      </c>
      <c r="G52" s="118">
        <f>LAB_B2!O13</f>
        <v>0</v>
      </c>
      <c r="H52" s="32">
        <f>Th_CSE_SDP!AR50</f>
        <v>35</v>
      </c>
      <c r="I52" s="119">
        <f t="shared" si="2"/>
        <v>0</v>
      </c>
      <c r="J52" s="119">
        <f>LAB_B2!Q13</f>
        <v>10</v>
      </c>
      <c r="K52" s="119">
        <f t="shared" si="3"/>
        <v>45</v>
      </c>
      <c r="L52" s="114">
        <f t="shared" si="4"/>
        <v>0</v>
      </c>
      <c r="M52" s="114">
        <f t="shared" si="5"/>
        <v>0</v>
      </c>
      <c r="N52" s="115">
        <f t="shared" si="6"/>
        <v>0</v>
      </c>
    </row>
    <row r="53" ht="15.75" customHeight="1">
      <c r="A53" s="116">
        <v>41.0</v>
      </c>
      <c r="B53" s="21" t="s">
        <v>98</v>
      </c>
      <c r="C53" s="27" t="s">
        <v>99</v>
      </c>
      <c r="D53" s="111">
        <f>Th_CSE_SDP!AP51</f>
        <v>35</v>
      </c>
      <c r="E53" s="117" t="str">
        <f>th_cse_ab!AC11</f>
        <v>#REF!</v>
      </c>
      <c r="F53" s="118">
        <f t="shared" si="1"/>
        <v>35</v>
      </c>
      <c r="G53" s="118">
        <f>LAB_B2!O14</f>
        <v>10</v>
      </c>
      <c r="H53" s="32">
        <f>Th_CSE_SDP!AR51</f>
        <v>35</v>
      </c>
      <c r="I53" s="119">
        <f t="shared" si="2"/>
        <v>45</v>
      </c>
      <c r="J53" s="119">
        <f>LAB_B2!Q14</f>
        <v>10</v>
      </c>
      <c r="K53" s="119">
        <f t="shared" si="3"/>
        <v>45</v>
      </c>
      <c r="L53" s="114">
        <f t="shared" si="4"/>
        <v>100</v>
      </c>
      <c r="M53" s="114">
        <f t="shared" si="5"/>
        <v>100</v>
      </c>
      <c r="N53" s="115">
        <f t="shared" si="6"/>
        <v>100</v>
      </c>
    </row>
    <row r="54" ht="15.75" customHeight="1">
      <c r="A54" s="116">
        <v>42.0</v>
      </c>
      <c r="B54" s="21" t="s">
        <v>100</v>
      </c>
      <c r="C54" s="27" t="s">
        <v>101</v>
      </c>
      <c r="D54" s="111">
        <f>Th_CSE_SDP!AP52</f>
        <v>34</v>
      </c>
      <c r="E54" s="117" t="str">
        <f>th_cse_ab!AC11</f>
        <v>#REF!</v>
      </c>
      <c r="F54" s="118">
        <f t="shared" si="1"/>
        <v>34</v>
      </c>
      <c r="G54" s="118">
        <f>LAB_B2!O15</f>
        <v>9</v>
      </c>
      <c r="H54" s="32">
        <f>Th_CSE_SDP!AR52</f>
        <v>35</v>
      </c>
      <c r="I54" s="119">
        <f t="shared" si="2"/>
        <v>43</v>
      </c>
      <c r="J54" s="119">
        <f>LAB_B2!Q15</f>
        <v>10</v>
      </c>
      <c r="K54" s="119">
        <f t="shared" si="3"/>
        <v>45</v>
      </c>
      <c r="L54" s="114">
        <f t="shared" si="4"/>
        <v>97.14285714</v>
      </c>
      <c r="M54" s="114">
        <f t="shared" si="5"/>
        <v>90</v>
      </c>
      <c r="N54" s="115">
        <f t="shared" si="6"/>
        <v>95.55555556</v>
      </c>
    </row>
    <row r="55" ht="15.75" customHeight="1">
      <c r="A55" s="116">
        <v>43.0</v>
      </c>
      <c r="B55" s="21" t="s">
        <v>102</v>
      </c>
      <c r="C55" s="27" t="s">
        <v>103</v>
      </c>
      <c r="D55" s="111">
        <f>Th_CSE_SDP!AP53</f>
        <v>0</v>
      </c>
      <c r="E55" s="117" t="str">
        <f>th_cse_ab!AC11</f>
        <v>#REF!</v>
      </c>
      <c r="F55" s="118">
        <f t="shared" si="1"/>
        <v>0</v>
      </c>
      <c r="G55" s="118">
        <f>LAB_B2!O16</f>
        <v>0</v>
      </c>
      <c r="H55" s="32">
        <f>Th_CSE_SDP!AR53</f>
        <v>35</v>
      </c>
      <c r="I55" s="119">
        <f t="shared" si="2"/>
        <v>0</v>
      </c>
      <c r="J55" s="119">
        <f>LAB_B2!Q16</f>
        <v>10</v>
      </c>
      <c r="K55" s="119">
        <f t="shared" si="3"/>
        <v>45</v>
      </c>
      <c r="L55" s="114">
        <f t="shared" si="4"/>
        <v>0</v>
      </c>
      <c r="M55" s="114">
        <f t="shared" si="5"/>
        <v>0</v>
      </c>
      <c r="N55" s="115">
        <f t="shared" si="6"/>
        <v>0</v>
      </c>
    </row>
    <row r="56" ht="15.75" customHeight="1">
      <c r="A56" s="116">
        <v>44.0</v>
      </c>
      <c r="B56" s="21" t="s">
        <v>104</v>
      </c>
      <c r="C56" s="27" t="s">
        <v>105</v>
      </c>
      <c r="D56" s="111">
        <f>Th_CSE_SDP!AP54</f>
        <v>35</v>
      </c>
      <c r="E56" s="117" t="str">
        <f>th_cse_ab!AC11</f>
        <v>#REF!</v>
      </c>
      <c r="F56" s="118">
        <f t="shared" si="1"/>
        <v>35</v>
      </c>
      <c r="G56" s="118">
        <f>LAB_B2!O17</f>
        <v>10</v>
      </c>
      <c r="H56" s="32">
        <f>Th_CSE_SDP!AR54</f>
        <v>35</v>
      </c>
      <c r="I56" s="119">
        <f t="shared" si="2"/>
        <v>45</v>
      </c>
      <c r="J56" s="119">
        <f>LAB_B2!Q17</f>
        <v>10</v>
      </c>
      <c r="K56" s="119">
        <f t="shared" si="3"/>
        <v>45</v>
      </c>
      <c r="L56" s="114">
        <f t="shared" si="4"/>
        <v>100</v>
      </c>
      <c r="M56" s="114">
        <f t="shared" si="5"/>
        <v>100</v>
      </c>
      <c r="N56" s="115">
        <f t="shared" si="6"/>
        <v>100</v>
      </c>
    </row>
    <row r="57" ht="15.75" customHeight="1">
      <c r="A57" s="116">
        <v>45.0</v>
      </c>
      <c r="B57" s="21" t="s">
        <v>106</v>
      </c>
      <c r="C57" s="27" t="s">
        <v>107</v>
      </c>
      <c r="D57" s="111">
        <f>Th_CSE_SDP!AP55</f>
        <v>33</v>
      </c>
      <c r="E57" s="117" t="str">
        <f>th_cse_ab!AC11</f>
        <v>#REF!</v>
      </c>
      <c r="F57" s="118">
        <f t="shared" si="1"/>
        <v>33</v>
      </c>
      <c r="G57" s="118">
        <f>LAB_B2!O18</f>
        <v>10</v>
      </c>
      <c r="H57" s="32">
        <f>Th_CSE_SDP!AR55</f>
        <v>35</v>
      </c>
      <c r="I57" s="119">
        <f t="shared" si="2"/>
        <v>43</v>
      </c>
      <c r="J57" s="119">
        <f>LAB_B2!Q18</f>
        <v>10</v>
      </c>
      <c r="K57" s="119">
        <f t="shared" si="3"/>
        <v>45</v>
      </c>
      <c r="L57" s="114">
        <f t="shared" si="4"/>
        <v>94.28571429</v>
      </c>
      <c r="M57" s="114">
        <f t="shared" si="5"/>
        <v>100</v>
      </c>
      <c r="N57" s="115">
        <f t="shared" si="6"/>
        <v>95.55555556</v>
      </c>
    </row>
    <row r="58" ht="15.75" customHeight="1">
      <c r="A58" s="116">
        <v>46.0</v>
      </c>
      <c r="B58" s="21" t="s">
        <v>108</v>
      </c>
      <c r="C58" s="27" t="s">
        <v>109</v>
      </c>
      <c r="D58" s="111">
        <f>Th_CSE_SDP!AP56</f>
        <v>34</v>
      </c>
      <c r="E58" s="117" t="str">
        <f>th_cse_ab!AC11</f>
        <v>#REF!</v>
      </c>
      <c r="F58" s="118">
        <f t="shared" si="1"/>
        <v>34</v>
      </c>
      <c r="G58" s="118">
        <f>LAB_B2!O19</f>
        <v>10</v>
      </c>
      <c r="H58" s="32">
        <f>Th_CSE_SDP!AR56</f>
        <v>35</v>
      </c>
      <c r="I58" s="119">
        <f t="shared" si="2"/>
        <v>44</v>
      </c>
      <c r="J58" s="119">
        <f>LAB_B2!Q19</f>
        <v>10</v>
      </c>
      <c r="K58" s="119">
        <f t="shared" si="3"/>
        <v>45</v>
      </c>
      <c r="L58" s="114">
        <f t="shared" si="4"/>
        <v>97.14285714</v>
      </c>
      <c r="M58" s="114">
        <f t="shared" si="5"/>
        <v>100</v>
      </c>
      <c r="N58" s="115">
        <f t="shared" si="6"/>
        <v>97.77777778</v>
      </c>
    </row>
    <row r="59" ht="15.75" customHeight="1">
      <c r="A59" s="116">
        <v>47.0</v>
      </c>
      <c r="B59" s="21" t="s">
        <v>110</v>
      </c>
      <c r="C59" s="27" t="s">
        <v>111</v>
      </c>
      <c r="D59" s="111">
        <f>Th_CSE_SDP!AP57</f>
        <v>33</v>
      </c>
      <c r="E59" s="117" t="str">
        <f>th_cse_ab!AC11</f>
        <v>#REF!</v>
      </c>
      <c r="F59" s="118">
        <f t="shared" si="1"/>
        <v>33</v>
      </c>
      <c r="G59" s="118">
        <f>LAB_B2!O20</f>
        <v>9</v>
      </c>
      <c r="H59" s="32">
        <f>Th_CSE_SDP!AR57</f>
        <v>35</v>
      </c>
      <c r="I59" s="119">
        <f t="shared" si="2"/>
        <v>42</v>
      </c>
      <c r="J59" s="119">
        <f>LAB_B2!Q20</f>
        <v>10</v>
      </c>
      <c r="K59" s="119">
        <f t="shared" si="3"/>
        <v>45</v>
      </c>
      <c r="L59" s="114">
        <f t="shared" si="4"/>
        <v>94.28571429</v>
      </c>
      <c r="M59" s="114">
        <f t="shared" si="5"/>
        <v>90</v>
      </c>
      <c r="N59" s="115">
        <f t="shared" si="6"/>
        <v>93.33333333</v>
      </c>
    </row>
    <row r="60" ht="15.75" customHeight="1">
      <c r="A60" s="116">
        <v>48.0</v>
      </c>
      <c r="B60" s="21" t="s">
        <v>112</v>
      </c>
      <c r="C60" s="27" t="s">
        <v>113</v>
      </c>
      <c r="D60" s="111">
        <f>Th_CSE_SDP!AP58</f>
        <v>35</v>
      </c>
      <c r="E60" s="117" t="str">
        <f>th_cse_ab!AC11</f>
        <v>#REF!</v>
      </c>
      <c r="F60" s="118">
        <f t="shared" si="1"/>
        <v>35</v>
      </c>
      <c r="G60" s="118">
        <f>LAB_B2!O21</f>
        <v>9</v>
      </c>
      <c r="H60" s="32">
        <f>Th_CSE_SDP!AR58</f>
        <v>35</v>
      </c>
      <c r="I60" s="119">
        <f t="shared" si="2"/>
        <v>44</v>
      </c>
      <c r="J60" s="119">
        <f>LAB_B2!Q21</f>
        <v>10</v>
      </c>
      <c r="K60" s="119">
        <f t="shared" si="3"/>
        <v>45</v>
      </c>
      <c r="L60" s="114">
        <f t="shared" si="4"/>
        <v>100</v>
      </c>
      <c r="M60" s="114">
        <f t="shared" si="5"/>
        <v>90</v>
      </c>
      <c r="N60" s="115">
        <f t="shared" si="6"/>
        <v>97.77777778</v>
      </c>
    </row>
    <row r="61" ht="15.75" customHeight="1">
      <c r="A61" s="116">
        <v>49.0</v>
      </c>
      <c r="B61" s="21" t="s">
        <v>114</v>
      </c>
      <c r="C61" s="27" t="s">
        <v>115</v>
      </c>
      <c r="D61" s="111">
        <f>Th_CSE_SDP!AP59</f>
        <v>34</v>
      </c>
      <c r="E61" s="117" t="str">
        <f>th_cse_ab!AC11</f>
        <v>#REF!</v>
      </c>
      <c r="F61" s="118">
        <f t="shared" si="1"/>
        <v>34</v>
      </c>
      <c r="G61" s="118">
        <f>LAB_B2!O22</f>
        <v>10</v>
      </c>
      <c r="H61" s="32">
        <f>Th_CSE_SDP!AR59</f>
        <v>35</v>
      </c>
      <c r="I61" s="119">
        <f t="shared" si="2"/>
        <v>44</v>
      </c>
      <c r="J61" s="119">
        <f>LAB_B2!Q22</f>
        <v>10</v>
      </c>
      <c r="K61" s="119">
        <f t="shared" si="3"/>
        <v>45</v>
      </c>
      <c r="L61" s="114">
        <f t="shared" si="4"/>
        <v>97.14285714</v>
      </c>
      <c r="M61" s="114">
        <f t="shared" si="5"/>
        <v>100</v>
      </c>
      <c r="N61" s="115">
        <f t="shared" si="6"/>
        <v>97.77777778</v>
      </c>
    </row>
    <row r="62" ht="15.75" customHeight="1">
      <c r="A62" s="116">
        <v>50.0</v>
      </c>
      <c r="B62" s="21" t="s">
        <v>116</v>
      </c>
      <c r="C62" s="27" t="s">
        <v>117</v>
      </c>
      <c r="D62" s="111">
        <f>Th_CSE_SDP!AP60</f>
        <v>34</v>
      </c>
      <c r="E62" s="117" t="str">
        <f>th_cse_ab!AC11</f>
        <v>#REF!</v>
      </c>
      <c r="F62" s="118">
        <f t="shared" si="1"/>
        <v>34</v>
      </c>
      <c r="G62" s="118">
        <f>LAB_B2!O23</f>
        <v>9</v>
      </c>
      <c r="H62" s="32">
        <f>Th_CSE_SDP!AR60</f>
        <v>35</v>
      </c>
      <c r="I62" s="119">
        <f t="shared" si="2"/>
        <v>43</v>
      </c>
      <c r="J62" s="119">
        <f>LAB_B2!Q23</f>
        <v>10</v>
      </c>
      <c r="K62" s="119">
        <f t="shared" si="3"/>
        <v>45</v>
      </c>
      <c r="L62" s="114">
        <f t="shared" si="4"/>
        <v>97.14285714</v>
      </c>
      <c r="M62" s="114">
        <f t="shared" si="5"/>
        <v>90</v>
      </c>
      <c r="N62" s="115">
        <f t="shared" si="6"/>
        <v>95.55555556</v>
      </c>
    </row>
    <row r="63" ht="15.75" customHeight="1">
      <c r="A63" s="116">
        <v>51.0</v>
      </c>
      <c r="B63" s="21" t="s">
        <v>118</v>
      </c>
      <c r="C63" s="27" t="s">
        <v>119</v>
      </c>
      <c r="D63" s="111">
        <f>Th_CSE_SDP!AP61</f>
        <v>34</v>
      </c>
      <c r="E63" s="117" t="str">
        <f>th_cse_ab!AC11</f>
        <v>#REF!</v>
      </c>
      <c r="F63" s="118">
        <f t="shared" si="1"/>
        <v>34</v>
      </c>
      <c r="G63" s="118">
        <f>LAB_B2!O24</f>
        <v>10</v>
      </c>
      <c r="H63" s="32">
        <f>Th_CSE_SDP!AR61</f>
        <v>35</v>
      </c>
      <c r="I63" s="119">
        <f t="shared" si="2"/>
        <v>44</v>
      </c>
      <c r="J63" s="119">
        <f>LAB_B2!Q24</f>
        <v>10</v>
      </c>
      <c r="K63" s="119">
        <f t="shared" si="3"/>
        <v>45</v>
      </c>
      <c r="L63" s="114">
        <f t="shared" si="4"/>
        <v>97.14285714</v>
      </c>
      <c r="M63" s="114">
        <f t="shared" si="5"/>
        <v>100</v>
      </c>
      <c r="N63" s="115">
        <f t="shared" si="6"/>
        <v>97.77777778</v>
      </c>
    </row>
    <row r="64" ht="15.75" customHeight="1">
      <c r="A64" s="116">
        <v>52.0</v>
      </c>
      <c r="B64" s="21" t="s">
        <v>120</v>
      </c>
      <c r="C64" s="27" t="s">
        <v>121</v>
      </c>
      <c r="D64" s="111">
        <f>Th_CSE_SDP!AP62</f>
        <v>35</v>
      </c>
      <c r="E64" s="117" t="str">
        <f>th_cse_ab!AC11</f>
        <v>#REF!</v>
      </c>
      <c r="F64" s="118">
        <f t="shared" si="1"/>
        <v>35</v>
      </c>
      <c r="G64" s="118">
        <f>LAB_B2!O25</f>
        <v>10</v>
      </c>
      <c r="H64" s="32">
        <f>Th_CSE_SDP!AR62</f>
        <v>35</v>
      </c>
      <c r="I64" s="119">
        <f t="shared" si="2"/>
        <v>45</v>
      </c>
      <c r="J64" s="119">
        <f>LAB_B2!Q25</f>
        <v>10</v>
      </c>
      <c r="K64" s="119">
        <f t="shared" si="3"/>
        <v>45</v>
      </c>
      <c r="L64" s="114">
        <f t="shared" si="4"/>
        <v>100</v>
      </c>
      <c r="M64" s="114">
        <f t="shared" si="5"/>
        <v>100</v>
      </c>
      <c r="N64" s="115">
        <f t="shared" si="6"/>
        <v>100</v>
      </c>
    </row>
    <row r="65" ht="15.75" customHeight="1">
      <c r="A65" s="116">
        <v>53.0</v>
      </c>
      <c r="B65" s="21" t="s">
        <v>122</v>
      </c>
      <c r="C65" s="27" t="s">
        <v>123</v>
      </c>
      <c r="D65" s="111">
        <f>Th_CSE_SDP!AP63</f>
        <v>35</v>
      </c>
      <c r="E65" s="117" t="str">
        <f>th_cse_ab!AC11</f>
        <v>#REF!</v>
      </c>
      <c r="F65" s="118">
        <f t="shared" si="1"/>
        <v>35</v>
      </c>
      <c r="G65" s="118">
        <f>LAB_B2!O26</f>
        <v>9</v>
      </c>
      <c r="H65" s="32">
        <f>Th_CSE_SDP!AR63</f>
        <v>35</v>
      </c>
      <c r="I65" s="119">
        <f t="shared" si="2"/>
        <v>44</v>
      </c>
      <c r="J65" s="119">
        <f>LAB_B2!Q26</f>
        <v>10</v>
      </c>
      <c r="K65" s="119">
        <f t="shared" si="3"/>
        <v>45</v>
      </c>
      <c r="L65" s="114">
        <f t="shared" si="4"/>
        <v>100</v>
      </c>
      <c r="M65" s="114">
        <f t="shared" si="5"/>
        <v>90</v>
      </c>
      <c r="N65" s="115">
        <f t="shared" si="6"/>
        <v>97.77777778</v>
      </c>
    </row>
    <row r="66" ht="15.75" customHeight="1">
      <c r="A66" s="116">
        <v>54.0</v>
      </c>
      <c r="B66" s="21" t="s">
        <v>124</v>
      </c>
      <c r="C66" s="27" t="s">
        <v>125</v>
      </c>
      <c r="D66" s="111">
        <f>Th_CSE_SDP!AP64</f>
        <v>34</v>
      </c>
      <c r="E66" s="117" t="str">
        <f>th_cse_ab!AC11</f>
        <v>#REF!</v>
      </c>
      <c r="F66" s="118">
        <f t="shared" si="1"/>
        <v>34</v>
      </c>
      <c r="G66" s="118">
        <f>LAB_B2!O27</f>
        <v>10</v>
      </c>
      <c r="H66" s="32">
        <f>Th_CSE_SDP!AR64</f>
        <v>35</v>
      </c>
      <c r="I66" s="119">
        <f t="shared" si="2"/>
        <v>44</v>
      </c>
      <c r="J66" s="119">
        <f>LAB_B2!Q27</f>
        <v>10</v>
      </c>
      <c r="K66" s="119">
        <f t="shared" si="3"/>
        <v>45</v>
      </c>
      <c r="L66" s="114">
        <f t="shared" si="4"/>
        <v>97.14285714</v>
      </c>
      <c r="M66" s="114">
        <f t="shared" si="5"/>
        <v>100</v>
      </c>
      <c r="N66" s="115">
        <f t="shared" si="6"/>
        <v>97.77777778</v>
      </c>
    </row>
    <row r="67" ht="15.75" customHeight="1">
      <c r="A67" s="116">
        <v>55.0</v>
      </c>
      <c r="B67" s="21" t="s">
        <v>126</v>
      </c>
      <c r="C67" s="27" t="s">
        <v>127</v>
      </c>
      <c r="D67" s="111">
        <f>Th_CSE_SDP!AP65</f>
        <v>34</v>
      </c>
      <c r="E67" s="117" t="str">
        <f>th_cse_ab!AC11</f>
        <v>#REF!</v>
      </c>
      <c r="F67" s="118">
        <f t="shared" si="1"/>
        <v>34</v>
      </c>
      <c r="G67" s="118">
        <f>LAB_B2!O28</f>
        <v>9</v>
      </c>
      <c r="H67" s="32">
        <f>Th_CSE_SDP!AR65</f>
        <v>35</v>
      </c>
      <c r="I67" s="119">
        <f t="shared" si="2"/>
        <v>43</v>
      </c>
      <c r="J67" s="119">
        <f>LAB_B2!Q28</f>
        <v>10</v>
      </c>
      <c r="K67" s="119">
        <f t="shared" si="3"/>
        <v>45</v>
      </c>
      <c r="L67" s="114">
        <f t="shared" si="4"/>
        <v>97.14285714</v>
      </c>
      <c r="M67" s="114">
        <f t="shared" si="5"/>
        <v>90</v>
      </c>
      <c r="N67" s="115">
        <f t="shared" si="6"/>
        <v>95.55555556</v>
      </c>
    </row>
    <row r="68" ht="15.75" customHeight="1">
      <c r="A68" s="116">
        <v>56.0</v>
      </c>
      <c r="B68" s="21" t="s">
        <v>128</v>
      </c>
      <c r="C68" s="27" t="s">
        <v>129</v>
      </c>
      <c r="D68" s="111">
        <f>Th_CSE_SDP!AP66</f>
        <v>35</v>
      </c>
      <c r="E68" s="117" t="str">
        <f>th_cse_ab!AC11</f>
        <v>#REF!</v>
      </c>
      <c r="F68" s="118">
        <f t="shared" si="1"/>
        <v>35</v>
      </c>
      <c r="G68" s="118">
        <f>LAB_B2!O29</f>
        <v>10</v>
      </c>
      <c r="H68" s="32">
        <f>Th_CSE_SDP!AR66</f>
        <v>35</v>
      </c>
      <c r="I68" s="119">
        <f t="shared" si="2"/>
        <v>45</v>
      </c>
      <c r="J68" s="119">
        <f>LAB_B2!Q29</f>
        <v>10</v>
      </c>
      <c r="K68" s="119">
        <f t="shared" si="3"/>
        <v>45</v>
      </c>
      <c r="L68" s="114">
        <f t="shared" si="4"/>
        <v>100</v>
      </c>
      <c r="M68" s="114">
        <f t="shared" si="5"/>
        <v>100</v>
      </c>
      <c r="N68" s="115">
        <f t="shared" si="6"/>
        <v>100</v>
      </c>
    </row>
    <row r="69" ht="15.75" customHeight="1">
      <c r="A69" s="116">
        <v>57.0</v>
      </c>
      <c r="B69" s="21" t="s">
        <v>130</v>
      </c>
      <c r="C69" s="27" t="s">
        <v>131</v>
      </c>
      <c r="D69" s="111">
        <f>Th_CSE_SDP!AP67</f>
        <v>34</v>
      </c>
      <c r="E69" s="117" t="str">
        <f>th_cse_ab!AC11</f>
        <v>#REF!</v>
      </c>
      <c r="F69" s="118">
        <f t="shared" si="1"/>
        <v>34</v>
      </c>
      <c r="G69" s="118">
        <f>LAB_B2!O30</f>
        <v>10</v>
      </c>
      <c r="H69" s="32">
        <f>Th_CSE_SDP!AR67</f>
        <v>35</v>
      </c>
      <c r="I69" s="119">
        <f t="shared" si="2"/>
        <v>44</v>
      </c>
      <c r="J69" s="119">
        <f>LAB_B2!Q30</f>
        <v>10</v>
      </c>
      <c r="K69" s="119">
        <f t="shared" si="3"/>
        <v>45</v>
      </c>
      <c r="L69" s="114">
        <f t="shared" si="4"/>
        <v>97.14285714</v>
      </c>
      <c r="M69" s="114">
        <f t="shared" si="5"/>
        <v>100</v>
      </c>
      <c r="N69" s="115">
        <f t="shared" si="6"/>
        <v>97.77777778</v>
      </c>
    </row>
    <row r="70" ht="15.75" customHeight="1">
      <c r="A70" s="116">
        <v>58.0</v>
      </c>
      <c r="B70" s="21" t="s">
        <v>132</v>
      </c>
      <c r="C70" s="27" t="s">
        <v>133</v>
      </c>
      <c r="D70" s="111">
        <f>Th_CSE_SDP!AP68</f>
        <v>33</v>
      </c>
      <c r="E70" s="117" t="str">
        <f>th_cse_ab!AC11</f>
        <v>#REF!</v>
      </c>
      <c r="F70" s="118">
        <f t="shared" si="1"/>
        <v>33</v>
      </c>
      <c r="G70" s="118">
        <f>LAB_B2!O31</f>
        <v>9</v>
      </c>
      <c r="H70" s="32">
        <f>Th_CSE_SDP!AR68</f>
        <v>35</v>
      </c>
      <c r="I70" s="119">
        <f t="shared" si="2"/>
        <v>42</v>
      </c>
      <c r="J70" s="119">
        <f>LAB_B2!Q31</f>
        <v>10</v>
      </c>
      <c r="K70" s="119">
        <f t="shared" si="3"/>
        <v>45</v>
      </c>
      <c r="L70" s="114">
        <f t="shared" si="4"/>
        <v>94.28571429</v>
      </c>
      <c r="M70" s="114">
        <f t="shared" si="5"/>
        <v>90</v>
      </c>
      <c r="N70" s="115">
        <f t="shared" si="6"/>
        <v>93.33333333</v>
      </c>
    </row>
    <row r="71" ht="15.75" customHeight="1">
      <c r="A71" s="116">
        <v>59.0</v>
      </c>
      <c r="B71" s="21" t="s">
        <v>134</v>
      </c>
      <c r="C71" s="27" t="s">
        <v>135</v>
      </c>
      <c r="D71" s="111">
        <f>Th_CSE_SDP!AP69</f>
        <v>34</v>
      </c>
      <c r="E71" s="117" t="str">
        <f>th_cse_ab!AC11</f>
        <v>#REF!</v>
      </c>
      <c r="F71" s="118">
        <f t="shared" si="1"/>
        <v>34</v>
      </c>
      <c r="G71" s="118">
        <f>LAB_B2!O32</f>
        <v>10</v>
      </c>
      <c r="H71" s="32">
        <f>Th_CSE_SDP!AR69</f>
        <v>35</v>
      </c>
      <c r="I71" s="119">
        <f t="shared" si="2"/>
        <v>44</v>
      </c>
      <c r="J71" s="119">
        <f>LAB_B2!Q32</f>
        <v>10</v>
      </c>
      <c r="K71" s="119">
        <f t="shared" si="3"/>
        <v>45</v>
      </c>
      <c r="L71" s="114">
        <f t="shared" si="4"/>
        <v>97.14285714</v>
      </c>
      <c r="M71" s="114">
        <f t="shared" si="5"/>
        <v>100</v>
      </c>
      <c r="N71" s="115">
        <f t="shared" si="6"/>
        <v>97.77777778</v>
      </c>
    </row>
    <row r="72" ht="15.75" customHeight="1">
      <c r="A72" s="116">
        <v>60.0</v>
      </c>
      <c r="B72" s="21" t="s">
        <v>136</v>
      </c>
      <c r="C72" s="27" t="s">
        <v>137</v>
      </c>
      <c r="D72" s="111">
        <f>Th_CSE_SDP!AP70</f>
        <v>34</v>
      </c>
      <c r="E72" s="117" t="str">
        <f>th_cse_ab!AC11</f>
        <v>#REF!</v>
      </c>
      <c r="F72" s="118">
        <f t="shared" si="1"/>
        <v>34</v>
      </c>
      <c r="G72" s="118">
        <f>LAB_B2!O33</f>
        <v>10</v>
      </c>
      <c r="H72" s="32">
        <f>Th_CSE_SDP!AR70</f>
        <v>35</v>
      </c>
      <c r="I72" s="119">
        <f t="shared" si="2"/>
        <v>44</v>
      </c>
      <c r="J72" s="119">
        <f>LAB_B2!Q33</f>
        <v>10</v>
      </c>
      <c r="K72" s="119">
        <f t="shared" si="3"/>
        <v>45</v>
      </c>
      <c r="L72" s="114">
        <f t="shared" si="4"/>
        <v>97.14285714</v>
      </c>
      <c r="M72" s="114">
        <f t="shared" si="5"/>
        <v>100</v>
      </c>
      <c r="N72" s="115">
        <f t="shared" si="6"/>
        <v>97.77777778</v>
      </c>
    </row>
    <row r="73" ht="15.75" customHeight="1">
      <c r="A73" s="116">
        <v>61.0</v>
      </c>
      <c r="B73" s="21" t="s">
        <v>138</v>
      </c>
      <c r="C73" s="27" t="s">
        <v>139</v>
      </c>
      <c r="D73" s="111">
        <f>Th_CSE_SDP!AP71</f>
        <v>35</v>
      </c>
      <c r="E73" s="117" t="str">
        <f>th_cse_ab!AC11</f>
        <v>#REF!</v>
      </c>
      <c r="F73" s="118">
        <f t="shared" si="1"/>
        <v>35</v>
      </c>
      <c r="G73" s="118">
        <f>LAB_B2!O34</f>
        <v>10</v>
      </c>
      <c r="H73" s="32">
        <f>Th_CSE_SDP!AR71</f>
        <v>35</v>
      </c>
      <c r="I73" s="119">
        <f t="shared" si="2"/>
        <v>45</v>
      </c>
      <c r="J73" s="119">
        <f>LAB_B2!Q34</f>
        <v>10</v>
      </c>
      <c r="K73" s="119">
        <f t="shared" si="3"/>
        <v>45</v>
      </c>
      <c r="L73" s="114">
        <f t="shared" si="4"/>
        <v>100</v>
      </c>
      <c r="M73" s="114">
        <f t="shared" si="5"/>
        <v>100</v>
      </c>
      <c r="N73" s="115">
        <f t="shared" si="6"/>
        <v>100</v>
      </c>
    </row>
    <row r="74" ht="15.75" customHeight="1">
      <c r="A74" s="116">
        <v>62.0</v>
      </c>
      <c r="B74" s="21" t="s">
        <v>140</v>
      </c>
      <c r="C74" s="27" t="s">
        <v>141</v>
      </c>
      <c r="D74" s="111">
        <f>Th_CSE_SDP!AP72</f>
        <v>35</v>
      </c>
      <c r="E74" s="117" t="str">
        <f>th_cse_ab!AC11</f>
        <v>#REF!</v>
      </c>
      <c r="F74" s="118">
        <f t="shared" si="1"/>
        <v>35</v>
      </c>
      <c r="G74" s="118">
        <f>LAB_B2!O35</f>
        <v>10</v>
      </c>
      <c r="H74" s="32">
        <f>Th_CSE_SDP!AR72</f>
        <v>35</v>
      </c>
      <c r="I74" s="119">
        <f t="shared" si="2"/>
        <v>45</v>
      </c>
      <c r="J74" s="119">
        <f>LAB_B2!Q35</f>
        <v>10</v>
      </c>
      <c r="K74" s="119">
        <f t="shared" si="3"/>
        <v>45</v>
      </c>
      <c r="L74" s="114">
        <f t="shared" si="4"/>
        <v>100</v>
      </c>
      <c r="M74" s="114">
        <f t="shared" si="5"/>
        <v>100</v>
      </c>
      <c r="N74" s="115">
        <f t="shared" si="6"/>
        <v>100</v>
      </c>
    </row>
    <row r="75" ht="15.75" customHeight="1">
      <c r="A75" s="116">
        <v>63.0</v>
      </c>
      <c r="B75" s="21" t="s">
        <v>142</v>
      </c>
      <c r="C75" s="27" t="s">
        <v>143</v>
      </c>
      <c r="D75" s="111">
        <f>Th_CSE_SDP!AP73</f>
        <v>35</v>
      </c>
      <c r="E75" s="117" t="str">
        <f>th_cse_ab!AC11</f>
        <v>#REF!</v>
      </c>
      <c r="F75" s="118">
        <f t="shared" si="1"/>
        <v>35</v>
      </c>
      <c r="G75" s="118">
        <f>LAB_B2!O36</f>
        <v>9</v>
      </c>
      <c r="H75" s="32">
        <f>Th_CSE_SDP!AR73</f>
        <v>35</v>
      </c>
      <c r="I75" s="119">
        <f t="shared" si="2"/>
        <v>44</v>
      </c>
      <c r="J75" s="119">
        <f>LAB_B2!Q36</f>
        <v>10</v>
      </c>
      <c r="K75" s="119">
        <f t="shared" si="3"/>
        <v>45</v>
      </c>
      <c r="L75" s="114">
        <f t="shared" si="4"/>
        <v>100</v>
      </c>
      <c r="M75" s="114">
        <f t="shared" si="5"/>
        <v>90</v>
      </c>
      <c r="N75" s="115">
        <f t="shared" si="6"/>
        <v>97.77777778</v>
      </c>
    </row>
    <row r="76" ht="15.75" customHeight="1">
      <c r="A76" s="116">
        <v>64.0</v>
      </c>
      <c r="B76" s="21" t="s">
        <v>144</v>
      </c>
      <c r="C76" s="27" t="s">
        <v>145</v>
      </c>
      <c r="D76" s="111">
        <f>Th_CSE_SDP!AP74</f>
        <v>34</v>
      </c>
      <c r="E76" s="117" t="str">
        <f>th_cse_ab!AC11</f>
        <v>#REF!</v>
      </c>
      <c r="F76" s="118">
        <f t="shared" si="1"/>
        <v>34</v>
      </c>
      <c r="G76" s="118">
        <f>LAB_B2!O37</f>
        <v>9</v>
      </c>
      <c r="H76" s="32">
        <f>Th_CSE_SDP!AR74</f>
        <v>35</v>
      </c>
      <c r="I76" s="119">
        <f t="shared" si="2"/>
        <v>43</v>
      </c>
      <c r="J76" s="119">
        <f>LAB_B2!Q37</f>
        <v>10</v>
      </c>
      <c r="K76" s="119">
        <f t="shared" si="3"/>
        <v>45</v>
      </c>
      <c r="L76" s="114">
        <f t="shared" si="4"/>
        <v>97.14285714</v>
      </c>
      <c r="M76" s="114">
        <f t="shared" si="5"/>
        <v>90</v>
      </c>
      <c r="N76" s="115">
        <f t="shared" si="6"/>
        <v>95.55555556</v>
      </c>
    </row>
    <row r="77" ht="15.75" customHeight="1">
      <c r="A77" s="116">
        <v>65.0</v>
      </c>
      <c r="B77" s="21" t="s">
        <v>146</v>
      </c>
      <c r="C77" s="27" t="s">
        <v>147</v>
      </c>
      <c r="D77" s="111">
        <f>Th_CSE_SDP!AP75</f>
        <v>34</v>
      </c>
      <c r="E77" s="117" t="str">
        <f>th_cse_ab!AC11</f>
        <v>#REF!</v>
      </c>
      <c r="F77" s="118">
        <f t="shared" si="1"/>
        <v>34</v>
      </c>
      <c r="G77" s="118">
        <f>LAB_B2!O38</f>
        <v>9</v>
      </c>
      <c r="H77" s="32">
        <f>Th_CSE_SDP!AR75</f>
        <v>35</v>
      </c>
      <c r="I77" s="119">
        <f t="shared" si="2"/>
        <v>43</v>
      </c>
      <c r="J77" s="119">
        <f>LAB_B2!Q38</f>
        <v>10</v>
      </c>
      <c r="K77" s="119">
        <f t="shared" si="3"/>
        <v>45</v>
      </c>
      <c r="L77" s="114">
        <f t="shared" si="4"/>
        <v>97.14285714</v>
      </c>
      <c r="M77" s="114">
        <f t="shared" si="5"/>
        <v>90</v>
      </c>
      <c r="N77" s="115">
        <f t="shared" si="6"/>
        <v>95.55555556</v>
      </c>
    </row>
    <row r="78" ht="15.75" customHeight="1">
      <c r="A78" s="116">
        <v>66.0</v>
      </c>
      <c r="B78" s="21" t="s">
        <v>148</v>
      </c>
      <c r="C78" s="27" t="s">
        <v>149</v>
      </c>
      <c r="D78" s="111">
        <f>Th_CSE_SDP!AP76</f>
        <v>33</v>
      </c>
      <c r="E78" s="117" t="str">
        <f>th_cse_ab!AC11</f>
        <v>#REF!</v>
      </c>
      <c r="F78" s="118">
        <f t="shared" si="1"/>
        <v>33</v>
      </c>
      <c r="G78" s="118">
        <f>LAB_B2!O39</f>
        <v>9</v>
      </c>
      <c r="H78" s="32">
        <f>Th_CSE_SDP!AR76</f>
        <v>35</v>
      </c>
      <c r="I78" s="119">
        <f t="shared" si="2"/>
        <v>42</v>
      </c>
      <c r="J78" s="119">
        <f>LAB_B2!Q39</f>
        <v>10</v>
      </c>
      <c r="K78" s="119">
        <f t="shared" si="3"/>
        <v>45</v>
      </c>
      <c r="L78" s="114">
        <f t="shared" si="4"/>
        <v>94.28571429</v>
      </c>
      <c r="M78" s="114">
        <f t="shared" si="5"/>
        <v>90</v>
      </c>
      <c r="N78" s="115">
        <f t="shared" si="6"/>
        <v>93.33333333</v>
      </c>
    </row>
    <row r="79" ht="15.75" customHeight="1">
      <c r="A79" s="116">
        <v>67.0</v>
      </c>
      <c r="B79" s="21" t="s">
        <v>150</v>
      </c>
      <c r="C79" s="27" t="s">
        <v>151</v>
      </c>
      <c r="D79" s="111">
        <f>Th_CSE_SDP!AP77</f>
        <v>33</v>
      </c>
      <c r="E79" s="117" t="str">
        <f>th_cse_ab!AC11</f>
        <v>#REF!</v>
      </c>
      <c r="F79" s="118">
        <f t="shared" si="1"/>
        <v>33</v>
      </c>
      <c r="G79" s="118">
        <f>LAB_B2!O40</f>
        <v>10</v>
      </c>
      <c r="H79" s="32">
        <f>Th_CSE_SDP!AR77</f>
        <v>35</v>
      </c>
      <c r="I79" s="119">
        <f t="shared" si="2"/>
        <v>43</v>
      </c>
      <c r="J79" s="119">
        <f>LAB_B2!Q40</f>
        <v>10</v>
      </c>
      <c r="K79" s="119">
        <f t="shared" si="3"/>
        <v>45</v>
      </c>
      <c r="L79" s="114">
        <f t="shared" si="4"/>
        <v>94.28571429</v>
      </c>
      <c r="M79" s="114">
        <f t="shared" si="5"/>
        <v>100</v>
      </c>
      <c r="N79" s="115">
        <f t="shared" si="6"/>
        <v>95.55555556</v>
      </c>
    </row>
    <row r="80" ht="15.75" customHeight="1">
      <c r="A80" s="116">
        <v>68.0</v>
      </c>
      <c r="B80" s="21" t="s">
        <v>152</v>
      </c>
      <c r="C80" s="27" t="s">
        <v>153</v>
      </c>
      <c r="D80" s="111">
        <f>Th_CSE_SDP!AP78</f>
        <v>35</v>
      </c>
      <c r="E80" s="117" t="str">
        <f>th_cse_ab!AC11</f>
        <v>#REF!</v>
      </c>
      <c r="F80" s="118">
        <f t="shared" si="1"/>
        <v>35</v>
      </c>
      <c r="G80" s="118">
        <f>LAB_B2!O41</f>
        <v>10</v>
      </c>
      <c r="H80" s="32">
        <f>Th_CSE_SDP!AR78</f>
        <v>35</v>
      </c>
      <c r="I80" s="119">
        <f t="shared" si="2"/>
        <v>45</v>
      </c>
      <c r="J80" s="119">
        <f>LAB_B2!Q41</f>
        <v>10</v>
      </c>
      <c r="K80" s="119">
        <f t="shared" si="3"/>
        <v>45</v>
      </c>
      <c r="L80" s="114">
        <f t="shared" si="4"/>
        <v>100</v>
      </c>
      <c r="M80" s="114">
        <f t="shared" si="5"/>
        <v>100</v>
      </c>
      <c r="N80" s="115">
        <f t="shared" si="6"/>
        <v>100</v>
      </c>
    </row>
    <row r="81" ht="15.75" customHeight="1">
      <c r="A81" s="116">
        <v>69.0</v>
      </c>
      <c r="B81" s="90" t="s">
        <v>154</v>
      </c>
      <c r="C81" s="27" t="s">
        <v>155</v>
      </c>
      <c r="D81" s="111">
        <f>Th_CSE_SDP!AP79</f>
        <v>33</v>
      </c>
      <c r="E81" s="117" t="str">
        <f>th_cse_ab!AC11</f>
        <v>#REF!</v>
      </c>
      <c r="F81" s="118">
        <f t="shared" si="1"/>
        <v>33</v>
      </c>
      <c r="G81" s="118">
        <f>LAB_B2!O42</f>
        <v>10</v>
      </c>
      <c r="H81" s="32">
        <f>Th_CSE_SDP!AR79</f>
        <v>35</v>
      </c>
      <c r="I81" s="119">
        <f t="shared" si="2"/>
        <v>43</v>
      </c>
      <c r="J81" s="119">
        <f>LAB_B2!Q42</f>
        <v>10</v>
      </c>
      <c r="K81" s="119">
        <f t="shared" si="3"/>
        <v>45</v>
      </c>
      <c r="L81" s="114">
        <f t="shared" si="4"/>
        <v>94.28571429</v>
      </c>
      <c r="M81" s="114">
        <f t="shared" si="5"/>
        <v>100</v>
      </c>
      <c r="N81" s="115">
        <f t="shared" si="6"/>
        <v>95.55555556</v>
      </c>
    </row>
    <row r="82" ht="15.75" customHeight="1">
      <c r="A82" s="116">
        <v>70.0</v>
      </c>
      <c r="B82" s="36" t="s">
        <v>156</v>
      </c>
      <c r="C82" s="27" t="s">
        <v>157</v>
      </c>
      <c r="D82" s="111">
        <f>Th_CSE_SDP!AP80</f>
        <v>35</v>
      </c>
      <c r="E82" s="117" t="str">
        <f>th_cse_ab!AC11</f>
        <v>#REF!</v>
      </c>
      <c r="F82" s="118">
        <f t="shared" si="1"/>
        <v>35</v>
      </c>
      <c r="G82" s="118">
        <f>LAB_B2!O43</f>
        <v>10</v>
      </c>
      <c r="H82" s="32">
        <f>Th_CSE_SDP!AR80</f>
        <v>35</v>
      </c>
      <c r="I82" s="119">
        <f t="shared" si="2"/>
        <v>45</v>
      </c>
      <c r="J82" s="119">
        <f>LAB_B2!Q43</f>
        <v>10</v>
      </c>
      <c r="K82" s="119">
        <f t="shared" si="3"/>
        <v>45</v>
      </c>
      <c r="L82" s="114">
        <f t="shared" si="4"/>
        <v>100</v>
      </c>
      <c r="M82" s="114">
        <f t="shared" si="5"/>
        <v>100</v>
      </c>
      <c r="N82" s="115">
        <f t="shared" si="6"/>
        <v>100</v>
      </c>
    </row>
    <row r="83" ht="15.75" customHeight="1">
      <c r="A83" s="116">
        <v>71.0</v>
      </c>
      <c r="B83" s="36" t="s">
        <v>158</v>
      </c>
      <c r="C83" s="27" t="s">
        <v>159</v>
      </c>
      <c r="D83" s="111">
        <f>Th_CSE_SDP!AP81</f>
        <v>34</v>
      </c>
      <c r="E83" s="117" t="str">
        <f>th_cse_ab!AC11</f>
        <v>#REF!</v>
      </c>
      <c r="F83" s="118">
        <f t="shared" si="1"/>
        <v>34</v>
      </c>
      <c r="G83" s="118">
        <f>LAB_B2!O44</f>
        <v>9</v>
      </c>
      <c r="H83" s="32">
        <f>Th_CSE_SDP!AR81</f>
        <v>35</v>
      </c>
      <c r="I83" s="119">
        <f t="shared" si="2"/>
        <v>43</v>
      </c>
      <c r="J83" s="119">
        <f>LAB_B2!Q44</f>
        <v>10</v>
      </c>
      <c r="K83" s="119">
        <f t="shared" si="3"/>
        <v>45</v>
      </c>
      <c r="L83" s="114">
        <f t="shared" si="4"/>
        <v>97.14285714</v>
      </c>
      <c r="M83" s="114">
        <f t="shared" si="5"/>
        <v>90</v>
      </c>
      <c r="N83" s="115">
        <f t="shared" si="6"/>
        <v>95.55555556</v>
      </c>
    </row>
    <row r="84" ht="15.75" customHeight="1">
      <c r="A84" s="116">
        <v>72.0</v>
      </c>
      <c r="B84" s="21" t="s">
        <v>160</v>
      </c>
      <c r="C84" s="27" t="s">
        <v>161</v>
      </c>
      <c r="D84" s="111">
        <f>Th_CSE_SDP!AP82</f>
        <v>35</v>
      </c>
      <c r="E84" s="117" t="str">
        <f>th_cse_ab!AC11</f>
        <v>#REF!</v>
      </c>
      <c r="F84" s="118">
        <f t="shared" si="1"/>
        <v>35</v>
      </c>
      <c r="G84" s="118">
        <f>LAB_B2!O45</f>
        <v>9</v>
      </c>
      <c r="H84" s="32">
        <f>Th_CSE_SDP!AR82</f>
        <v>35</v>
      </c>
      <c r="I84" s="119">
        <f t="shared" si="2"/>
        <v>44</v>
      </c>
      <c r="J84" s="119">
        <f>LAB_B2!Q45</f>
        <v>10</v>
      </c>
      <c r="K84" s="119">
        <f t="shared" si="3"/>
        <v>45</v>
      </c>
      <c r="L84" s="114">
        <f t="shared" si="4"/>
        <v>100</v>
      </c>
      <c r="M84" s="114">
        <f t="shared" si="5"/>
        <v>90</v>
      </c>
      <c r="N84" s="115">
        <f t="shared" si="6"/>
        <v>97.77777778</v>
      </c>
    </row>
    <row r="85" ht="15.75" customHeight="1">
      <c r="A85" s="116">
        <v>73.0</v>
      </c>
      <c r="B85" s="21" t="s">
        <v>162</v>
      </c>
      <c r="C85" s="27" t="s">
        <v>163</v>
      </c>
      <c r="D85" s="111">
        <f>Th_CSE_SDP!AP83</f>
        <v>33</v>
      </c>
      <c r="E85" s="117" t="str">
        <f>th_cse_ab!AC11</f>
        <v>#REF!</v>
      </c>
      <c r="F85" s="118">
        <f t="shared" si="1"/>
        <v>33</v>
      </c>
      <c r="G85" s="118">
        <f>LAB_B2!O46</f>
        <v>10</v>
      </c>
      <c r="H85" s="32">
        <f>Th_CSE_SDP!AR83</f>
        <v>35</v>
      </c>
      <c r="I85" s="119">
        <f t="shared" si="2"/>
        <v>43</v>
      </c>
      <c r="J85" s="119">
        <f>LAB_B2!Q46</f>
        <v>10</v>
      </c>
      <c r="K85" s="119">
        <f t="shared" si="3"/>
        <v>45</v>
      </c>
      <c r="L85" s="114">
        <f t="shared" si="4"/>
        <v>94.28571429</v>
      </c>
      <c r="M85" s="114">
        <f t="shared" si="5"/>
        <v>100</v>
      </c>
      <c r="N85" s="115">
        <f t="shared" si="6"/>
        <v>95.55555556</v>
      </c>
    </row>
    <row r="86" ht="15.75" customHeight="1">
      <c r="A86" s="116">
        <v>74.0</v>
      </c>
      <c r="B86" s="21" t="s">
        <v>164</v>
      </c>
      <c r="C86" s="27" t="s">
        <v>165</v>
      </c>
      <c r="D86" s="111">
        <f>Th_CSE_SDP!AP84</f>
        <v>34</v>
      </c>
      <c r="E86" s="117" t="str">
        <f>th_cse_ab!AC11</f>
        <v>#REF!</v>
      </c>
      <c r="F86" s="118">
        <f t="shared" si="1"/>
        <v>34</v>
      </c>
      <c r="G86" s="118">
        <f>LAB_B2!O47</f>
        <v>10</v>
      </c>
      <c r="H86" s="32">
        <f>Th_CSE_SDP!AR84</f>
        <v>34</v>
      </c>
      <c r="I86" s="119">
        <f t="shared" si="2"/>
        <v>44</v>
      </c>
      <c r="J86" s="119">
        <f>LAB_B2!Q47</f>
        <v>10</v>
      </c>
      <c r="K86" s="119">
        <f t="shared" si="3"/>
        <v>44</v>
      </c>
      <c r="L86" s="114">
        <f t="shared" si="4"/>
        <v>100</v>
      </c>
      <c r="M86" s="114">
        <f t="shared" si="5"/>
        <v>100</v>
      </c>
      <c r="N86" s="115">
        <f t="shared" si="6"/>
        <v>100</v>
      </c>
    </row>
    <row r="87" ht="15.75" customHeight="1">
      <c r="A87" s="20">
        <v>75.0</v>
      </c>
      <c r="B87" s="21"/>
      <c r="C87" s="27"/>
      <c r="D87" s="111"/>
      <c r="E87" s="117"/>
      <c r="F87" s="118"/>
      <c r="G87" s="118"/>
      <c r="H87" s="32"/>
      <c r="I87" s="119"/>
      <c r="J87" s="119"/>
      <c r="K87" s="119"/>
      <c r="L87" s="114"/>
      <c r="M87" s="114"/>
      <c r="N87" s="115"/>
    </row>
    <row r="88" ht="15.75" customHeight="1">
      <c r="A88" s="20">
        <v>76.0</v>
      </c>
      <c r="B88" s="21"/>
      <c r="C88" s="27"/>
      <c r="D88" s="111"/>
      <c r="E88" s="117"/>
      <c r="F88" s="118"/>
      <c r="G88" s="118"/>
      <c r="H88" s="32"/>
      <c r="I88" s="119"/>
      <c r="J88" s="119"/>
      <c r="K88" s="119"/>
      <c r="L88" s="114"/>
      <c r="M88" s="114"/>
      <c r="N88" s="115"/>
    </row>
    <row r="89" ht="15.75" customHeight="1">
      <c r="A89" s="20">
        <v>77.0</v>
      </c>
      <c r="B89" s="21"/>
      <c r="C89" s="27"/>
      <c r="D89" s="111"/>
      <c r="E89" s="117"/>
      <c r="F89" s="118"/>
      <c r="G89" s="118"/>
      <c r="H89" s="32"/>
      <c r="I89" s="119"/>
      <c r="J89" s="119"/>
      <c r="K89" s="119"/>
      <c r="L89" s="114"/>
      <c r="M89" s="114"/>
      <c r="N89" s="115"/>
    </row>
    <row r="90" ht="15.75" customHeight="1">
      <c r="A90" s="20">
        <v>78.0</v>
      </c>
      <c r="B90" s="21"/>
      <c r="C90" s="27"/>
      <c r="D90" s="111"/>
      <c r="E90" s="117"/>
      <c r="F90" s="118"/>
      <c r="G90" s="118"/>
      <c r="H90" s="32"/>
      <c r="I90" s="119"/>
      <c r="J90" s="119"/>
      <c r="K90" s="119"/>
      <c r="L90" s="114"/>
      <c r="M90" s="114"/>
      <c r="N90" s="115"/>
    </row>
    <row r="91" ht="15.75" customHeight="1">
      <c r="A91" s="20">
        <v>79.0</v>
      </c>
      <c r="B91" s="21"/>
      <c r="C91" s="27"/>
      <c r="D91" s="111"/>
      <c r="E91" s="117"/>
      <c r="F91" s="118"/>
      <c r="G91" s="118"/>
      <c r="H91" s="32"/>
      <c r="I91" s="119"/>
      <c r="J91" s="119"/>
      <c r="K91" s="119"/>
      <c r="L91" s="114"/>
      <c r="M91" s="114"/>
      <c r="N91" s="115"/>
    </row>
    <row r="92" ht="15.75" customHeight="1">
      <c r="A92" s="20">
        <v>80.0</v>
      </c>
      <c r="B92" s="21"/>
      <c r="C92" s="27"/>
      <c r="D92" s="111"/>
      <c r="E92" s="117"/>
      <c r="F92" s="118"/>
      <c r="G92" s="118"/>
      <c r="H92" s="32"/>
      <c r="I92" s="119"/>
      <c r="J92" s="119"/>
      <c r="K92" s="119"/>
      <c r="L92" s="114"/>
      <c r="M92" s="114"/>
      <c r="N92" s="115"/>
    </row>
    <row r="93" ht="15.75" customHeight="1">
      <c r="A93" s="20">
        <v>81.0</v>
      </c>
      <c r="B93" s="21"/>
      <c r="C93" s="27"/>
      <c r="D93" s="111"/>
      <c r="E93" s="117"/>
      <c r="F93" s="118"/>
      <c r="G93" s="118"/>
      <c r="H93" s="32"/>
      <c r="I93" s="119"/>
      <c r="J93" s="119"/>
      <c r="K93" s="119"/>
      <c r="L93" s="114"/>
      <c r="M93" s="114"/>
      <c r="N93" s="115"/>
    </row>
    <row r="94" ht="15.75" customHeight="1">
      <c r="A94" s="20">
        <v>82.0</v>
      </c>
      <c r="B94" s="90"/>
      <c r="C94" s="27"/>
      <c r="D94" s="111"/>
      <c r="E94" s="117"/>
      <c r="F94" s="118"/>
      <c r="G94" s="118"/>
      <c r="H94" s="32"/>
      <c r="I94" s="119"/>
      <c r="J94" s="119"/>
      <c r="K94" s="119"/>
      <c r="L94" s="114"/>
      <c r="M94" s="114"/>
      <c r="N94" s="115"/>
    </row>
    <row r="95" ht="15.75" customHeight="1">
      <c r="A95" s="20">
        <v>83.0</v>
      </c>
      <c r="B95" s="36"/>
      <c r="C95" s="37"/>
      <c r="D95" s="111"/>
      <c r="E95" s="117"/>
      <c r="F95" s="118"/>
      <c r="G95" s="118"/>
      <c r="H95" s="32"/>
      <c r="I95" s="119"/>
      <c r="J95" s="119"/>
      <c r="K95" s="119"/>
      <c r="L95" s="114"/>
      <c r="M95" s="114"/>
      <c r="N95" s="115"/>
    </row>
    <row r="96" ht="15.75" customHeight="1">
      <c r="A96" s="20">
        <v>84.0</v>
      </c>
      <c r="B96" s="36"/>
      <c r="C96" s="37"/>
      <c r="D96" s="111"/>
      <c r="E96" s="117"/>
      <c r="F96" s="118"/>
      <c r="G96" s="118"/>
      <c r="H96" s="32"/>
      <c r="I96" s="119"/>
      <c r="J96" s="119"/>
      <c r="K96" s="119"/>
      <c r="L96" s="114"/>
      <c r="M96" s="114"/>
      <c r="N96" s="115"/>
    </row>
    <row r="97" ht="15.75" customHeight="1">
      <c r="A97" s="20">
        <v>85.0</v>
      </c>
      <c r="B97" s="36"/>
      <c r="C97" s="37"/>
      <c r="D97" s="111"/>
      <c r="E97" s="117"/>
      <c r="F97" s="118"/>
      <c r="G97" s="118"/>
      <c r="H97" s="32"/>
      <c r="I97" s="119"/>
      <c r="J97" s="119"/>
      <c r="K97" s="119"/>
      <c r="L97" s="114"/>
      <c r="M97" s="114"/>
      <c r="N97" s="115"/>
    </row>
    <row r="98" ht="15.75" customHeight="1">
      <c r="D98" s="4"/>
      <c r="E98" s="101"/>
      <c r="F98" s="5"/>
      <c r="G98" s="5"/>
      <c r="H98" s="102"/>
      <c r="I98" s="102"/>
      <c r="J98" s="102"/>
      <c r="K98" s="102"/>
      <c r="L98" s="102"/>
      <c r="M98" s="102"/>
    </row>
    <row r="99" ht="15.75" customHeight="1">
      <c r="D99" s="4"/>
      <c r="E99" s="101"/>
      <c r="F99" s="5"/>
      <c r="G99" s="5"/>
      <c r="H99" s="102"/>
      <c r="I99" s="102"/>
      <c r="J99" s="102"/>
      <c r="K99" s="102"/>
      <c r="L99" s="102"/>
      <c r="M99" s="102"/>
    </row>
    <row r="100" ht="15.75" customHeight="1">
      <c r="D100" s="4"/>
      <c r="E100" s="101"/>
      <c r="F100" s="5"/>
      <c r="G100" s="5"/>
      <c r="H100" s="102"/>
      <c r="I100" s="102"/>
      <c r="J100" s="102"/>
      <c r="K100" s="102"/>
      <c r="L100" s="102"/>
      <c r="M100" s="102"/>
    </row>
    <row r="101" ht="15.75" customHeight="1">
      <c r="D101" s="4"/>
      <c r="E101" s="101"/>
      <c r="F101" s="5"/>
      <c r="G101" s="5"/>
      <c r="H101" s="102"/>
      <c r="I101" s="102"/>
      <c r="J101" s="102"/>
      <c r="K101" s="102"/>
      <c r="L101" s="102"/>
      <c r="M101" s="102"/>
    </row>
    <row r="102" ht="15.75" customHeight="1">
      <c r="D102" s="4"/>
      <c r="E102" s="101"/>
      <c r="F102" s="5"/>
      <c r="G102" s="5"/>
      <c r="H102" s="102"/>
      <c r="I102" s="102"/>
      <c r="J102" s="102"/>
      <c r="K102" s="102"/>
      <c r="L102" s="102"/>
      <c r="M102" s="102"/>
    </row>
    <row r="103" ht="15.75" customHeight="1">
      <c r="D103" s="4"/>
      <c r="E103" s="101"/>
      <c r="F103" s="5"/>
      <c r="G103" s="5"/>
      <c r="H103" s="102"/>
      <c r="I103" s="102"/>
      <c r="J103" s="102"/>
      <c r="K103" s="102"/>
      <c r="L103" s="102"/>
      <c r="M103" s="102"/>
    </row>
    <row r="104" ht="15.75" customHeight="1">
      <c r="D104" s="4"/>
      <c r="E104" s="101"/>
      <c r="F104" s="5"/>
      <c r="G104" s="5"/>
      <c r="H104" s="102"/>
      <c r="I104" s="102"/>
      <c r="J104" s="102"/>
      <c r="K104" s="102"/>
      <c r="L104" s="102"/>
      <c r="M104" s="102"/>
    </row>
    <row r="105" ht="15.75" customHeight="1">
      <c r="D105" s="4"/>
      <c r="E105" s="101"/>
      <c r="F105" s="5"/>
      <c r="G105" s="5"/>
      <c r="H105" s="102"/>
      <c r="I105" s="102"/>
      <c r="J105" s="102"/>
      <c r="K105" s="102"/>
      <c r="L105" s="102"/>
      <c r="M105" s="102"/>
    </row>
    <row r="106" ht="15.75" customHeight="1">
      <c r="D106" s="4"/>
      <c r="E106" s="101"/>
      <c r="F106" s="5"/>
      <c r="G106" s="5"/>
      <c r="H106" s="102"/>
      <c r="I106" s="102"/>
      <c r="J106" s="102"/>
      <c r="K106" s="102"/>
      <c r="L106" s="102"/>
      <c r="M106" s="102"/>
    </row>
    <row r="107" ht="15.75" customHeight="1">
      <c r="D107" s="4"/>
      <c r="E107" s="101"/>
      <c r="F107" s="5"/>
      <c r="G107" s="5"/>
      <c r="H107" s="102"/>
      <c r="I107" s="102"/>
      <c r="J107" s="102"/>
      <c r="K107" s="102"/>
      <c r="L107" s="102"/>
      <c r="M107" s="102"/>
    </row>
    <row r="108" ht="15.75" customHeight="1">
      <c r="D108" s="4"/>
      <c r="E108" s="101"/>
      <c r="F108" s="5"/>
      <c r="G108" s="5"/>
      <c r="H108" s="102"/>
      <c r="I108" s="102"/>
      <c r="J108" s="102"/>
      <c r="K108" s="102"/>
      <c r="L108" s="102"/>
      <c r="M108" s="102"/>
    </row>
    <row r="109" ht="15.75" customHeight="1">
      <c r="D109" s="4"/>
      <c r="E109" s="101"/>
      <c r="F109" s="5"/>
      <c r="G109" s="5"/>
      <c r="H109" s="102"/>
      <c r="I109" s="102"/>
      <c r="J109" s="102"/>
      <c r="K109" s="102"/>
      <c r="L109" s="102"/>
      <c r="M109" s="102"/>
    </row>
    <row r="110" ht="15.75" customHeight="1">
      <c r="D110" s="4"/>
      <c r="E110" s="101"/>
      <c r="F110" s="5"/>
      <c r="G110" s="5"/>
      <c r="H110" s="102"/>
      <c r="I110" s="102"/>
      <c r="J110" s="102"/>
      <c r="K110" s="102"/>
      <c r="L110" s="102"/>
      <c r="M110" s="102"/>
    </row>
    <row r="111" ht="15.75" customHeight="1">
      <c r="D111" s="4"/>
      <c r="E111" s="101"/>
      <c r="F111" s="5"/>
      <c r="G111" s="5"/>
      <c r="H111" s="102"/>
      <c r="I111" s="102"/>
      <c r="J111" s="102"/>
      <c r="K111" s="102"/>
      <c r="L111" s="102"/>
      <c r="M111" s="102"/>
    </row>
    <row r="112" ht="15.75" customHeight="1">
      <c r="D112" s="4"/>
      <c r="E112" s="101"/>
      <c r="F112" s="5"/>
      <c r="G112" s="5"/>
      <c r="H112" s="102"/>
      <c r="I112" s="102"/>
      <c r="J112" s="102"/>
      <c r="K112" s="102"/>
      <c r="L112" s="102"/>
      <c r="M112" s="102"/>
    </row>
    <row r="113" ht="15.75" customHeight="1">
      <c r="D113" s="4"/>
      <c r="E113" s="101"/>
      <c r="F113" s="5"/>
      <c r="G113" s="5"/>
      <c r="H113" s="102"/>
      <c r="I113" s="102"/>
      <c r="J113" s="102"/>
      <c r="K113" s="102"/>
      <c r="L113" s="102"/>
      <c r="M113" s="102"/>
    </row>
    <row r="114" ht="15.75" customHeight="1">
      <c r="D114" s="4"/>
      <c r="E114" s="101"/>
      <c r="F114" s="5"/>
      <c r="G114" s="5"/>
      <c r="H114" s="102"/>
      <c r="I114" s="102"/>
      <c r="J114" s="102"/>
      <c r="K114" s="102"/>
      <c r="L114" s="102"/>
      <c r="M114" s="102"/>
    </row>
    <row r="115" ht="15.75" customHeight="1">
      <c r="D115" s="4"/>
      <c r="E115" s="101"/>
      <c r="F115" s="5"/>
      <c r="G115" s="5"/>
      <c r="H115" s="102"/>
      <c r="I115" s="102"/>
      <c r="J115" s="102"/>
      <c r="K115" s="102"/>
      <c r="L115" s="102"/>
      <c r="M115" s="102"/>
    </row>
    <row r="116" ht="15.75" customHeight="1">
      <c r="D116" s="4"/>
      <c r="E116" s="101"/>
      <c r="F116" s="5"/>
      <c r="G116" s="5"/>
      <c r="H116" s="102"/>
      <c r="I116" s="102"/>
      <c r="J116" s="102"/>
      <c r="K116" s="102"/>
      <c r="L116" s="102"/>
      <c r="M116" s="102"/>
    </row>
    <row r="117" ht="15.75" customHeight="1">
      <c r="D117" s="4"/>
      <c r="E117" s="101"/>
      <c r="F117" s="5"/>
      <c r="G117" s="5"/>
      <c r="H117" s="102"/>
      <c r="I117" s="102"/>
      <c r="J117" s="102"/>
      <c r="K117" s="102"/>
      <c r="L117" s="102"/>
      <c r="M117" s="102"/>
    </row>
    <row r="118" ht="15.75" customHeight="1">
      <c r="D118" s="4"/>
      <c r="E118" s="101"/>
      <c r="F118" s="5"/>
      <c r="G118" s="5"/>
      <c r="H118" s="102"/>
      <c r="I118" s="102"/>
      <c r="J118" s="102"/>
      <c r="K118" s="102"/>
      <c r="L118" s="102"/>
      <c r="M118" s="102"/>
    </row>
    <row r="119" ht="15.75" customHeight="1">
      <c r="D119" s="4"/>
      <c r="E119" s="101"/>
      <c r="F119" s="5"/>
      <c r="G119" s="5"/>
      <c r="H119" s="102"/>
      <c r="I119" s="102"/>
      <c r="J119" s="102"/>
      <c r="K119" s="102"/>
      <c r="L119" s="102"/>
      <c r="M119" s="102"/>
    </row>
    <row r="120" ht="15.75" customHeight="1">
      <c r="D120" s="4"/>
      <c r="E120" s="101"/>
      <c r="F120" s="5"/>
      <c r="G120" s="5"/>
      <c r="H120" s="102"/>
      <c r="I120" s="102"/>
      <c r="J120" s="102"/>
      <c r="K120" s="102"/>
      <c r="L120" s="102"/>
      <c r="M120" s="102"/>
    </row>
    <row r="121" ht="15.75" customHeight="1">
      <c r="D121" s="4"/>
      <c r="E121" s="101"/>
      <c r="F121" s="5"/>
      <c r="G121" s="5"/>
      <c r="H121" s="102"/>
      <c r="I121" s="102"/>
      <c r="J121" s="102"/>
      <c r="K121" s="102"/>
      <c r="L121" s="102"/>
      <c r="M121" s="102"/>
    </row>
    <row r="122" ht="15.75" customHeight="1">
      <c r="D122" s="4"/>
      <c r="E122" s="101"/>
      <c r="F122" s="5"/>
      <c r="G122" s="5"/>
      <c r="H122" s="102"/>
      <c r="I122" s="102"/>
      <c r="J122" s="102"/>
      <c r="K122" s="102"/>
      <c r="L122" s="102"/>
      <c r="M122" s="102"/>
    </row>
    <row r="123" ht="15.75" customHeight="1">
      <c r="D123" s="4"/>
      <c r="E123" s="101"/>
      <c r="F123" s="5"/>
      <c r="G123" s="5"/>
      <c r="H123" s="102"/>
      <c r="I123" s="102"/>
      <c r="J123" s="102"/>
      <c r="K123" s="102"/>
      <c r="L123" s="102"/>
      <c r="M123" s="102"/>
    </row>
    <row r="124" ht="15.75" customHeight="1">
      <c r="D124" s="4"/>
      <c r="E124" s="101"/>
      <c r="F124" s="5"/>
      <c r="G124" s="5"/>
      <c r="H124" s="102"/>
      <c r="I124" s="102"/>
      <c r="J124" s="102"/>
      <c r="K124" s="102"/>
      <c r="L124" s="102"/>
      <c r="M124" s="102"/>
    </row>
    <row r="125" ht="15.75" customHeight="1">
      <c r="D125" s="4"/>
      <c r="E125" s="101"/>
      <c r="F125" s="5"/>
      <c r="G125" s="5"/>
      <c r="H125" s="102"/>
      <c r="I125" s="102"/>
      <c r="J125" s="102"/>
      <c r="K125" s="102"/>
      <c r="L125" s="102"/>
      <c r="M125" s="102"/>
    </row>
    <row r="126" ht="15.75" customHeight="1">
      <c r="D126" s="4"/>
      <c r="E126" s="101"/>
      <c r="F126" s="5"/>
      <c r="G126" s="5"/>
      <c r="H126" s="102"/>
      <c r="I126" s="102"/>
      <c r="J126" s="102"/>
      <c r="K126" s="102"/>
      <c r="L126" s="102"/>
      <c r="M126" s="102"/>
    </row>
    <row r="127" ht="15.75" customHeight="1">
      <c r="D127" s="4"/>
      <c r="E127" s="101"/>
      <c r="F127" s="5"/>
      <c r="G127" s="5"/>
      <c r="H127" s="102"/>
      <c r="I127" s="102"/>
      <c r="J127" s="102"/>
      <c r="K127" s="102"/>
      <c r="L127" s="102"/>
      <c r="M127" s="102"/>
    </row>
    <row r="128" ht="15.75" customHeight="1">
      <c r="D128" s="4"/>
      <c r="E128" s="101"/>
      <c r="F128" s="5"/>
      <c r="G128" s="5"/>
      <c r="H128" s="102"/>
      <c r="I128" s="102"/>
      <c r="J128" s="102"/>
      <c r="K128" s="102"/>
      <c r="L128" s="102"/>
      <c r="M128" s="102"/>
    </row>
    <row r="129" ht="15.75" customHeight="1">
      <c r="D129" s="4"/>
      <c r="E129" s="101"/>
      <c r="F129" s="5"/>
      <c r="G129" s="5"/>
      <c r="H129" s="102"/>
      <c r="I129" s="102"/>
      <c r="J129" s="102"/>
      <c r="K129" s="102"/>
      <c r="L129" s="102"/>
      <c r="M129" s="102"/>
    </row>
    <row r="130" ht="15.75" customHeight="1">
      <c r="D130" s="4"/>
      <c r="E130" s="101"/>
      <c r="F130" s="5"/>
      <c r="G130" s="5"/>
      <c r="H130" s="102"/>
      <c r="I130" s="102"/>
      <c r="J130" s="102"/>
      <c r="K130" s="102"/>
      <c r="L130" s="102"/>
      <c r="M130" s="102"/>
    </row>
    <row r="131" ht="15.75" customHeight="1">
      <c r="D131" s="4"/>
      <c r="E131" s="101"/>
      <c r="F131" s="5"/>
      <c r="G131" s="5"/>
      <c r="H131" s="102"/>
      <c r="I131" s="102"/>
      <c r="J131" s="102"/>
      <c r="K131" s="102"/>
      <c r="L131" s="102"/>
      <c r="M131" s="102"/>
    </row>
    <row r="132" ht="15.75" customHeight="1">
      <c r="D132" s="4"/>
      <c r="E132" s="101"/>
      <c r="F132" s="5"/>
      <c r="G132" s="5"/>
      <c r="H132" s="102"/>
      <c r="I132" s="102"/>
      <c r="J132" s="102"/>
      <c r="K132" s="102"/>
      <c r="L132" s="102"/>
      <c r="M132" s="102"/>
    </row>
    <row r="133" ht="15.75" customHeight="1">
      <c r="D133" s="4"/>
      <c r="E133" s="101"/>
      <c r="F133" s="5"/>
      <c r="G133" s="5"/>
      <c r="H133" s="102"/>
      <c r="I133" s="102"/>
      <c r="J133" s="102"/>
      <c r="K133" s="102"/>
      <c r="L133" s="102"/>
      <c r="M133" s="102"/>
    </row>
    <row r="134" ht="15.75" customHeight="1">
      <c r="D134" s="4"/>
      <c r="E134" s="101"/>
      <c r="F134" s="5"/>
      <c r="G134" s="5"/>
      <c r="H134" s="102"/>
      <c r="I134" s="102"/>
      <c r="J134" s="102"/>
      <c r="K134" s="102"/>
      <c r="L134" s="102"/>
      <c r="M134" s="102"/>
    </row>
    <row r="135" ht="15.75" customHeight="1">
      <c r="D135" s="4"/>
      <c r="E135" s="101"/>
      <c r="F135" s="5"/>
      <c r="G135" s="5"/>
      <c r="H135" s="102"/>
      <c r="I135" s="102"/>
      <c r="J135" s="102"/>
      <c r="K135" s="102"/>
      <c r="L135" s="102"/>
      <c r="M135" s="102"/>
    </row>
    <row r="136" ht="15.75" customHeight="1">
      <c r="D136" s="4"/>
      <c r="E136" s="101"/>
      <c r="F136" s="5"/>
      <c r="G136" s="5"/>
      <c r="H136" s="102"/>
      <c r="I136" s="102"/>
      <c r="J136" s="102"/>
      <c r="K136" s="102"/>
      <c r="L136" s="102"/>
      <c r="M136" s="102"/>
    </row>
    <row r="137" ht="15.75" customHeight="1">
      <c r="D137" s="4"/>
      <c r="E137" s="101"/>
      <c r="F137" s="5"/>
      <c r="G137" s="5"/>
      <c r="H137" s="102"/>
      <c r="I137" s="102"/>
      <c r="J137" s="102"/>
      <c r="K137" s="102"/>
      <c r="L137" s="102"/>
      <c r="M137" s="102"/>
    </row>
    <row r="138" ht="15.75" customHeight="1">
      <c r="D138" s="4"/>
      <c r="E138" s="101"/>
      <c r="F138" s="5"/>
      <c r="G138" s="5"/>
      <c r="H138" s="102"/>
      <c r="I138" s="102"/>
      <c r="J138" s="102"/>
      <c r="K138" s="102"/>
      <c r="L138" s="102"/>
      <c r="M138" s="102"/>
    </row>
    <row r="139" ht="15.75" customHeight="1">
      <c r="D139" s="4"/>
      <c r="E139" s="101"/>
      <c r="F139" s="5"/>
      <c r="G139" s="5"/>
      <c r="H139" s="102"/>
      <c r="I139" s="102"/>
      <c r="J139" s="102"/>
      <c r="K139" s="102"/>
      <c r="L139" s="102"/>
      <c r="M139" s="102"/>
    </row>
    <row r="140" ht="15.75" customHeight="1">
      <c r="D140" s="4"/>
      <c r="E140" s="101"/>
      <c r="F140" s="5"/>
      <c r="G140" s="5"/>
      <c r="H140" s="102"/>
      <c r="I140" s="102"/>
      <c r="J140" s="102"/>
      <c r="K140" s="102"/>
      <c r="L140" s="102"/>
      <c r="M140" s="102"/>
    </row>
    <row r="141" ht="15.75" customHeight="1">
      <c r="D141" s="4"/>
      <c r="E141" s="101"/>
      <c r="F141" s="5"/>
      <c r="G141" s="5"/>
      <c r="H141" s="102"/>
      <c r="I141" s="102"/>
      <c r="J141" s="102"/>
      <c r="K141" s="102"/>
      <c r="L141" s="102"/>
      <c r="M141" s="102"/>
    </row>
    <row r="142" ht="15.75" customHeight="1">
      <c r="D142" s="4"/>
      <c r="E142" s="101"/>
      <c r="F142" s="5"/>
      <c r="G142" s="5"/>
      <c r="H142" s="102"/>
      <c r="I142" s="102"/>
      <c r="J142" s="102"/>
      <c r="K142" s="102"/>
      <c r="L142" s="102"/>
      <c r="M142" s="102"/>
    </row>
    <row r="143" ht="15.75" customHeight="1">
      <c r="D143" s="4"/>
      <c r="E143" s="101"/>
      <c r="F143" s="5"/>
      <c r="G143" s="5"/>
      <c r="H143" s="102"/>
      <c r="I143" s="102"/>
      <c r="J143" s="102"/>
      <c r="K143" s="102"/>
      <c r="L143" s="102"/>
      <c r="M143" s="102"/>
    </row>
    <row r="144" ht="15.75" customHeight="1">
      <c r="D144" s="4"/>
      <c r="E144" s="101"/>
      <c r="F144" s="5"/>
      <c r="G144" s="5"/>
      <c r="H144" s="102"/>
      <c r="I144" s="102"/>
      <c r="J144" s="102"/>
      <c r="K144" s="102"/>
      <c r="L144" s="102"/>
      <c r="M144" s="102"/>
    </row>
    <row r="145" ht="15.75" customHeight="1">
      <c r="D145" s="4"/>
      <c r="E145" s="101"/>
      <c r="F145" s="5"/>
      <c r="G145" s="5"/>
      <c r="H145" s="102"/>
      <c r="I145" s="102"/>
      <c r="J145" s="102"/>
      <c r="K145" s="102"/>
      <c r="L145" s="102"/>
      <c r="M145" s="102"/>
    </row>
    <row r="146" ht="15.75" customHeight="1">
      <c r="D146" s="4"/>
      <c r="E146" s="101"/>
      <c r="F146" s="5"/>
      <c r="G146" s="5"/>
      <c r="H146" s="102"/>
      <c r="I146" s="102"/>
      <c r="J146" s="102"/>
      <c r="K146" s="102"/>
      <c r="L146" s="102"/>
      <c r="M146" s="102"/>
    </row>
    <row r="147" ht="15.75" customHeight="1">
      <c r="D147" s="4"/>
      <c r="E147" s="101"/>
      <c r="F147" s="5"/>
      <c r="G147" s="5"/>
      <c r="H147" s="102"/>
      <c r="I147" s="102"/>
      <c r="J147" s="102"/>
      <c r="K147" s="102"/>
      <c r="L147" s="102"/>
      <c r="M147" s="102"/>
    </row>
    <row r="148" ht="15.75" customHeight="1">
      <c r="D148" s="4"/>
      <c r="E148" s="101"/>
      <c r="F148" s="5"/>
      <c r="G148" s="5"/>
      <c r="H148" s="102"/>
      <c r="I148" s="102"/>
      <c r="J148" s="102"/>
      <c r="K148" s="102"/>
      <c r="L148" s="102"/>
      <c r="M148" s="102"/>
    </row>
    <row r="149" ht="15.75" customHeight="1">
      <c r="D149" s="4"/>
      <c r="E149" s="101"/>
      <c r="F149" s="5"/>
      <c r="G149" s="5"/>
      <c r="H149" s="102"/>
      <c r="I149" s="102"/>
      <c r="J149" s="102"/>
      <c r="K149" s="102"/>
      <c r="L149" s="102"/>
      <c r="M149" s="102"/>
    </row>
    <row r="150" ht="15.75" customHeight="1">
      <c r="D150" s="4"/>
      <c r="E150" s="101"/>
      <c r="F150" s="5"/>
      <c r="G150" s="5"/>
      <c r="H150" s="102"/>
      <c r="I150" s="102"/>
      <c r="J150" s="102"/>
      <c r="K150" s="102"/>
      <c r="L150" s="102"/>
      <c r="M150" s="102"/>
    </row>
    <row r="151" ht="15.75" customHeight="1">
      <c r="D151" s="4"/>
      <c r="E151" s="101"/>
      <c r="F151" s="5"/>
      <c r="G151" s="5"/>
      <c r="H151" s="102"/>
      <c r="I151" s="102"/>
      <c r="J151" s="102"/>
      <c r="K151" s="102"/>
      <c r="L151" s="102"/>
      <c r="M151" s="102"/>
    </row>
    <row r="152" ht="15.75" customHeight="1">
      <c r="D152" s="4"/>
      <c r="E152" s="101"/>
      <c r="F152" s="5"/>
      <c r="G152" s="5"/>
      <c r="H152" s="102"/>
      <c r="I152" s="102"/>
      <c r="J152" s="102"/>
      <c r="K152" s="102"/>
      <c r="L152" s="102"/>
      <c r="M152" s="102"/>
    </row>
    <row r="153" ht="15.75" customHeight="1">
      <c r="D153" s="4"/>
      <c r="E153" s="101"/>
      <c r="F153" s="5"/>
      <c r="G153" s="5"/>
      <c r="H153" s="102"/>
      <c r="I153" s="102"/>
      <c r="J153" s="102"/>
      <c r="K153" s="102"/>
      <c r="L153" s="102"/>
      <c r="M153" s="102"/>
    </row>
    <row r="154" ht="15.75" customHeight="1">
      <c r="D154" s="4"/>
      <c r="E154" s="101"/>
      <c r="F154" s="5"/>
      <c r="G154" s="5"/>
      <c r="H154" s="102"/>
      <c r="I154" s="102"/>
      <c r="J154" s="102"/>
      <c r="K154" s="102"/>
      <c r="L154" s="102"/>
      <c r="M154" s="102"/>
    </row>
    <row r="155" ht="15.75" customHeight="1">
      <c r="D155" s="4"/>
      <c r="E155" s="101"/>
      <c r="F155" s="5"/>
      <c r="G155" s="5"/>
      <c r="H155" s="102"/>
      <c r="I155" s="102"/>
      <c r="J155" s="102"/>
      <c r="K155" s="102"/>
      <c r="L155" s="102"/>
      <c r="M155" s="102"/>
    </row>
    <row r="156" ht="15.75" customHeight="1">
      <c r="D156" s="4"/>
      <c r="E156" s="101"/>
      <c r="F156" s="5"/>
      <c r="G156" s="5"/>
      <c r="H156" s="102"/>
      <c r="I156" s="102"/>
      <c r="J156" s="102"/>
      <c r="K156" s="102"/>
      <c r="L156" s="102"/>
      <c r="M156" s="102"/>
    </row>
    <row r="157" ht="15.75" customHeight="1">
      <c r="D157" s="4"/>
      <c r="E157" s="101"/>
      <c r="F157" s="5"/>
      <c r="G157" s="5"/>
      <c r="H157" s="102"/>
      <c r="I157" s="102"/>
      <c r="J157" s="102"/>
      <c r="K157" s="102"/>
      <c r="L157" s="102"/>
      <c r="M157" s="102"/>
    </row>
    <row r="158" ht="15.75" customHeight="1">
      <c r="D158" s="4"/>
      <c r="E158" s="101"/>
      <c r="F158" s="5"/>
      <c r="G158" s="5"/>
      <c r="H158" s="102"/>
      <c r="I158" s="102"/>
      <c r="J158" s="102"/>
      <c r="K158" s="102"/>
      <c r="L158" s="102"/>
      <c r="M158" s="102"/>
    </row>
    <row r="159" ht="15.75" customHeight="1">
      <c r="D159" s="4"/>
      <c r="E159" s="101"/>
      <c r="F159" s="5"/>
      <c r="G159" s="5"/>
      <c r="H159" s="102"/>
      <c r="I159" s="102"/>
      <c r="J159" s="102"/>
      <c r="K159" s="102"/>
      <c r="L159" s="102"/>
      <c r="M159" s="102"/>
    </row>
    <row r="160" ht="15.75" customHeight="1">
      <c r="D160" s="4"/>
      <c r="E160" s="101"/>
      <c r="F160" s="5"/>
      <c r="G160" s="5"/>
      <c r="H160" s="102"/>
      <c r="I160" s="102"/>
      <c r="J160" s="102"/>
      <c r="K160" s="102"/>
      <c r="L160" s="102"/>
      <c r="M160" s="102"/>
    </row>
    <row r="161" ht="15.75" customHeight="1">
      <c r="D161" s="4"/>
      <c r="E161" s="101"/>
      <c r="F161" s="5"/>
      <c r="G161" s="5"/>
      <c r="H161" s="102"/>
      <c r="I161" s="102"/>
      <c r="J161" s="102"/>
      <c r="K161" s="102"/>
      <c r="L161" s="102"/>
      <c r="M161" s="102"/>
    </row>
    <row r="162" ht="15.75" customHeight="1">
      <c r="D162" s="4"/>
      <c r="E162" s="101"/>
      <c r="F162" s="5"/>
      <c r="G162" s="5"/>
      <c r="H162" s="102"/>
      <c r="I162" s="102"/>
      <c r="J162" s="102"/>
      <c r="K162" s="102"/>
      <c r="L162" s="102"/>
      <c r="M162" s="102"/>
    </row>
    <row r="163" ht="15.75" customHeight="1">
      <c r="D163" s="4"/>
      <c r="E163" s="101"/>
      <c r="F163" s="5"/>
      <c r="G163" s="5"/>
      <c r="H163" s="102"/>
      <c r="I163" s="102"/>
      <c r="J163" s="102"/>
      <c r="K163" s="102"/>
      <c r="L163" s="102"/>
      <c r="M163" s="102"/>
    </row>
    <row r="164" ht="15.75" customHeight="1">
      <c r="D164" s="4"/>
      <c r="E164" s="101"/>
      <c r="F164" s="5"/>
      <c r="G164" s="5"/>
      <c r="H164" s="102"/>
      <c r="I164" s="102"/>
      <c r="J164" s="102"/>
      <c r="K164" s="102"/>
      <c r="L164" s="102"/>
      <c r="M164" s="102"/>
    </row>
    <row r="165" ht="15.75" customHeight="1">
      <c r="D165" s="4"/>
      <c r="E165" s="101"/>
      <c r="F165" s="5"/>
      <c r="G165" s="5"/>
      <c r="H165" s="102"/>
      <c r="I165" s="102"/>
      <c r="J165" s="102"/>
      <c r="K165" s="102"/>
      <c r="L165" s="102"/>
      <c r="M165" s="102"/>
    </row>
    <row r="166" ht="15.75" customHeight="1">
      <c r="D166" s="4"/>
      <c r="E166" s="101"/>
      <c r="F166" s="5"/>
      <c r="G166" s="5"/>
      <c r="H166" s="102"/>
      <c r="I166" s="102"/>
      <c r="J166" s="102"/>
      <c r="K166" s="102"/>
      <c r="L166" s="102"/>
      <c r="M166" s="102"/>
    </row>
    <row r="167" ht="15.75" customHeight="1">
      <c r="D167" s="4"/>
      <c r="E167" s="101"/>
      <c r="F167" s="5"/>
      <c r="G167" s="5"/>
      <c r="H167" s="102"/>
      <c r="I167" s="102"/>
      <c r="J167" s="102"/>
      <c r="K167" s="102"/>
      <c r="L167" s="102"/>
      <c r="M167" s="102"/>
    </row>
    <row r="168" ht="15.75" customHeight="1">
      <c r="D168" s="4"/>
      <c r="E168" s="101"/>
      <c r="F168" s="5"/>
      <c r="G168" s="5"/>
      <c r="H168" s="102"/>
      <c r="I168" s="102"/>
      <c r="J168" s="102"/>
      <c r="K168" s="102"/>
      <c r="L168" s="102"/>
      <c r="M168" s="102"/>
    </row>
    <row r="169" ht="15.75" customHeight="1">
      <c r="D169" s="4"/>
      <c r="E169" s="101"/>
      <c r="F169" s="5"/>
      <c r="G169" s="5"/>
      <c r="H169" s="102"/>
      <c r="I169" s="102"/>
      <c r="J169" s="102"/>
      <c r="K169" s="102"/>
      <c r="L169" s="102"/>
      <c r="M169" s="102"/>
    </row>
    <row r="170" ht="15.75" customHeight="1">
      <c r="D170" s="4"/>
      <c r="E170" s="101"/>
      <c r="F170" s="5"/>
      <c r="G170" s="5"/>
      <c r="H170" s="102"/>
      <c r="I170" s="102"/>
      <c r="J170" s="102"/>
      <c r="K170" s="102"/>
      <c r="L170" s="102"/>
      <c r="M170" s="102"/>
    </row>
    <row r="171" ht="15.75" customHeight="1">
      <c r="D171" s="4"/>
      <c r="E171" s="101"/>
      <c r="F171" s="5"/>
      <c r="G171" s="5"/>
      <c r="H171" s="102"/>
      <c r="I171" s="102"/>
      <c r="J171" s="102"/>
      <c r="K171" s="102"/>
      <c r="L171" s="102"/>
      <c r="M171" s="102"/>
    </row>
    <row r="172" ht="15.75" customHeight="1">
      <c r="D172" s="4"/>
      <c r="E172" s="101"/>
      <c r="F172" s="5"/>
      <c r="G172" s="5"/>
      <c r="H172" s="102"/>
      <c r="I172" s="102"/>
      <c r="J172" s="102"/>
      <c r="K172" s="102"/>
      <c r="L172" s="102"/>
      <c r="M172" s="102"/>
    </row>
    <row r="173" ht="15.75" customHeight="1">
      <c r="D173" s="4"/>
      <c r="E173" s="101"/>
      <c r="F173" s="5"/>
      <c r="G173" s="5"/>
      <c r="H173" s="102"/>
      <c r="I173" s="102"/>
      <c r="J173" s="102"/>
      <c r="K173" s="102"/>
      <c r="L173" s="102"/>
      <c r="M173" s="102"/>
    </row>
    <row r="174" ht="15.75" customHeight="1">
      <c r="D174" s="4"/>
      <c r="E174" s="101"/>
      <c r="F174" s="5"/>
      <c r="G174" s="5"/>
      <c r="H174" s="102"/>
      <c r="I174" s="102"/>
      <c r="J174" s="102"/>
      <c r="K174" s="102"/>
      <c r="L174" s="102"/>
      <c r="M174" s="102"/>
    </row>
    <row r="175" ht="15.75" customHeight="1">
      <c r="D175" s="4"/>
      <c r="E175" s="101"/>
      <c r="F175" s="5"/>
      <c r="G175" s="5"/>
      <c r="H175" s="102"/>
      <c r="I175" s="102"/>
      <c r="J175" s="102"/>
      <c r="K175" s="102"/>
      <c r="L175" s="102"/>
      <c r="M175" s="102"/>
    </row>
    <row r="176" ht="15.75" customHeight="1">
      <c r="D176" s="4"/>
      <c r="E176" s="101"/>
      <c r="F176" s="5"/>
      <c r="G176" s="5"/>
      <c r="H176" s="102"/>
      <c r="I176" s="102"/>
      <c r="J176" s="102"/>
      <c r="K176" s="102"/>
      <c r="L176" s="102"/>
      <c r="M176" s="102"/>
    </row>
    <row r="177" ht="15.75" customHeight="1">
      <c r="D177" s="4"/>
      <c r="E177" s="101"/>
      <c r="F177" s="5"/>
      <c r="G177" s="5"/>
      <c r="H177" s="102"/>
      <c r="I177" s="102"/>
      <c r="J177" s="102"/>
      <c r="K177" s="102"/>
      <c r="L177" s="102"/>
      <c r="M177" s="102"/>
    </row>
    <row r="178" ht="15.75" customHeight="1">
      <c r="D178" s="4"/>
      <c r="E178" s="101"/>
      <c r="F178" s="5"/>
      <c r="G178" s="5"/>
      <c r="H178" s="102"/>
      <c r="I178" s="102"/>
      <c r="J178" s="102"/>
      <c r="K178" s="102"/>
      <c r="L178" s="102"/>
      <c r="M178" s="102"/>
    </row>
    <row r="179" ht="15.75" customHeight="1">
      <c r="D179" s="4"/>
      <c r="E179" s="101"/>
      <c r="F179" s="5"/>
      <c r="G179" s="5"/>
      <c r="H179" s="102"/>
      <c r="I179" s="102"/>
      <c r="J179" s="102"/>
      <c r="K179" s="102"/>
      <c r="L179" s="102"/>
      <c r="M179" s="102"/>
    </row>
    <row r="180" ht="15.75" customHeight="1">
      <c r="D180" s="4"/>
      <c r="E180" s="101"/>
      <c r="F180" s="5"/>
      <c r="G180" s="5"/>
      <c r="H180" s="102"/>
      <c r="I180" s="102"/>
      <c r="J180" s="102"/>
      <c r="K180" s="102"/>
      <c r="L180" s="102"/>
      <c r="M180" s="102"/>
    </row>
    <row r="181" ht="15.75" customHeight="1">
      <c r="D181" s="4"/>
      <c r="E181" s="101"/>
      <c r="F181" s="5"/>
      <c r="G181" s="5"/>
      <c r="H181" s="102"/>
      <c r="I181" s="102"/>
      <c r="J181" s="102"/>
      <c r="K181" s="102"/>
      <c r="L181" s="102"/>
      <c r="M181" s="102"/>
    </row>
    <row r="182" ht="15.75" customHeight="1">
      <c r="D182" s="4"/>
      <c r="E182" s="101"/>
      <c r="F182" s="5"/>
      <c r="G182" s="5"/>
      <c r="H182" s="102"/>
      <c r="I182" s="102"/>
      <c r="J182" s="102"/>
      <c r="K182" s="102"/>
      <c r="L182" s="102"/>
      <c r="M182" s="102"/>
    </row>
    <row r="183" ht="15.75" customHeight="1">
      <c r="D183" s="4"/>
      <c r="E183" s="101"/>
      <c r="F183" s="5"/>
      <c r="G183" s="5"/>
      <c r="H183" s="102"/>
      <c r="I183" s="102"/>
      <c r="J183" s="102"/>
      <c r="K183" s="102"/>
      <c r="L183" s="102"/>
      <c r="M183" s="102"/>
    </row>
    <row r="184" ht="15.75" customHeight="1">
      <c r="D184" s="4"/>
      <c r="E184" s="101"/>
      <c r="F184" s="5"/>
      <c r="G184" s="5"/>
      <c r="H184" s="102"/>
      <c r="I184" s="102"/>
      <c r="J184" s="102"/>
      <c r="K184" s="102"/>
      <c r="L184" s="102"/>
      <c r="M184" s="102"/>
    </row>
    <row r="185" ht="15.75" customHeight="1">
      <c r="D185" s="4"/>
      <c r="E185" s="101"/>
      <c r="F185" s="5"/>
      <c r="G185" s="5"/>
      <c r="H185" s="102"/>
      <c r="I185" s="102"/>
      <c r="J185" s="102"/>
      <c r="K185" s="102"/>
      <c r="L185" s="102"/>
      <c r="M185" s="102"/>
    </row>
    <row r="186" ht="15.75" customHeight="1">
      <c r="D186" s="4"/>
      <c r="E186" s="101"/>
      <c r="F186" s="5"/>
      <c r="G186" s="5"/>
      <c r="H186" s="102"/>
      <c r="I186" s="102"/>
      <c r="J186" s="102"/>
      <c r="K186" s="102"/>
      <c r="L186" s="102"/>
      <c r="M186" s="102"/>
    </row>
    <row r="187" ht="15.75" customHeight="1">
      <c r="D187" s="4"/>
      <c r="E187" s="101"/>
      <c r="F187" s="5"/>
      <c r="G187" s="5"/>
      <c r="H187" s="102"/>
      <c r="I187" s="102"/>
      <c r="J187" s="102"/>
      <c r="K187" s="102"/>
      <c r="L187" s="102"/>
      <c r="M187" s="102"/>
    </row>
    <row r="188" ht="15.75" customHeight="1">
      <c r="D188" s="4"/>
      <c r="E188" s="101"/>
      <c r="F188" s="5"/>
      <c r="G188" s="5"/>
      <c r="H188" s="102"/>
      <c r="I188" s="102"/>
      <c r="J188" s="102"/>
      <c r="K188" s="102"/>
      <c r="L188" s="102"/>
      <c r="M188" s="102"/>
    </row>
    <row r="189" ht="15.75" customHeight="1">
      <c r="D189" s="4"/>
      <c r="E189" s="101"/>
      <c r="F189" s="5"/>
      <c r="G189" s="5"/>
      <c r="H189" s="102"/>
      <c r="I189" s="102"/>
      <c r="J189" s="102"/>
      <c r="K189" s="102"/>
      <c r="L189" s="102"/>
      <c r="M189" s="102"/>
    </row>
    <row r="190" ht="15.75" customHeight="1">
      <c r="D190" s="4"/>
      <c r="E190" s="101"/>
      <c r="F190" s="5"/>
      <c r="G190" s="5"/>
      <c r="H190" s="102"/>
      <c r="I190" s="102"/>
      <c r="J190" s="102"/>
      <c r="K190" s="102"/>
      <c r="L190" s="102"/>
      <c r="M190" s="102"/>
    </row>
    <row r="191" ht="15.75" customHeight="1">
      <c r="D191" s="4"/>
      <c r="E191" s="101"/>
      <c r="F191" s="5"/>
      <c r="G191" s="5"/>
      <c r="H191" s="102"/>
      <c r="I191" s="102"/>
      <c r="J191" s="102"/>
      <c r="K191" s="102"/>
      <c r="L191" s="102"/>
      <c r="M191" s="102"/>
    </row>
    <row r="192" ht="15.75" customHeight="1">
      <c r="D192" s="4"/>
      <c r="E192" s="101"/>
      <c r="F192" s="5"/>
      <c r="G192" s="5"/>
      <c r="H192" s="102"/>
      <c r="I192" s="102"/>
      <c r="J192" s="102"/>
      <c r="K192" s="102"/>
      <c r="L192" s="102"/>
      <c r="M192" s="102"/>
    </row>
    <row r="193" ht="15.75" customHeight="1">
      <c r="D193" s="4"/>
      <c r="E193" s="101"/>
      <c r="F193" s="5"/>
      <c r="G193" s="5"/>
      <c r="H193" s="102"/>
      <c r="I193" s="102"/>
      <c r="J193" s="102"/>
      <c r="K193" s="102"/>
      <c r="L193" s="102"/>
      <c r="M193" s="102"/>
    </row>
    <row r="194" ht="15.75" customHeight="1">
      <c r="D194" s="4"/>
      <c r="E194" s="101"/>
      <c r="F194" s="5"/>
      <c r="G194" s="5"/>
      <c r="H194" s="102"/>
      <c r="I194" s="102"/>
      <c r="J194" s="102"/>
      <c r="K194" s="102"/>
      <c r="L194" s="102"/>
      <c r="M194" s="102"/>
    </row>
    <row r="195" ht="15.75" customHeight="1">
      <c r="D195" s="4"/>
      <c r="E195" s="101"/>
      <c r="F195" s="5"/>
      <c r="G195" s="5"/>
      <c r="H195" s="102"/>
      <c r="I195" s="102"/>
      <c r="J195" s="102"/>
      <c r="K195" s="102"/>
      <c r="L195" s="102"/>
      <c r="M195" s="102"/>
    </row>
    <row r="196" ht="15.75" customHeight="1">
      <c r="D196" s="4"/>
      <c r="E196" s="101"/>
      <c r="F196" s="5"/>
      <c r="G196" s="5"/>
      <c r="H196" s="102"/>
      <c r="I196" s="102"/>
      <c r="J196" s="102"/>
      <c r="K196" s="102"/>
      <c r="L196" s="102"/>
      <c r="M196" s="102"/>
    </row>
    <row r="197" ht="15.75" customHeight="1">
      <c r="D197" s="4"/>
      <c r="E197" s="101"/>
      <c r="F197" s="5"/>
      <c r="G197" s="5"/>
      <c r="H197" s="102"/>
      <c r="I197" s="102"/>
      <c r="J197" s="102"/>
      <c r="K197" s="102"/>
      <c r="L197" s="102"/>
      <c r="M197" s="102"/>
    </row>
    <row r="198" ht="15.75" customHeight="1">
      <c r="D198" s="4"/>
      <c r="E198" s="101"/>
      <c r="F198" s="5"/>
      <c r="G198" s="5"/>
      <c r="H198" s="102"/>
      <c r="I198" s="102"/>
      <c r="J198" s="102"/>
      <c r="K198" s="102"/>
      <c r="L198" s="102"/>
      <c r="M198" s="102"/>
    </row>
    <row r="199" ht="15.75" customHeight="1">
      <c r="D199" s="4"/>
      <c r="E199" s="101"/>
      <c r="F199" s="5"/>
      <c r="G199" s="5"/>
      <c r="H199" s="102"/>
      <c r="I199" s="102"/>
      <c r="J199" s="102"/>
      <c r="K199" s="102"/>
      <c r="L199" s="102"/>
      <c r="M199" s="102"/>
    </row>
    <row r="200" ht="15.75" customHeight="1">
      <c r="D200" s="4"/>
      <c r="E200" s="101"/>
      <c r="F200" s="5"/>
      <c r="G200" s="5"/>
      <c r="H200" s="102"/>
      <c r="I200" s="102"/>
      <c r="J200" s="102"/>
      <c r="K200" s="102"/>
      <c r="L200" s="102"/>
      <c r="M200" s="102"/>
    </row>
    <row r="201" ht="15.75" customHeight="1">
      <c r="D201" s="4"/>
      <c r="E201" s="101"/>
      <c r="F201" s="5"/>
      <c r="G201" s="5"/>
      <c r="H201" s="102"/>
      <c r="I201" s="102"/>
      <c r="J201" s="102"/>
      <c r="K201" s="102"/>
      <c r="L201" s="102"/>
      <c r="M201" s="102"/>
    </row>
    <row r="202" ht="15.75" customHeight="1">
      <c r="D202" s="4"/>
      <c r="E202" s="101"/>
      <c r="F202" s="5"/>
      <c r="G202" s="5"/>
      <c r="H202" s="102"/>
      <c r="I202" s="102"/>
      <c r="J202" s="102"/>
      <c r="K202" s="102"/>
      <c r="L202" s="102"/>
      <c r="M202" s="102"/>
    </row>
    <row r="203" ht="15.75" customHeight="1">
      <c r="D203" s="4"/>
      <c r="E203" s="101"/>
      <c r="F203" s="5"/>
      <c r="G203" s="5"/>
      <c r="H203" s="102"/>
      <c r="I203" s="102"/>
      <c r="J203" s="102"/>
      <c r="K203" s="102"/>
      <c r="L203" s="102"/>
      <c r="M203" s="102"/>
    </row>
    <row r="204" ht="15.75" customHeight="1">
      <c r="D204" s="4"/>
      <c r="E204" s="101"/>
      <c r="F204" s="5"/>
      <c r="G204" s="5"/>
      <c r="H204" s="102"/>
      <c r="I204" s="102"/>
      <c r="J204" s="102"/>
      <c r="K204" s="102"/>
      <c r="L204" s="102"/>
      <c r="M204" s="102"/>
    </row>
    <row r="205" ht="15.75" customHeight="1">
      <c r="D205" s="4"/>
      <c r="E205" s="101"/>
      <c r="F205" s="5"/>
      <c r="G205" s="5"/>
      <c r="H205" s="102"/>
      <c r="I205" s="102"/>
      <c r="J205" s="102"/>
      <c r="K205" s="102"/>
      <c r="L205" s="102"/>
      <c r="M205" s="102"/>
    </row>
    <row r="206" ht="15.75" customHeight="1">
      <c r="D206" s="4"/>
      <c r="E206" s="101"/>
      <c r="F206" s="5"/>
      <c r="G206" s="5"/>
      <c r="H206" s="102"/>
      <c r="I206" s="102"/>
      <c r="J206" s="102"/>
      <c r="K206" s="102"/>
      <c r="L206" s="102"/>
      <c r="M206" s="102"/>
    </row>
    <row r="207" ht="15.75" customHeight="1">
      <c r="D207" s="4"/>
      <c r="E207" s="101"/>
      <c r="F207" s="5"/>
      <c r="G207" s="5"/>
      <c r="H207" s="102"/>
      <c r="I207" s="102"/>
      <c r="J207" s="102"/>
      <c r="K207" s="102"/>
      <c r="L207" s="102"/>
      <c r="M207" s="102"/>
    </row>
    <row r="208" ht="15.75" customHeight="1">
      <c r="D208" s="4"/>
      <c r="E208" s="101"/>
      <c r="F208" s="5"/>
      <c r="G208" s="5"/>
      <c r="H208" s="102"/>
      <c r="I208" s="102"/>
      <c r="J208" s="102"/>
      <c r="K208" s="102"/>
      <c r="L208" s="102"/>
      <c r="M208" s="102"/>
    </row>
    <row r="209" ht="15.75" customHeight="1">
      <c r="D209" s="4"/>
      <c r="E209" s="101"/>
      <c r="F209" s="5"/>
      <c r="G209" s="5"/>
      <c r="H209" s="102"/>
      <c r="I209" s="102"/>
      <c r="J209" s="102"/>
      <c r="K209" s="102"/>
      <c r="L209" s="102"/>
      <c r="M209" s="102"/>
    </row>
    <row r="210" ht="15.75" customHeight="1">
      <c r="D210" s="4"/>
      <c r="E210" s="101"/>
      <c r="F210" s="5"/>
      <c r="G210" s="5"/>
      <c r="H210" s="102"/>
      <c r="I210" s="102"/>
      <c r="J210" s="102"/>
      <c r="K210" s="102"/>
      <c r="L210" s="102"/>
      <c r="M210" s="102"/>
    </row>
    <row r="211" ht="15.75" customHeight="1">
      <c r="D211" s="4"/>
      <c r="E211" s="101"/>
      <c r="F211" s="5"/>
      <c r="G211" s="5"/>
      <c r="H211" s="102"/>
      <c r="I211" s="102"/>
      <c r="J211" s="102"/>
      <c r="K211" s="102"/>
      <c r="L211" s="102"/>
      <c r="M211" s="102"/>
    </row>
    <row r="212" ht="15.75" customHeight="1">
      <c r="D212" s="4"/>
      <c r="E212" s="101"/>
      <c r="F212" s="5"/>
      <c r="G212" s="5"/>
      <c r="H212" s="102"/>
      <c r="I212" s="102"/>
      <c r="J212" s="102"/>
      <c r="K212" s="102"/>
      <c r="L212" s="102"/>
      <c r="M212" s="102"/>
    </row>
    <row r="213" ht="15.75" customHeight="1">
      <c r="D213" s="4"/>
      <c r="E213" s="101"/>
      <c r="F213" s="5"/>
      <c r="G213" s="5"/>
      <c r="H213" s="102"/>
      <c r="I213" s="102"/>
      <c r="J213" s="102"/>
      <c r="K213" s="102"/>
      <c r="L213" s="102"/>
      <c r="M213" s="102"/>
    </row>
    <row r="214" ht="15.75" customHeight="1">
      <c r="D214" s="4"/>
      <c r="E214" s="101"/>
      <c r="F214" s="5"/>
      <c r="G214" s="5"/>
      <c r="H214" s="102"/>
      <c r="I214" s="102"/>
      <c r="J214" s="102"/>
      <c r="K214" s="102"/>
      <c r="L214" s="102"/>
      <c r="M214" s="102"/>
    </row>
    <row r="215" ht="15.75" customHeight="1">
      <c r="D215" s="4"/>
      <c r="E215" s="101"/>
      <c r="F215" s="5"/>
      <c r="G215" s="5"/>
      <c r="H215" s="102"/>
      <c r="I215" s="102"/>
      <c r="J215" s="102"/>
      <c r="K215" s="102"/>
      <c r="L215" s="102"/>
      <c r="M215" s="102"/>
    </row>
    <row r="216" ht="15.75" customHeight="1">
      <c r="D216" s="4"/>
      <c r="E216" s="101"/>
      <c r="F216" s="5"/>
      <c r="G216" s="5"/>
      <c r="H216" s="102"/>
      <c r="I216" s="102"/>
      <c r="J216" s="102"/>
      <c r="K216" s="102"/>
      <c r="L216" s="102"/>
      <c r="M216" s="102"/>
    </row>
    <row r="217" ht="15.75" customHeight="1">
      <c r="D217" s="4"/>
      <c r="E217" s="101"/>
      <c r="F217" s="5"/>
      <c r="G217" s="5"/>
      <c r="H217" s="102"/>
      <c r="I217" s="102"/>
      <c r="J217" s="102"/>
      <c r="K217" s="102"/>
      <c r="L217" s="102"/>
      <c r="M217" s="102"/>
    </row>
    <row r="218" ht="15.75" customHeight="1">
      <c r="D218" s="4"/>
      <c r="E218" s="101"/>
      <c r="F218" s="5"/>
      <c r="G218" s="5"/>
      <c r="H218" s="102"/>
      <c r="I218" s="102"/>
      <c r="J218" s="102"/>
      <c r="K218" s="102"/>
      <c r="L218" s="102"/>
      <c r="M218" s="102"/>
    </row>
    <row r="219" ht="15.75" customHeight="1">
      <c r="D219" s="4"/>
      <c r="E219" s="101"/>
      <c r="F219" s="5"/>
      <c r="G219" s="5"/>
      <c r="H219" s="102"/>
      <c r="I219" s="102"/>
      <c r="J219" s="102"/>
      <c r="K219" s="102"/>
      <c r="L219" s="102"/>
      <c r="M219" s="102"/>
    </row>
    <row r="220" ht="15.75" customHeight="1">
      <c r="D220" s="4"/>
      <c r="E220" s="101"/>
      <c r="F220" s="5"/>
      <c r="G220" s="5"/>
      <c r="H220" s="102"/>
      <c r="I220" s="102"/>
      <c r="J220" s="102"/>
      <c r="K220" s="102"/>
      <c r="L220" s="102"/>
      <c r="M220" s="102"/>
    </row>
    <row r="221" ht="15.75" customHeight="1">
      <c r="D221" s="4"/>
      <c r="E221" s="101"/>
      <c r="F221" s="5"/>
      <c r="G221" s="5"/>
      <c r="H221" s="102"/>
      <c r="I221" s="102"/>
      <c r="J221" s="102"/>
      <c r="K221" s="102"/>
      <c r="L221" s="102"/>
      <c r="M221" s="102"/>
    </row>
    <row r="222" ht="15.75" customHeight="1">
      <c r="D222" s="4"/>
      <c r="E222" s="101"/>
      <c r="F222" s="5"/>
      <c r="G222" s="5"/>
      <c r="H222" s="102"/>
      <c r="I222" s="102"/>
      <c r="J222" s="102"/>
      <c r="K222" s="102"/>
      <c r="L222" s="102"/>
      <c r="M222" s="102"/>
    </row>
    <row r="223" ht="15.75" customHeight="1">
      <c r="D223" s="4"/>
      <c r="E223" s="101"/>
      <c r="F223" s="5"/>
      <c r="G223" s="5"/>
      <c r="H223" s="102"/>
      <c r="I223" s="102"/>
      <c r="J223" s="102"/>
      <c r="K223" s="102"/>
      <c r="L223" s="102"/>
      <c r="M223" s="102"/>
    </row>
    <row r="224" ht="15.75" customHeight="1">
      <c r="D224" s="4"/>
      <c r="E224" s="101"/>
      <c r="F224" s="5"/>
      <c r="G224" s="5"/>
      <c r="H224" s="102"/>
      <c r="I224" s="102"/>
      <c r="J224" s="102"/>
      <c r="K224" s="102"/>
      <c r="L224" s="102"/>
      <c r="M224" s="102"/>
    </row>
    <row r="225" ht="15.75" customHeight="1">
      <c r="D225" s="4"/>
      <c r="E225" s="101"/>
      <c r="F225" s="5"/>
      <c r="G225" s="5"/>
      <c r="H225" s="102"/>
      <c r="I225" s="102"/>
      <c r="J225" s="102"/>
      <c r="K225" s="102"/>
      <c r="L225" s="102"/>
      <c r="M225" s="102"/>
    </row>
    <row r="226" ht="15.75" customHeight="1">
      <c r="D226" s="4"/>
      <c r="E226" s="101"/>
      <c r="F226" s="5"/>
      <c r="G226" s="5"/>
      <c r="H226" s="102"/>
      <c r="I226" s="102"/>
      <c r="J226" s="102"/>
      <c r="K226" s="102"/>
      <c r="L226" s="102"/>
      <c r="M226" s="102"/>
    </row>
    <row r="227" ht="15.75" customHeight="1">
      <c r="D227" s="4"/>
      <c r="E227" s="101"/>
      <c r="F227" s="5"/>
      <c r="G227" s="5"/>
      <c r="H227" s="102"/>
      <c r="I227" s="102"/>
      <c r="J227" s="102"/>
      <c r="K227" s="102"/>
      <c r="L227" s="102"/>
      <c r="M227" s="102"/>
    </row>
    <row r="228" ht="15.75" customHeight="1">
      <c r="D228" s="4"/>
      <c r="E228" s="101"/>
      <c r="F228" s="5"/>
      <c r="G228" s="5"/>
      <c r="H228" s="102"/>
      <c r="I228" s="102"/>
      <c r="J228" s="102"/>
      <c r="K228" s="102"/>
      <c r="L228" s="102"/>
      <c r="M228" s="102"/>
    </row>
    <row r="229" ht="15.75" customHeight="1">
      <c r="D229" s="4"/>
      <c r="E229" s="101"/>
      <c r="F229" s="5"/>
      <c r="G229" s="5"/>
      <c r="H229" s="102"/>
      <c r="I229" s="102"/>
      <c r="J229" s="102"/>
      <c r="K229" s="102"/>
      <c r="L229" s="102"/>
      <c r="M229" s="102"/>
    </row>
    <row r="230" ht="15.75" customHeight="1">
      <c r="D230" s="4"/>
      <c r="E230" s="101"/>
      <c r="F230" s="5"/>
      <c r="G230" s="5"/>
      <c r="H230" s="102"/>
      <c r="I230" s="102"/>
      <c r="J230" s="102"/>
      <c r="K230" s="102"/>
      <c r="L230" s="102"/>
      <c r="M230" s="102"/>
    </row>
    <row r="231" ht="15.75" customHeight="1">
      <c r="D231" s="4"/>
      <c r="E231" s="101"/>
      <c r="F231" s="5"/>
      <c r="G231" s="5"/>
      <c r="H231" s="102"/>
      <c r="I231" s="102"/>
      <c r="J231" s="102"/>
      <c r="K231" s="102"/>
      <c r="L231" s="102"/>
      <c r="M231" s="102"/>
    </row>
    <row r="232" ht="15.75" customHeight="1">
      <c r="D232" s="4"/>
      <c r="E232" s="101"/>
      <c r="F232" s="5"/>
      <c r="G232" s="5"/>
      <c r="H232" s="102"/>
      <c r="I232" s="102"/>
      <c r="J232" s="102"/>
      <c r="K232" s="102"/>
      <c r="L232" s="102"/>
      <c r="M232" s="102"/>
    </row>
    <row r="233" ht="15.75" customHeight="1">
      <c r="D233" s="4"/>
      <c r="E233" s="101"/>
      <c r="F233" s="5"/>
      <c r="G233" s="5"/>
      <c r="H233" s="102"/>
      <c r="I233" s="102"/>
      <c r="J233" s="102"/>
      <c r="K233" s="102"/>
      <c r="L233" s="102"/>
      <c r="M233" s="102"/>
    </row>
    <row r="234" ht="15.75" customHeight="1">
      <c r="D234" s="4"/>
      <c r="E234" s="101"/>
      <c r="F234" s="5"/>
      <c r="G234" s="5"/>
      <c r="H234" s="102"/>
      <c r="I234" s="102"/>
      <c r="J234" s="102"/>
      <c r="K234" s="102"/>
      <c r="L234" s="102"/>
      <c r="M234" s="102"/>
    </row>
    <row r="235" ht="15.75" customHeight="1">
      <c r="D235" s="4"/>
      <c r="E235" s="101"/>
      <c r="F235" s="5"/>
      <c r="G235" s="5"/>
      <c r="H235" s="102"/>
      <c r="I235" s="102"/>
      <c r="J235" s="102"/>
      <c r="K235" s="102"/>
      <c r="L235" s="102"/>
      <c r="M235" s="102"/>
    </row>
    <row r="236" ht="15.75" customHeight="1">
      <c r="D236" s="4"/>
      <c r="E236" s="101"/>
      <c r="F236" s="5"/>
      <c r="G236" s="5"/>
      <c r="H236" s="102"/>
      <c r="I236" s="102"/>
      <c r="J236" s="102"/>
      <c r="K236" s="102"/>
      <c r="L236" s="102"/>
      <c r="M236" s="102"/>
    </row>
    <row r="237" ht="15.75" customHeight="1">
      <c r="D237" s="4"/>
      <c r="E237" s="101"/>
      <c r="F237" s="5"/>
      <c r="G237" s="5"/>
      <c r="H237" s="102"/>
      <c r="I237" s="102"/>
      <c r="J237" s="102"/>
      <c r="K237" s="102"/>
      <c r="L237" s="102"/>
      <c r="M237" s="102"/>
    </row>
    <row r="238" ht="15.75" customHeight="1">
      <c r="D238" s="4"/>
      <c r="E238" s="101"/>
      <c r="F238" s="5"/>
      <c r="G238" s="5"/>
      <c r="H238" s="102"/>
      <c r="I238" s="102"/>
      <c r="J238" s="102"/>
      <c r="K238" s="102"/>
      <c r="L238" s="102"/>
      <c r="M238" s="102"/>
    </row>
    <row r="239" ht="15.75" customHeight="1">
      <c r="D239" s="4"/>
      <c r="E239" s="101"/>
      <c r="F239" s="5"/>
      <c r="G239" s="5"/>
      <c r="H239" s="102"/>
      <c r="I239" s="102"/>
      <c r="J239" s="102"/>
      <c r="K239" s="102"/>
      <c r="L239" s="102"/>
      <c r="M239" s="102"/>
    </row>
    <row r="240" ht="15.75" customHeight="1">
      <c r="D240" s="4"/>
      <c r="E240" s="101"/>
      <c r="F240" s="5"/>
      <c r="G240" s="5"/>
      <c r="H240" s="102"/>
      <c r="I240" s="102"/>
      <c r="J240" s="102"/>
      <c r="K240" s="102"/>
      <c r="L240" s="102"/>
      <c r="M240" s="102"/>
    </row>
    <row r="241" ht="15.75" customHeight="1">
      <c r="D241" s="4"/>
      <c r="E241" s="101"/>
      <c r="F241" s="5"/>
      <c r="G241" s="5"/>
      <c r="H241" s="102"/>
      <c r="I241" s="102"/>
      <c r="J241" s="102"/>
      <c r="K241" s="102"/>
      <c r="L241" s="102"/>
      <c r="M241" s="102"/>
    </row>
    <row r="242" ht="15.75" customHeight="1">
      <c r="D242" s="4"/>
      <c r="E242" s="101"/>
      <c r="F242" s="5"/>
      <c r="G242" s="5"/>
      <c r="H242" s="102"/>
      <c r="I242" s="102"/>
      <c r="J242" s="102"/>
      <c r="K242" s="102"/>
      <c r="L242" s="102"/>
      <c r="M242" s="102"/>
    </row>
    <row r="243" ht="15.75" customHeight="1">
      <c r="D243" s="4"/>
      <c r="E243" s="101"/>
      <c r="F243" s="5"/>
      <c r="G243" s="5"/>
      <c r="H243" s="102"/>
      <c r="I243" s="102"/>
      <c r="J243" s="102"/>
      <c r="K243" s="102"/>
      <c r="L243" s="102"/>
      <c r="M243" s="102"/>
    </row>
    <row r="244" ht="15.75" customHeight="1">
      <c r="D244" s="4"/>
      <c r="E244" s="101"/>
      <c r="F244" s="5"/>
      <c r="G244" s="5"/>
      <c r="H244" s="102"/>
      <c r="I244" s="102"/>
      <c r="J244" s="102"/>
      <c r="K244" s="102"/>
      <c r="L244" s="102"/>
      <c r="M244" s="102"/>
    </row>
    <row r="245" ht="15.75" customHeight="1">
      <c r="D245" s="4"/>
      <c r="E245" s="101"/>
      <c r="F245" s="5"/>
      <c r="G245" s="5"/>
      <c r="H245" s="102"/>
      <c r="I245" s="102"/>
      <c r="J245" s="102"/>
      <c r="K245" s="102"/>
      <c r="L245" s="102"/>
      <c r="M245" s="102"/>
    </row>
    <row r="246" ht="15.75" customHeight="1">
      <c r="D246" s="4"/>
      <c r="E246" s="101"/>
      <c r="F246" s="5"/>
      <c r="G246" s="5"/>
      <c r="H246" s="102"/>
      <c r="I246" s="102"/>
      <c r="J246" s="102"/>
      <c r="K246" s="102"/>
      <c r="L246" s="102"/>
      <c r="M246" s="102"/>
    </row>
    <row r="247" ht="15.75" customHeight="1">
      <c r="D247" s="4"/>
      <c r="E247" s="101"/>
      <c r="F247" s="5"/>
      <c r="G247" s="5"/>
      <c r="H247" s="102"/>
      <c r="I247" s="102"/>
      <c r="J247" s="102"/>
      <c r="K247" s="102"/>
      <c r="L247" s="102"/>
      <c r="M247" s="102"/>
    </row>
    <row r="248" ht="15.75" customHeight="1">
      <c r="D248" s="4"/>
      <c r="E248" s="101"/>
      <c r="F248" s="5"/>
      <c r="G248" s="5"/>
      <c r="H248" s="102"/>
      <c r="I248" s="102"/>
      <c r="J248" s="102"/>
      <c r="K248" s="102"/>
      <c r="L248" s="102"/>
      <c r="M248" s="102"/>
    </row>
    <row r="249" ht="15.75" customHeight="1">
      <c r="D249" s="4"/>
      <c r="E249" s="101"/>
      <c r="F249" s="5"/>
      <c r="G249" s="5"/>
      <c r="H249" s="102"/>
      <c r="I249" s="102"/>
      <c r="J249" s="102"/>
      <c r="K249" s="102"/>
      <c r="L249" s="102"/>
      <c r="M249" s="102"/>
    </row>
    <row r="250" ht="15.75" customHeight="1">
      <c r="D250" s="4"/>
      <c r="E250" s="101"/>
      <c r="F250" s="5"/>
      <c r="G250" s="5"/>
      <c r="H250" s="102"/>
      <c r="I250" s="102"/>
      <c r="J250" s="102"/>
      <c r="K250" s="102"/>
      <c r="L250" s="102"/>
      <c r="M250" s="102"/>
    </row>
    <row r="251" ht="15.75" customHeight="1">
      <c r="D251" s="4"/>
      <c r="E251" s="101"/>
      <c r="F251" s="5"/>
      <c r="G251" s="5"/>
      <c r="H251" s="102"/>
      <c r="I251" s="102"/>
      <c r="J251" s="102"/>
      <c r="K251" s="102"/>
      <c r="L251" s="102"/>
      <c r="M251" s="102"/>
    </row>
    <row r="252" ht="15.75" customHeight="1">
      <c r="D252" s="4"/>
      <c r="E252" s="101"/>
      <c r="F252" s="5"/>
      <c r="G252" s="5"/>
      <c r="H252" s="102"/>
      <c r="I252" s="102"/>
      <c r="J252" s="102"/>
      <c r="K252" s="102"/>
      <c r="L252" s="102"/>
      <c r="M252" s="102"/>
    </row>
    <row r="253" ht="15.75" customHeight="1">
      <c r="D253" s="4"/>
      <c r="E253" s="101"/>
      <c r="F253" s="5"/>
      <c r="G253" s="5"/>
      <c r="H253" s="102"/>
      <c r="I253" s="102"/>
      <c r="J253" s="102"/>
      <c r="K253" s="102"/>
      <c r="L253" s="102"/>
      <c r="M253" s="102"/>
    </row>
    <row r="254" ht="15.75" customHeight="1">
      <c r="D254" s="4"/>
      <c r="E254" s="101"/>
      <c r="F254" s="5"/>
      <c r="G254" s="5"/>
      <c r="H254" s="102"/>
      <c r="I254" s="102"/>
      <c r="J254" s="102"/>
      <c r="K254" s="102"/>
      <c r="L254" s="102"/>
      <c r="M254" s="102"/>
    </row>
    <row r="255" ht="15.75" customHeight="1">
      <c r="D255" s="4"/>
      <c r="E255" s="101"/>
      <c r="F255" s="5"/>
      <c r="G255" s="5"/>
      <c r="H255" s="102"/>
      <c r="I255" s="102"/>
      <c r="J255" s="102"/>
      <c r="K255" s="102"/>
      <c r="L255" s="102"/>
      <c r="M255" s="102"/>
    </row>
    <row r="256" ht="15.75" customHeight="1">
      <c r="D256" s="4"/>
      <c r="E256" s="101"/>
      <c r="F256" s="5"/>
      <c r="G256" s="5"/>
      <c r="H256" s="102"/>
      <c r="I256" s="102"/>
      <c r="J256" s="102"/>
      <c r="K256" s="102"/>
      <c r="L256" s="102"/>
      <c r="M256" s="102"/>
    </row>
    <row r="257" ht="15.75" customHeight="1">
      <c r="D257" s="4"/>
      <c r="E257" s="101"/>
      <c r="F257" s="5"/>
      <c r="G257" s="5"/>
      <c r="H257" s="102"/>
      <c r="I257" s="102"/>
      <c r="J257" s="102"/>
      <c r="K257" s="102"/>
      <c r="L257" s="102"/>
      <c r="M257" s="102"/>
    </row>
    <row r="258" ht="15.75" customHeight="1">
      <c r="D258" s="4"/>
      <c r="E258" s="101"/>
      <c r="F258" s="5"/>
      <c r="G258" s="5"/>
      <c r="H258" s="102"/>
      <c r="I258" s="102"/>
      <c r="J258" s="102"/>
      <c r="K258" s="102"/>
      <c r="L258" s="102"/>
      <c r="M258" s="102"/>
    </row>
    <row r="259" ht="15.75" customHeight="1">
      <c r="D259" s="4"/>
      <c r="E259" s="101"/>
      <c r="F259" s="5"/>
      <c r="G259" s="5"/>
      <c r="H259" s="102"/>
      <c r="I259" s="102"/>
      <c r="J259" s="102"/>
      <c r="K259" s="102"/>
      <c r="L259" s="102"/>
      <c r="M259" s="102"/>
    </row>
    <row r="260" ht="15.75" customHeight="1">
      <c r="D260" s="4"/>
      <c r="E260" s="101"/>
      <c r="F260" s="5"/>
      <c r="G260" s="5"/>
      <c r="H260" s="102"/>
      <c r="I260" s="102"/>
      <c r="J260" s="102"/>
      <c r="K260" s="102"/>
      <c r="L260" s="102"/>
      <c r="M260" s="102"/>
    </row>
    <row r="261" ht="15.75" customHeight="1">
      <c r="D261" s="4"/>
      <c r="E261" s="101"/>
      <c r="F261" s="5"/>
      <c r="G261" s="5"/>
      <c r="H261" s="102"/>
      <c r="I261" s="102"/>
      <c r="J261" s="102"/>
      <c r="K261" s="102"/>
      <c r="L261" s="102"/>
      <c r="M261" s="102"/>
    </row>
    <row r="262" ht="15.75" customHeight="1">
      <c r="D262" s="4"/>
      <c r="E262" s="101"/>
      <c r="F262" s="5"/>
      <c r="G262" s="5"/>
      <c r="H262" s="102"/>
      <c r="I262" s="102"/>
      <c r="J262" s="102"/>
      <c r="K262" s="102"/>
      <c r="L262" s="102"/>
      <c r="M262" s="102"/>
    </row>
    <row r="263" ht="15.75" customHeight="1">
      <c r="D263" s="4"/>
      <c r="E263" s="101"/>
      <c r="F263" s="5"/>
      <c r="G263" s="5"/>
      <c r="H263" s="102"/>
      <c r="I263" s="102"/>
      <c r="J263" s="102"/>
      <c r="K263" s="102"/>
      <c r="L263" s="102"/>
      <c r="M263" s="102"/>
    </row>
    <row r="264" ht="15.75" customHeight="1">
      <c r="D264" s="4"/>
      <c r="E264" s="101"/>
      <c r="F264" s="5"/>
      <c r="G264" s="5"/>
      <c r="H264" s="102"/>
      <c r="I264" s="102"/>
      <c r="J264" s="102"/>
      <c r="K264" s="102"/>
      <c r="L264" s="102"/>
      <c r="M264" s="102"/>
    </row>
    <row r="265" ht="15.75" customHeight="1">
      <c r="D265" s="4"/>
      <c r="E265" s="101"/>
      <c r="F265" s="5"/>
      <c r="G265" s="5"/>
      <c r="H265" s="102"/>
      <c r="I265" s="102"/>
      <c r="J265" s="102"/>
      <c r="K265" s="102"/>
      <c r="L265" s="102"/>
      <c r="M265" s="102"/>
    </row>
    <row r="266" ht="15.75" customHeight="1">
      <c r="D266" s="4"/>
      <c r="E266" s="101"/>
      <c r="F266" s="5"/>
      <c r="G266" s="5"/>
      <c r="H266" s="102"/>
      <c r="I266" s="102"/>
      <c r="J266" s="102"/>
      <c r="K266" s="102"/>
      <c r="L266" s="102"/>
      <c r="M266" s="102"/>
    </row>
    <row r="267" ht="15.75" customHeight="1">
      <c r="D267" s="4"/>
      <c r="E267" s="101"/>
      <c r="F267" s="5"/>
      <c r="G267" s="5"/>
      <c r="H267" s="102"/>
      <c r="I267" s="102"/>
      <c r="J267" s="102"/>
      <c r="K267" s="102"/>
      <c r="L267" s="102"/>
      <c r="M267" s="102"/>
    </row>
    <row r="268" ht="15.75" customHeight="1">
      <c r="D268" s="4"/>
      <c r="E268" s="101"/>
      <c r="F268" s="5"/>
      <c r="G268" s="5"/>
      <c r="H268" s="102"/>
      <c r="I268" s="102"/>
      <c r="J268" s="102"/>
      <c r="K268" s="102"/>
      <c r="L268" s="102"/>
      <c r="M268" s="102"/>
    </row>
    <row r="269" ht="15.75" customHeight="1">
      <c r="D269" s="4"/>
      <c r="E269" s="101"/>
      <c r="F269" s="5"/>
      <c r="G269" s="5"/>
      <c r="H269" s="102"/>
      <c r="I269" s="102"/>
      <c r="J269" s="102"/>
      <c r="K269" s="102"/>
      <c r="L269" s="102"/>
      <c r="M269" s="102"/>
    </row>
    <row r="270" ht="15.75" customHeight="1">
      <c r="D270" s="4"/>
      <c r="E270" s="101"/>
      <c r="F270" s="5"/>
      <c r="G270" s="5"/>
      <c r="H270" s="102"/>
      <c r="I270" s="102"/>
      <c r="J270" s="102"/>
      <c r="K270" s="102"/>
      <c r="L270" s="102"/>
      <c r="M270" s="102"/>
    </row>
    <row r="271" ht="15.75" customHeight="1">
      <c r="D271" s="4"/>
      <c r="E271" s="101"/>
      <c r="F271" s="5"/>
      <c r="G271" s="5"/>
      <c r="H271" s="102"/>
      <c r="I271" s="102"/>
      <c r="J271" s="102"/>
      <c r="K271" s="102"/>
      <c r="L271" s="102"/>
      <c r="M271" s="102"/>
    </row>
    <row r="272" ht="15.75" customHeight="1">
      <c r="D272" s="4"/>
      <c r="E272" s="101"/>
      <c r="F272" s="5"/>
      <c r="G272" s="5"/>
      <c r="H272" s="102"/>
      <c r="I272" s="102"/>
      <c r="J272" s="102"/>
      <c r="K272" s="102"/>
      <c r="L272" s="102"/>
      <c r="M272" s="102"/>
    </row>
    <row r="273" ht="15.75" customHeight="1">
      <c r="D273" s="4"/>
      <c r="E273" s="101"/>
      <c r="F273" s="5"/>
      <c r="G273" s="5"/>
      <c r="H273" s="102"/>
      <c r="I273" s="102"/>
      <c r="J273" s="102"/>
      <c r="K273" s="102"/>
      <c r="L273" s="102"/>
      <c r="M273" s="102"/>
    </row>
    <row r="274" ht="15.75" customHeight="1">
      <c r="D274" s="4"/>
      <c r="E274" s="101"/>
      <c r="F274" s="5"/>
      <c r="G274" s="5"/>
      <c r="H274" s="102"/>
      <c r="I274" s="102"/>
      <c r="J274" s="102"/>
      <c r="K274" s="102"/>
      <c r="L274" s="102"/>
      <c r="M274" s="102"/>
    </row>
    <row r="275" ht="15.75" customHeight="1">
      <c r="D275" s="4"/>
      <c r="E275" s="101"/>
      <c r="F275" s="5"/>
      <c r="G275" s="5"/>
      <c r="H275" s="102"/>
      <c r="I275" s="102"/>
      <c r="J275" s="102"/>
      <c r="K275" s="102"/>
      <c r="L275" s="102"/>
      <c r="M275" s="102"/>
    </row>
    <row r="276" ht="15.75" customHeight="1">
      <c r="D276" s="4"/>
      <c r="E276" s="101"/>
      <c r="F276" s="5"/>
      <c r="G276" s="5"/>
      <c r="H276" s="102"/>
      <c r="I276" s="102"/>
      <c r="J276" s="102"/>
      <c r="K276" s="102"/>
      <c r="L276" s="102"/>
      <c r="M276" s="102"/>
    </row>
    <row r="277" ht="15.75" customHeight="1">
      <c r="D277" s="4"/>
      <c r="E277" s="101"/>
      <c r="F277" s="5"/>
      <c r="G277" s="5"/>
      <c r="H277" s="102"/>
      <c r="I277" s="102"/>
      <c r="J277" s="102"/>
      <c r="K277" s="102"/>
      <c r="L277" s="102"/>
      <c r="M277" s="102"/>
    </row>
    <row r="278" ht="15.75" customHeight="1">
      <c r="D278" s="4"/>
      <c r="E278" s="101"/>
      <c r="F278" s="5"/>
      <c r="G278" s="5"/>
      <c r="H278" s="102"/>
      <c r="I278" s="102"/>
      <c r="J278" s="102"/>
      <c r="K278" s="102"/>
      <c r="L278" s="102"/>
      <c r="M278" s="102"/>
    </row>
    <row r="279" ht="15.75" customHeight="1">
      <c r="D279" s="4"/>
      <c r="E279" s="101"/>
      <c r="F279" s="5"/>
      <c r="G279" s="5"/>
      <c r="H279" s="102"/>
      <c r="I279" s="102"/>
      <c r="J279" s="102"/>
      <c r="K279" s="102"/>
      <c r="L279" s="102"/>
      <c r="M279" s="102"/>
    </row>
    <row r="280" ht="15.75" customHeight="1">
      <c r="D280" s="4"/>
      <c r="E280" s="101"/>
      <c r="F280" s="5"/>
      <c r="G280" s="5"/>
      <c r="H280" s="102"/>
      <c r="I280" s="102"/>
      <c r="J280" s="102"/>
      <c r="K280" s="102"/>
      <c r="L280" s="102"/>
      <c r="M280" s="102"/>
    </row>
    <row r="281" ht="15.75" customHeight="1">
      <c r="D281" s="4"/>
      <c r="E281" s="101"/>
      <c r="F281" s="5"/>
      <c r="G281" s="5"/>
      <c r="H281" s="102"/>
      <c r="I281" s="102"/>
      <c r="J281" s="102"/>
      <c r="K281" s="102"/>
      <c r="L281" s="102"/>
      <c r="M281" s="102"/>
    </row>
    <row r="282" ht="15.75" customHeight="1">
      <c r="D282" s="4"/>
      <c r="E282" s="101"/>
      <c r="F282" s="5"/>
      <c r="G282" s="5"/>
      <c r="H282" s="102"/>
      <c r="I282" s="102"/>
      <c r="J282" s="102"/>
      <c r="K282" s="102"/>
      <c r="L282" s="102"/>
      <c r="M282" s="102"/>
    </row>
    <row r="283" ht="15.75" customHeight="1">
      <c r="D283" s="4"/>
      <c r="E283" s="101"/>
      <c r="F283" s="5"/>
      <c r="G283" s="5"/>
      <c r="H283" s="102"/>
      <c r="I283" s="102"/>
      <c r="J283" s="102"/>
      <c r="K283" s="102"/>
      <c r="L283" s="102"/>
      <c r="M283" s="102"/>
    </row>
    <row r="284" ht="15.75" customHeight="1">
      <c r="D284" s="4"/>
      <c r="E284" s="101"/>
      <c r="F284" s="5"/>
      <c r="G284" s="5"/>
      <c r="H284" s="102"/>
      <c r="I284" s="102"/>
      <c r="J284" s="102"/>
      <c r="K284" s="102"/>
      <c r="L284" s="102"/>
      <c r="M284" s="102"/>
    </row>
    <row r="285" ht="15.75" customHeight="1">
      <c r="D285" s="4"/>
      <c r="E285" s="101"/>
      <c r="F285" s="5"/>
      <c r="G285" s="5"/>
      <c r="H285" s="102"/>
      <c r="I285" s="102"/>
      <c r="J285" s="102"/>
      <c r="K285" s="102"/>
      <c r="L285" s="102"/>
      <c r="M285" s="102"/>
    </row>
    <row r="286" ht="15.75" customHeight="1">
      <c r="D286" s="4"/>
      <c r="E286" s="101"/>
      <c r="F286" s="5"/>
      <c r="G286" s="5"/>
      <c r="H286" s="102"/>
      <c r="I286" s="102"/>
      <c r="J286" s="102"/>
      <c r="K286" s="102"/>
      <c r="L286" s="102"/>
      <c r="M286" s="102"/>
    </row>
    <row r="287" ht="15.75" customHeight="1">
      <c r="D287" s="4"/>
      <c r="E287" s="101"/>
      <c r="F287" s="5"/>
      <c r="G287" s="5"/>
      <c r="H287" s="102"/>
      <c r="I287" s="102"/>
      <c r="J287" s="102"/>
      <c r="K287" s="102"/>
      <c r="L287" s="102"/>
      <c r="M287" s="102"/>
    </row>
    <row r="288" ht="15.75" customHeight="1">
      <c r="D288" s="4"/>
      <c r="E288" s="101"/>
      <c r="F288" s="5"/>
      <c r="G288" s="5"/>
      <c r="H288" s="102"/>
      <c r="I288" s="102"/>
      <c r="J288" s="102"/>
      <c r="K288" s="102"/>
      <c r="L288" s="102"/>
      <c r="M288" s="102"/>
    </row>
    <row r="289" ht="15.75" customHeight="1">
      <c r="D289" s="4"/>
      <c r="E289" s="101"/>
      <c r="F289" s="5"/>
      <c r="G289" s="5"/>
      <c r="H289" s="102"/>
      <c r="I289" s="102"/>
      <c r="J289" s="102"/>
      <c r="K289" s="102"/>
      <c r="L289" s="102"/>
      <c r="M289" s="102"/>
    </row>
    <row r="290" ht="15.75" customHeight="1">
      <c r="D290" s="4"/>
      <c r="E290" s="101"/>
      <c r="F290" s="5"/>
      <c r="G290" s="5"/>
      <c r="H290" s="102"/>
      <c r="I290" s="102"/>
      <c r="J290" s="102"/>
      <c r="K290" s="102"/>
      <c r="L290" s="102"/>
      <c r="M290" s="102"/>
    </row>
    <row r="291" ht="15.75" customHeight="1">
      <c r="D291" s="4"/>
      <c r="E291" s="101"/>
      <c r="F291" s="5"/>
      <c r="G291" s="5"/>
      <c r="H291" s="102"/>
      <c r="I291" s="102"/>
      <c r="J291" s="102"/>
      <c r="K291" s="102"/>
      <c r="L291" s="102"/>
      <c r="M291" s="102"/>
    </row>
    <row r="292" ht="15.75" customHeight="1">
      <c r="D292" s="4"/>
      <c r="E292" s="101"/>
      <c r="F292" s="5"/>
      <c r="G292" s="5"/>
      <c r="H292" s="102"/>
      <c r="I292" s="102"/>
      <c r="J292" s="102"/>
      <c r="K292" s="102"/>
      <c r="L292" s="102"/>
      <c r="M292" s="102"/>
    </row>
    <row r="293" ht="15.75" customHeight="1">
      <c r="D293" s="4"/>
      <c r="E293" s="101"/>
      <c r="F293" s="5"/>
      <c r="G293" s="5"/>
      <c r="H293" s="102"/>
      <c r="I293" s="102"/>
      <c r="J293" s="102"/>
      <c r="K293" s="102"/>
      <c r="L293" s="102"/>
      <c r="M293" s="102"/>
    </row>
    <row r="294" ht="15.75" customHeight="1">
      <c r="D294" s="4"/>
      <c r="E294" s="101"/>
      <c r="F294" s="5"/>
      <c r="G294" s="5"/>
      <c r="H294" s="102"/>
      <c r="I294" s="102"/>
      <c r="J294" s="102"/>
      <c r="K294" s="102"/>
      <c r="L294" s="102"/>
      <c r="M294" s="102"/>
    </row>
    <row r="295" ht="15.75" customHeight="1">
      <c r="D295" s="4"/>
      <c r="E295" s="101"/>
      <c r="F295" s="5"/>
      <c r="G295" s="5"/>
      <c r="H295" s="102"/>
      <c r="I295" s="102"/>
      <c r="J295" s="102"/>
      <c r="K295" s="102"/>
      <c r="L295" s="102"/>
      <c r="M295" s="102"/>
    </row>
    <row r="296" ht="15.75" customHeight="1">
      <c r="D296" s="4"/>
      <c r="E296" s="101"/>
      <c r="F296" s="5"/>
      <c r="G296" s="5"/>
      <c r="H296" s="102"/>
      <c r="I296" s="102"/>
      <c r="J296" s="102"/>
      <c r="K296" s="102"/>
      <c r="L296" s="102"/>
      <c r="M296" s="102"/>
    </row>
    <row r="297" ht="15.75" customHeight="1">
      <c r="D297" s="4"/>
      <c r="E297" s="101"/>
      <c r="F297" s="5"/>
      <c r="G297" s="5"/>
      <c r="H297" s="102"/>
      <c r="I297" s="102"/>
      <c r="J297" s="102"/>
      <c r="K297" s="102"/>
      <c r="L297" s="102"/>
      <c r="M297" s="102"/>
    </row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E9:E11"/>
    <mergeCell ref="F9:F11"/>
    <mergeCell ref="G9:G11"/>
    <mergeCell ref="H9:H11"/>
    <mergeCell ref="I9:I11"/>
    <mergeCell ref="J9:J11"/>
    <mergeCell ref="K9:K11"/>
    <mergeCell ref="L9:L11"/>
    <mergeCell ref="M9:M11"/>
    <mergeCell ref="N9:N11"/>
    <mergeCell ref="A1:AL1"/>
    <mergeCell ref="A2:AL2"/>
    <mergeCell ref="A3:AL3"/>
    <mergeCell ref="A4:AL4"/>
    <mergeCell ref="A5:AL5"/>
    <mergeCell ref="A6:AL6"/>
    <mergeCell ref="D9:D11"/>
  </mergeCells>
  <conditionalFormatting sqref="C15">
    <cfRule type="expression" dxfId="4" priority="1">
      <formula>LEN(TRIM(C15))&gt;0</formula>
    </cfRule>
  </conditionalFormatting>
  <printOptions/>
  <pageMargins bottom="0.75" footer="0.0" header="0.0" left="0.7" right="0.7" top="0.75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29"/>
    <col customWidth="1" min="3" max="3" width="35.0"/>
    <col customWidth="1" min="4" max="4" width="10.0"/>
    <col customWidth="1" min="5" max="5" width="10.29"/>
    <col customWidth="1" min="6" max="6" width="9.29"/>
    <col customWidth="1" min="7" max="7" width="8.71"/>
    <col customWidth="1" min="8" max="8" width="11.43"/>
    <col customWidth="1" min="9" max="9" width="8.71"/>
    <col customWidth="1" min="10" max="11" width="11.0"/>
    <col customWidth="1" min="12" max="12" width="10.86"/>
    <col customWidth="1" min="13" max="38" width="8.71"/>
  </cols>
  <sheetData>
    <row r="1" ht="17.25" customHeight="1">
      <c r="A1" s="7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3"/>
    </row>
    <row r="2" ht="17.25" customHeight="1">
      <c r="A2" s="7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3"/>
    </row>
    <row r="3" ht="17.25" customHeight="1">
      <c r="A3" s="7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3"/>
    </row>
    <row r="4" ht="17.25" customHeight="1">
      <c r="A4" s="71" t="s">
        <v>178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3"/>
    </row>
    <row r="5" ht="17.25" customHeight="1">
      <c r="A5" s="71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3"/>
    </row>
    <row r="6" ht="17.25" customHeight="1">
      <c r="A6" s="71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3"/>
    </row>
    <row r="7" ht="17.25" customHeight="1">
      <c r="D7" s="104" t="s">
        <v>179</v>
      </c>
      <c r="E7" s="104" t="s">
        <v>180</v>
      </c>
      <c r="F7" s="105" t="s">
        <v>181</v>
      </c>
      <c r="G7" s="105" t="s">
        <v>182</v>
      </c>
      <c r="H7" s="104" t="s">
        <v>183</v>
      </c>
      <c r="I7" s="106" t="s">
        <v>184</v>
      </c>
      <c r="J7" s="106" t="s">
        <v>185</v>
      </c>
      <c r="K7" s="106" t="s">
        <v>186</v>
      </c>
      <c r="L7" s="107" t="s">
        <v>187</v>
      </c>
      <c r="M7" s="107" t="s">
        <v>188</v>
      </c>
      <c r="N7" s="107" t="s">
        <v>189</v>
      </c>
    </row>
    <row r="8" ht="17.25" customHeight="1"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</row>
    <row r="9" ht="45.75" customHeight="1"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</row>
    <row r="10" ht="17.25" customHeight="1">
      <c r="A10" s="36" t="str">
        <f>IFERROR(__xludf.DUMMYFUNCTION("FILTER(Total_CSE!A13:N97,Total_CSE!N13:N97 &lt;75)"),"#REF!")</f>
        <v>#REF!</v>
      </c>
      <c r="B10" s="36" t="str">
        <f t="shared" ref="B10:N10" si="1">"COMPUTED_VALUE"</f>
        <v>COMPUTED_VALUE</v>
      </c>
      <c r="C10" s="36" t="str">
        <f t="shared" si="1"/>
        <v>COMPUTED_VALUE</v>
      </c>
      <c r="D10" s="36" t="str">
        <f t="shared" si="1"/>
        <v>COMPUTED_VALUE</v>
      </c>
      <c r="E10" s="36" t="str">
        <f t="shared" si="1"/>
        <v>COMPUTED_VALUE</v>
      </c>
      <c r="F10" s="36" t="str">
        <f t="shared" si="1"/>
        <v>COMPUTED_VALUE</v>
      </c>
      <c r="G10" s="36" t="str">
        <f t="shared" si="1"/>
        <v>COMPUTED_VALUE</v>
      </c>
      <c r="H10" s="36" t="str">
        <f t="shared" si="1"/>
        <v>COMPUTED_VALUE</v>
      </c>
      <c r="I10" s="120" t="str">
        <f t="shared" si="1"/>
        <v>COMPUTED_VALUE</v>
      </c>
      <c r="J10" s="121" t="str">
        <f t="shared" si="1"/>
        <v>COMPUTED_VALUE</v>
      </c>
      <c r="K10" s="121" t="str">
        <f t="shared" si="1"/>
        <v>COMPUTED_VALUE</v>
      </c>
      <c r="L10" s="121" t="str">
        <f t="shared" si="1"/>
        <v>COMPUTED_VALUE</v>
      </c>
      <c r="M10" s="122" t="str">
        <f t="shared" si="1"/>
        <v>COMPUTED_VALUE</v>
      </c>
      <c r="N10" s="121" t="str">
        <f t="shared" si="1"/>
        <v>COMPUTED_VALUE</v>
      </c>
    </row>
    <row r="11" ht="17.25" customHeight="1">
      <c r="A11" s="36" t="str">
        <f t="shared" ref="A11:N11" si="2">"COMPUTED_VALUE"</f>
        <v>COMPUTED_VALUE</v>
      </c>
      <c r="B11" s="36" t="str">
        <f t="shared" si="2"/>
        <v>COMPUTED_VALUE</v>
      </c>
      <c r="C11" s="36" t="str">
        <f t="shared" si="2"/>
        <v>COMPUTED_VALUE</v>
      </c>
      <c r="D11" s="36" t="str">
        <f t="shared" si="2"/>
        <v>COMPUTED_VALUE</v>
      </c>
      <c r="E11" s="36" t="str">
        <f t="shared" si="2"/>
        <v>COMPUTED_VALUE</v>
      </c>
      <c r="F11" s="36" t="str">
        <f t="shared" si="2"/>
        <v>COMPUTED_VALUE</v>
      </c>
      <c r="G11" s="36" t="str">
        <f t="shared" si="2"/>
        <v>COMPUTED_VALUE</v>
      </c>
      <c r="H11" s="36" t="str">
        <f t="shared" si="2"/>
        <v>COMPUTED_VALUE</v>
      </c>
      <c r="I11" s="120" t="str">
        <f t="shared" si="2"/>
        <v>COMPUTED_VALUE</v>
      </c>
      <c r="J11" s="121" t="str">
        <f t="shared" si="2"/>
        <v>COMPUTED_VALUE</v>
      </c>
      <c r="K11" s="121" t="str">
        <f t="shared" si="2"/>
        <v>COMPUTED_VALUE</v>
      </c>
      <c r="L11" s="121" t="str">
        <f t="shared" si="2"/>
        <v>COMPUTED_VALUE</v>
      </c>
      <c r="M11" s="122" t="str">
        <f t="shared" si="2"/>
        <v>COMPUTED_VALUE</v>
      </c>
      <c r="N11" s="121" t="str">
        <f t="shared" si="2"/>
        <v>COMPUTED_VALUE</v>
      </c>
    </row>
    <row r="12" ht="17.25" customHeight="1">
      <c r="A12" s="36" t="str">
        <f t="shared" ref="A12:N12" si="3">"COMPUTED_VALUE"</f>
        <v>COMPUTED_VALUE</v>
      </c>
      <c r="B12" s="36" t="str">
        <f t="shared" si="3"/>
        <v>COMPUTED_VALUE</v>
      </c>
      <c r="C12" s="36" t="str">
        <f t="shared" si="3"/>
        <v>COMPUTED_VALUE</v>
      </c>
      <c r="D12" s="36" t="str">
        <f t="shared" si="3"/>
        <v>COMPUTED_VALUE</v>
      </c>
      <c r="E12" s="36" t="str">
        <f t="shared" si="3"/>
        <v>COMPUTED_VALUE</v>
      </c>
      <c r="F12" s="36" t="str">
        <f t="shared" si="3"/>
        <v>COMPUTED_VALUE</v>
      </c>
      <c r="G12" s="36" t="str">
        <f t="shared" si="3"/>
        <v>COMPUTED_VALUE</v>
      </c>
      <c r="H12" s="36" t="str">
        <f t="shared" si="3"/>
        <v>COMPUTED_VALUE</v>
      </c>
      <c r="I12" s="120" t="str">
        <f t="shared" si="3"/>
        <v>COMPUTED_VALUE</v>
      </c>
      <c r="J12" s="121" t="str">
        <f t="shared" si="3"/>
        <v>COMPUTED_VALUE</v>
      </c>
      <c r="K12" s="121" t="str">
        <f t="shared" si="3"/>
        <v>COMPUTED_VALUE</v>
      </c>
      <c r="L12" s="121" t="str">
        <f t="shared" si="3"/>
        <v>COMPUTED_VALUE</v>
      </c>
      <c r="M12" s="122" t="str">
        <f t="shared" si="3"/>
        <v>COMPUTED_VALUE</v>
      </c>
      <c r="N12" s="121" t="str">
        <f t="shared" si="3"/>
        <v>COMPUTED_VALUE</v>
      </c>
    </row>
    <row r="13">
      <c r="A13" s="36" t="str">
        <f t="shared" ref="A13:N13" si="4">"COMPUTED_VALUE"</f>
        <v>COMPUTED_VALUE</v>
      </c>
      <c r="B13" s="36" t="str">
        <f t="shared" si="4"/>
        <v>COMPUTED_VALUE</v>
      </c>
      <c r="C13" s="36" t="str">
        <f t="shared" si="4"/>
        <v>COMPUTED_VALUE</v>
      </c>
      <c r="D13" s="36" t="str">
        <f t="shared" si="4"/>
        <v>COMPUTED_VALUE</v>
      </c>
      <c r="E13" s="36" t="str">
        <f t="shared" si="4"/>
        <v>COMPUTED_VALUE</v>
      </c>
      <c r="F13" s="36" t="str">
        <f t="shared" si="4"/>
        <v>COMPUTED_VALUE</v>
      </c>
      <c r="G13" s="36" t="str">
        <f t="shared" si="4"/>
        <v>COMPUTED_VALUE</v>
      </c>
      <c r="H13" s="36" t="str">
        <f t="shared" si="4"/>
        <v>COMPUTED_VALUE</v>
      </c>
      <c r="I13" s="120" t="str">
        <f t="shared" si="4"/>
        <v>COMPUTED_VALUE</v>
      </c>
      <c r="J13" s="121" t="str">
        <f t="shared" si="4"/>
        <v>COMPUTED_VALUE</v>
      </c>
      <c r="K13" s="121" t="str">
        <f t="shared" si="4"/>
        <v>COMPUTED_VALUE</v>
      </c>
      <c r="L13" s="121" t="str">
        <f t="shared" si="4"/>
        <v>COMPUTED_VALUE</v>
      </c>
      <c r="M13" s="123" t="str">
        <f t="shared" si="4"/>
        <v>COMPUTED_VALUE</v>
      </c>
      <c r="N13" s="121" t="str">
        <f t="shared" si="4"/>
        <v>COMPUTED_VALUE</v>
      </c>
    </row>
    <row r="14">
      <c r="A14" s="36" t="str">
        <f t="shared" ref="A14:N14" si="5">"COMPUTED_VALUE"</f>
        <v>COMPUTED_VALUE</v>
      </c>
      <c r="B14" s="36" t="str">
        <f t="shared" si="5"/>
        <v>COMPUTED_VALUE</v>
      </c>
      <c r="C14" s="36" t="str">
        <f t="shared" si="5"/>
        <v>COMPUTED_VALUE</v>
      </c>
      <c r="D14" s="36" t="str">
        <f t="shared" si="5"/>
        <v>COMPUTED_VALUE</v>
      </c>
      <c r="E14" s="36" t="str">
        <f t="shared" si="5"/>
        <v>COMPUTED_VALUE</v>
      </c>
      <c r="F14" s="36" t="str">
        <f t="shared" si="5"/>
        <v>COMPUTED_VALUE</v>
      </c>
      <c r="G14" s="36" t="str">
        <f t="shared" si="5"/>
        <v>COMPUTED_VALUE</v>
      </c>
      <c r="H14" s="36" t="str">
        <f t="shared" si="5"/>
        <v>COMPUTED_VALUE</v>
      </c>
      <c r="I14" s="120" t="str">
        <f t="shared" si="5"/>
        <v>COMPUTED_VALUE</v>
      </c>
      <c r="J14" s="121" t="str">
        <f t="shared" si="5"/>
        <v>COMPUTED_VALUE</v>
      </c>
      <c r="K14" s="121" t="str">
        <f t="shared" si="5"/>
        <v>COMPUTED_VALUE</v>
      </c>
      <c r="L14" s="121" t="str">
        <f t="shared" si="5"/>
        <v>COMPUTED_VALUE</v>
      </c>
      <c r="M14" s="123" t="str">
        <f t="shared" si="5"/>
        <v>COMPUTED_VALUE</v>
      </c>
      <c r="N14" s="121" t="str">
        <f t="shared" si="5"/>
        <v>COMPUTED_VALUE</v>
      </c>
    </row>
    <row r="15" ht="15.0" customHeight="1">
      <c r="A15" s="36" t="str">
        <f t="shared" ref="A15:N15" si="6">"COMPUTED_VALUE"</f>
        <v>COMPUTED_VALUE</v>
      </c>
      <c r="B15" s="36" t="str">
        <f t="shared" si="6"/>
        <v>COMPUTED_VALUE</v>
      </c>
      <c r="C15" s="36" t="str">
        <f t="shared" si="6"/>
        <v>COMPUTED_VALUE</v>
      </c>
      <c r="D15" s="36" t="str">
        <f t="shared" si="6"/>
        <v>COMPUTED_VALUE</v>
      </c>
      <c r="E15" s="36" t="str">
        <f t="shared" si="6"/>
        <v>COMPUTED_VALUE</v>
      </c>
      <c r="F15" s="36" t="str">
        <f t="shared" si="6"/>
        <v>COMPUTED_VALUE</v>
      </c>
      <c r="G15" s="36" t="str">
        <f t="shared" si="6"/>
        <v>COMPUTED_VALUE</v>
      </c>
      <c r="H15" s="36" t="str">
        <f t="shared" si="6"/>
        <v>COMPUTED_VALUE</v>
      </c>
      <c r="I15" s="120" t="str">
        <f t="shared" si="6"/>
        <v>COMPUTED_VALUE</v>
      </c>
      <c r="J15" s="121" t="str">
        <f t="shared" si="6"/>
        <v>COMPUTED_VALUE</v>
      </c>
      <c r="K15" s="121" t="str">
        <f t="shared" si="6"/>
        <v>COMPUTED_VALUE</v>
      </c>
      <c r="L15" s="121" t="str">
        <f t="shared" si="6"/>
        <v>COMPUTED_VALUE</v>
      </c>
      <c r="M15" s="123" t="str">
        <f t="shared" si="6"/>
        <v>COMPUTED_VALUE</v>
      </c>
      <c r="N15" s="121" t="str">
        <f t="shared" si="6"/>
        <v>COMPUTED_VALUE</v>
      </c>
    </row>
    <row r="16">
      <c r="A16" s="36" t="str">
        <f t="shared" ref="A16:N16" si="7">"COMPUTED_VALUE"</f>
        <v>COMPUTED_VALUE</v>
      </c>
      <c r="B16" s="36" t="str">
        <f t="shared" si="7"/>
        <v>COMPUTED_VALUE</v>
      </c>
      <c r="C16" s="36" t="str">
        <f t="shared" si="7"/>
        <v>COMPUTED_VALUE</v>
      </c>
      <c r="D16" s="36" t="str">
        <f t="shared" si="7"/>
        <v>COMPUTED_VALUE</v>
      </c>
      <c r="E16" s="36" t="str">
        <f t="shared" si="7"/>
        <v>COMPUTED_VALUE</v>
      </c>
      <c r="F16" s="36" t="str">
        <f t="shared" si="7"/>
        <v>COMPUTED_VALUE</v>
      </c>
      <c r="G16" s="36" t="str">
        <f t="shared" si="7"/>
        <v>COMPUTED_VALUE</v>
      </c>
      <c r="H16" s="36" t="str">
        <f t="shared" si="7"/>
        <v>COMPUTED_VALUE</v>
      </c>
      <c r="I16" s="120" t="str">
        <f t="shared" si="7"/>
        <v>COMPUTED_VALUE</v>
      </c>
      <c r="J16" s="121" t="str">
        <f t="shared" si="7"/>
        <v>COMPUTED_VALUE</v>
      </c>
      <c r="K16" s="121" t="str">
        <f t="shared" si="7"/>
        <v>COMPUTED_VALUE</v>
      </c>
      <c r="L16" s="121" t="str">
        <f t="shared" si="7"/>
        <v>COMPUTED_VALUE</v>
      </c>
      <c r="M16" s="123" t="str">
        <f t="shared" si="7"/>
        <v>COMPUTED_VALUE</v>
      </c>
      <c r="N16" s="121" t="str">
        <f t="shared" si="7"/>
        <v>COMPUTED_VALUE</v>
      </c>
    </row>
    <row r="17">
      <c r="A17" s="36" t="str">
        <f t="shared" ref="A17:N17" si="8">"COMPUTED_VALUE"</f>
        <v>COMPUTED_VALUE</v>
      </c>
      <c r="B17" s="36" t="str">
        <f t="shared" si="8"/>
        <v>COMPUTED_VALUE</v>
      </c>
      <c r="C17" s="36" t="str">
        <f t="shared" si="8"/>
        <v>COMPUTED_VALUE</v>
      </c>
      <c r="D17" s="36" t="str">
        <f t="shared" si="8"/>
        <v>COMPUTED_VALUE</v>
      </c>
      <c r="E17" s="36" t="str">
        <f t="shared" si="8"/>
        <v>COMPUTED_VALUE</v>
      </c>
      <c r="F17" s="36" t="str">
        <f t="shared" si="8"/>
        <v>COMPUTED_VALUE</v>
      </c>
      <c r="G17" s="36" t="str">
        <f t="shared" si="8"/>
        <v>COMPUTED_VALUE</v>
      </c>
      <c r="H17" s="36" t="str">
        <f t="shared" si="8"/>
        <v>COMPUTED_VALUE</v>
      </c>
      <c r="I17" s="120" t="str">
        <f t="shared" si="8"/>
        <v>COMPUTED_VALUE</v>
      </c>
      <c r="J17" s="121" t="str">
        <f t="shared" si="8"/>
        <v>COMPUTED_VALUE</v>
      </c>
      <c r="K17" s="121" t="str">
        <f t="shared" si="8"/>
        <v>COMPUTED_VALUE</v>
      </c>
      <c r="L17" s="121" t="str">
        <f t="shared" si="8"/>
        <v>COMPUTED_VALUE</v>
      </c>
      <c r="M17" s="121" t="str">
        <f t="shared" si="8"/>
        <v>COMPUTED_VALUE</v>
      </c>
      <c r="N17" s="121" t="str">
        <f t="shared" si="8"/>
        <v>COMPUTED_VALUE</v>
      </c>
    </row>
    <row r="18">
      <c r="A18" s="36" t="str">
        <f t="shared" ref="A18:N18" si="9">"COMPUTED_VALUE"</f>
        <v>COMPUTED_VALUE</v>
      </c>
      <c r="B18" s="36" t="str">
        <f t="shared" si="9"/>
        <v>COMPUTED_VALUE</v>
      </c>
      <c r="C18" s="36" t="str">
        <f t="shared" si="9"/>
        <v>COMPUTED_VALUE</v>
      </c>
      <c r="D18" s="36" t="str">
        <f t="shared" si="9"/>
        <v>COMPUTED_VALUE</v>
      </c>
      <c r="E18" s="36" t="str">
        <f t="shared" si="9"/>
        <v>COMPUTED_VALUE</v>
      </c>
      <c r="F18" s="36" t="str">
        <f t="shared" si="9"/>
        <v>COMPUTED_VALUE</v>
      </c>
      <c r="G18" s="36" t="str">
        <f t="shared" si="9"/>
        <v>COMPUTED_VALUE</v>
      </c>
      <c r="H18" s="36" t="str">
        <f t="shared" si="9"/>
        <v>COMPUTED_VALUE</v>
      </c>
      <c r="I18" s="120" t="str">
        <f t="shared" si="9"/>
        <v>COMPUTED_VALUE</v>
      </c>
      <c r="J18" s="121" t="str">
        <f t="shared" si="9"/>
        <v>COMPUTED_VALUE</v>
      </c>
      <c r="K18" s="121" t="str">
        <f t="shared" si="9"/>
        <v>COMPUTED_VALUE</v>
      </c>
      <c r="L18" s="121" t="str">
        <f t="shared" si="9"/>
        <v>COMPUTED_VALUE</v>
      </c>
      <c r="M18" s="121" t="str">
        <f t="shared" si="9"/>
        <v>COMPUTED_VALUE</v>
      </c>
      <c r="N18" s="121" t="str">
        <f t="shared" si="9"/>
        <v>COMPUTED_VALUE</v>
      </c>
    </row>
    <row r="19">
      <c r="A19" s="36" t="str">
        <f t="shared" ref="A19:N19" si="10">"COMPUTED_VALUE"</f>
        <v>COMPUTED_VALUE</v>
      </c>
      <c r="B19" s="36" t="str">
        <f t="shared" si="10"/>
        <v>COMPUTED_VALUE</v>
      </c>
      <c r="C19" s="36" t="str">
        <f t="shared" si="10"/>
        <v>COMPUTED_VALUE</v>
      </c>
      <c r="D19" s="36" t="str">
        <f t="shared" si="10"/>
        <v>COMPUTED_VALUE</v>
      </c>
      <c r="E19" s="36" t="str">
        <f t="shared" si="10"/>
        <v>COMPUTED_VALUE</v>
      </c>
      <c r="F19" s="36" t="str">
        <f t="shared" si="10"/>
        <v>COMPUTED_VALUE</v>
      </c>
      <c r="G19" s="36" t="str">
        <f t="shared" si="10"/>
        <v>COMPUTED_VALUE</v>
      </c>
      <c r="H19" s="36" t="str">
        <f t="shared" si="10"/>
        <v>COMPUTED_VALUE</v>
      </c>
      <c r="I19" s="120" t="str">
        <f t="shared" si="10"/>
        <v>COMPUTED_VALUE</v>
      </c>
      <c r="J19" s="121" t="str">
        <f t="shared" si="10"/>
        <v>COMPUTED_VALUE</v>
      </c>
      <c r="K19" s="121" t="str">
        <f t="shared" si="10"/>
        <v>COMPUTED_VALUE</v>
      </c>
      <c r="L19" s="121" t="str">
        <f t="shared" si="10"/>
        <v>COMPUTED_VALUE</v>
      </c>
      <c r="M19" s="121" t="str">
        <f t="shared" si="10"/>
        <v>COMPUTED_VALUE</v>
      </c>
      <c r="N19" s="121" t="str">
        <f t="shared" si="10"/>
        <v>COMPUTED_VALUE</v>
      </c>
    </row>
    <row r="20">
      <c r="A20" s="36" t="str">
        <f t="shared" ref="A20:N20" si="11">"COMPUTED_VALUE"</f>
        <v>COMPUTED_VALUE</v>
      </c>
      <c r="B20" s="36" t="str">
        <f t="shared" si="11"/>
        <v>COMPUTED_VALUE</v>
      </c>
      <c r="C20" s="36" t="str">
        <f t="shared" si="11"/>
        <v>COMPUTED_VALUE</v>
      </c>
      <c r="D20" s="36" t="str">
        <f t="shared" si="11"/>
        <v>COMPUTED_VALUE</v>
      </c>
      <c r="E20" s="36" t="str">
        <f t="shared" si="11"/>
        <v>COMPUTED_VALUE</v>
      </c>
      <c r="F20" s="36" t="str">
        <f t="shared" si="11"/>
        <v>COMPUTED_VALUE</v>
      </c>
      <c r="G20" s="36" t="str">
        <f t="shared" si="11"/>
        <v>COMPUTED_VALUE</v>
      </c>
      <c r="H20" s="36" t="str">
        <f t="shared" si="11"/>
        <v>COMPUTED_VALUE</v>
      </c>
      <c r="I20" s="120" t="str">
        <f t="shared" si="11"/>
        <v>COMPUTED_VALUE</v>
      </c>
      <c r="J20" s="121" t="str">
        <f t="shared" si="11"/>
        <v>COMPUTED_VALUE</v>
      </c>
      <c r="K20" s="121" t="str">
        <f t="shared" si="11"/>
        <v>COMPUTED_VALUE</v>
      </c>
      <c r="L20" s="121" t="str">
        <f t="shared" si="11"/>
        <v>COMPUTED_VALUE</v>
      </c>
      <c r="M20" s="121" t="str">
        <f t="shared" si="11"/>
        <v>COMPUTED_VALUE</v>
      </c>
      <c r="N20" s="121" t="str">
        <f t="shared" si="11"/>
        <v>COMPUTED_VALUE</v>
      </c>
    </row>
    <row r="21" ht="15.75" customHeight="1">
      <c r="A21" s="36" t="str">
        <f t="shared" ref="A21:N21" si="12">"COMPUTED_VALUE"</f>
        <v>COMPUTED_VALUE</v>
      </c>
      <c r="B21" s="36" t="str">
        <f t="shared" si="12"/>
        <v>COMPUTED_VALUE</v>
      </c>
      <c r="C21" s="36" t="str">
        <f t="shared" si="12"/>
        <v>COMPUTED_VALUE</v>
      </c>
      <c r="D21" s="36" t="str">
        <f t="shared" si="12"/>
        <v>COMPUTED_VALUE</v>
      </c>
      <c r="E21" s="36" t="str">
        <f t="shared" si="12"/>
        <v>COMPUTED_VALUE</v>
      </c>
      <c r="F21" s="36" t="str">
        <f t="shared" si="12"/>
        <v>COMPUTED_VALUE</v>
      </c>
      <c r="G21" s="36" t="str">
        <f t="shared" si="12"/>
        <v>COMPUTED_VALUE</v>
      </c>
      <c r="H21" s="36" t="str">
        <f t="shared" si="12"/>
        <v>COMPUTED_VALUE</v>
      </c>
      <c r="I21" s="120" t="str">
        <f t="shared" si="12"/>
        <v>COMPUTED_VALUE</v>
      </c>
      <c r="J21" s="121" t="str">
        <f t="shared" si="12"/>
        <v>COMPUTED_VALUE</v>
      </c>
      <c r="K21" s="121" t="str">
        <f t="shared" si="12"/>
        <v>COMPUTED_VALUE</v>
      </c>
      <c r="L21" s="121" t="str">
        <f t="shared" si="12"/>
        <v>COMPUTED_VALUE</v>
      </c>
      <c r="M21" s="121" t="str">
        <f t="shared" si="12"/>
        <v>COMPUTED_VALUE</v>
      </c>
      <c r="N21" s="121" t="str">
        <f t="shared" si="12"/>
        <v>COMPUTED_VALUE</v>
      </c>
    </row>
    <row r="22" ht="15.75" customHeight="1">
      <c r="A22" s="36" t="str">
        <f t="shared" ref="A22:N22" si="13">"COMPUTED_VALUE"</f>
        <v>COMPUTED_VALUE</v>
      </c>
      <c r="B22" s="36" t="str">
        <f t="shared" si="13"/>
        <v>COMPUTED_VALUE</v>
      </c>
      <c r="C22" s="36" t="str">
        <f t="shared" si="13"/>
        <v>COMPUTED_VALUE</v>
      </c>
      <c r="D22" s="36" t="str">
        <f t="shared" si="13"/>
        <v>COMPUTED_VALUE</v>
      </c>
      <c r="E22" s="36" t="str">
        <f t="shared" si="13"/>
        <v>COMPUTED_VALUE</v>
      </c>
      <c r="F22" s="36" t="str">
        <f t="shared" si="13"/>
        <v>COMPUTED_VALUE</v>
      </c>
      <c r="G22" s="36" t="str">
        <f t="shared" si="13"/>
        <v>COMPUTED_VALUE</v>
      </c>
      <c r="H22" s="36" t="str">
        <f t="shared" si="13"/>
        <v>COMPUTED_VALUE</v>
      </c>
      <c r="I22" s="120" t="str">
        <f t="shared" si="13"/>
        <v>COMPUTED_VALUE</v>
      </c>
      <c r="J22" s="121" t="str">
        <f t="shared" si="13"/>
        <v>COMPUTED_VALUE</v>
      </c>
      <c r="K22" s="121" t="str">
        <f t="shared" si="13"/>
        <v>COMPUTED_VALUE</v>
      </c>
      <c r="L22" s="121" t="str">
        <f t="shared" si="13"/>
        <v>COMPUTED_VALUE</v>
      </c>
      <c r="M22" s="121" t="str">
        <f t="shared" si="13"/>
        <v>COMPUTED_VALUE</v>
      </c>
      <c r="N22" s="121" t="str">
        <f t="shared" si="13"/>
        <v>COMPUTED_VALUE</v>
      </c>
    </row>
    <row r="23" ht="15.75" customHeight="1">
      <c r="A23" s="36" t="str">
        <f t="shared" ref="A23:N23" si="14">"COMPUTED_VALUE"</f>
        <v>COMPUTED_VALUE</v>
      </c>
      <c r="B23" s="36" t="str">
        <f t="shared" si="14"/>
        <v>COMPUTED_VALUE</v>
      </c>
      <c r="C23" s="36" t="str">
        <f t="shared" si="14"/>
        <v>COMPUTED_VALUE</v>
      </c>
      <c r="D23" s="36" t="str">
        <f t="shared" si="14"/>
        <v>COMPUTED_VALUE</v>
      </c>
      <c r="E23" s="36" t="str">
        <f t="shared" si="14"/>
        <v>COMPUTED_VALUE</v>
      </c>
      <c r="F23" s="36" t="str">
        <f t="shared" si="14"/>
        <v>COMPUTED_VALUE</v>
      </c>
      <c r="G23" s="36" t="str">
        <f t="shared" si="14"/>
        <v>COMPUTED_VALUE</v>
      </c>
      <c r="H23" s="36" t="str">
        <f t="shared" si="14"/>
        <v>COMPUTED_VALUE</v>
      </c>
      <c r="I23" s="120" t="str">
        <f t="shared" si="14"/>
        <v>COMPUTED_VALUE</v>
      </c>
      <c r="J23" s="121" t="str">
        <f t="shared" si="14"/>
        <v>COMPUTED_VALUE</v>
      </c>
      <c r="K23" s="121" t="str">
        <f t="shared" si="14"/>
        <v>COMPUTED_VALUE</v>
      </c>
      <c r="L23" s="121" t="str">
        <f t="shared" si="14"/>
        <v>COMPUTED_VALUE</v>
      </c>
      <c r="M23" s="121" t="str">
        <f t="shared" si="14"/>
        <v>COMPUTED_VALUE</v>
      </c>
      <c r="N23" s="121" t="str">
        <f t="shared" si="14"/>
        <v>COMPUTED_VALUE</v>
      </c>
    </row>
    <row r="24" ht="15.75" customHeight="1">
      <c r="A24" s="36" t="str">
        <f t="shared" ref="A24:N24" si="15">"COMPUTED_VALUE"</f>
        <v>COMPUTED_VALUE</v>
      </c>
      <c r="B24" s="36" t="str">
        <f t="shared" si="15"/>
        <v>COMPUTED_VALUE</v>
      </c>
      <c r="C24" s="36" t="str">
        <f t="shared" si="15"/>
        <v>COMPUTED_VALUE</v>
      </c>
      <c r="D24" s="36" t="str">
        <f t="shared" si="15"/>
        <v>COMPUTED_VALUE</v>
      </c>
      <c r="E24" s="36" t="str">
        <f t="shared" si="15"/>
        <v>COMPUTED_VALUE</v>
      </c>
      <c r="F24" s="36" t="str">
        <f t="shared" si="15"/>
        <v>COMPUTED_VALUE</v>
      </c>
      <c r="G24" s="36" t="str">
        <f t="shared" si="15"/>
        <v>COMPUTED_VALUE</v>
      </c>
      <c r="H24" s="36" t="str">
        <f t="shared" si="15"/>
        <v>COMPUTED_VALUE</v>
      </c>
      <c r="I24" s="120" t="str">
        <f t="shared" si="15"/>
        <v>COMPUTED_VALUE</v>
      </c>
      <c r="J24" s="121" t="str">
        <f t="shared" si="15"/>
        <v>COMPUTED_VALUE</v>
      </c>
      <c r="K24" s="121" t="str">
        <f t="shared" si="15"/>
        <v>COMPUTED_VALUE</v>
      </c>
      <c r="L24" s="121" t="str">
        <f t="shared" si="15"/>
        <v>COMPUTED_VALUE</v>
      </c>
      <c r="M24" s="121" t="str">
        <f t="shared" si="15"/>
        <v>COMPUTED_VALUE</v>
      </c>
      <c r="N24" s="121" t="str">
        <f t="shared" si="15"/>
        <v>COMPUTED_VALUE</v>
      </c>
    </row>
    <row r="25" ht="15.75" customHeight="1">
      <c r="A25" s="36" t="str">
        <f t="shared" ref="A25:N25" si="16">"COMPUTED_VALUE"</f>
        <v>COMPUTED_VALUE</v>
      </c>
      <c r="B25" s="36" t="str">
        <f t="shared" si="16"/>
        <v>COMPUTED_VALUE</v>
      </c>
      <c r="C25" s="36" t="str">
        <f t="shared" si="16"/>
        <v>COMPUTED_VALUE</v>
      </c>
      <c r="D25" s="36" t="str">
        <f t="shared" si="16"/>
        <v>COMPUTED_VALUE</v>
      </c>
      <c r="E25" s="36" t="str">
        <f t="shared" si="16"/>
        <v>COMPUTED_VALUE</v>
      </c>
      <c r="F25" s="36" t="str">
        <f t="shared" si="16"/>
        <v>COMPUTED_VALUE</v>
      </c>
      <c r="G25" s="36" t="str">
        <f t="shared" si="16"/>
        <v>COMPUTED_VALUE</v>
      </c>
      <c r="H25" s="36" t="str">
        <f t="shared" si="16"/>
        <v>COMPUTED_VALUE</v>
      </c>
      <c r="I25" s="120" t="str">
        <f t="shared" si="16"/>
        <v>COMPUTED_VALUE</v>
      </c>
      <c r="J25" s="121" t="str">
        <f t="shared" si="16"/>
        <v>COMPUTED_VALUE</v>
      </c>
      <c r="K25" s="121" t="str">
        <f t="shared" si="16"/>
        <v>COMPUTED_VALUE</v>
      </c>
      <c r="L25" s="121" t="str">
        <f t="shared" si="16"/>
        <v>COMPUTED_VALUE</v>
      </c>
      <c r="M25" s="121" t="str">
        <f t="shared" si="16"/>
        <v>COMPUTED_VALUE</v>
      </c>
      <c r="N25" s="121" t="str">
        <f t="shared" si="16"/>
        <v>COMPUTED_VALUE</v>
      </c>
    </row>
    <row r="26" ht="15.75" customHeight="1">
      <c r="A26" s="36" t="str">
        <f t="shared" ref="A26:N26" si="17">"COMPUTED_VALUE"</f>
        <v>COMPUTED_VALUE</v>
      </c>
      <c r="B26" s="36" t="str">
        <f t="shared" si="17"/>
        <v>COMPUTED_VALUE</v>
      </c>
      <c r="C26" s="36" t="str">
        <f t="shared" si="17"/>
        <v>COMPUTED_VALUE</v>
      </c>
      <c r="D26" s="36" t="str">
        <f t="shared" si="17"/>
        <v>COMPUTED_VALUE</v>
      </c>
      <c r="E26" s="36" t="str">
        <f t="shared" si="17"/>
        <v>COMPUTED_VALUE</v>
      </c>
      <c r="F26" s="36" t="str">
        <f t="shared" si="17"/>
        <v>COMPUTED_VALUE</v>
      </c>
      <c r="G26" s="36" t="str">
        <f t="shared" si="17"/>
        <v>COMPUTED_VALUE</v>
      </c>
      <c r="H26" s="36" t="str">
        <f t="shared" si="17"/>
        <v>COMPUTED_VALUE</v>
      </c>
      <c r="I26" s="120" t="str">
        <f t="shared" si="17"/>
        <v>COMPUTED_VALUE</v>
      </c>
      <c r="J26" s="121" t="str">
        <f t="shared" si="17"/>
        <v>COMPUTED_VALUE</v>
      </c>
      <c r="K26" s="121" t="str">
        <f t="shared" si="17"/>
        <v>COMPUTED_VALUE</v>
      </c>
      <c r="L26" s="121" t="str">
        <f t="shared" si="17"/>
        <v>COMPUTED_VALUE</v>
      </c>
      <c r="M26" s="121" t="str">
        <f t="shared" si="17"/>
        <v>COMPUTED_VALUE</v>
      </c>
      <c r="N26" s="121" t="str">
        <f t="shared" si="17"/>
        <v>COMPUTED_VALUE</v>
      </c>
    </row>
    <row r="27" ht="15.75" customHeight="1">
      <c r="A27" s="36" t="str">
        <f t="shared" ref="A27:N27" si="18">"COMPUTED_VALUE"</f>
        <v>COMPUTED_VALUE</v>
      </c>
      <c r="B27" s="36" t="str">
        <f t="shared" si="18"/>
        <v>COMPUTED_VALUE</v>
      </c>
      <c r="C27" s="36" t="str">
        <f t="shared" si="18"/>
        <v>COMPUTED_VALUE</v>
      </c>
      <c r="D27" s="36" t="str">
        <f t="shared" si="18"/>
        <v>COMPUTED_VALUE</v>
      </c>
      <c r="E27" s="36" t="str">
        <f t="shared" si="18"/>
        <v>COMPUTED_VALUE</v>
      </c>
      <c r="F27" s="36" t="str">
        <f t="shared" si="18"/>
        <v>COMPUTED_VALUE</v>
      </c>
      <c r="G27" s="36" t="str">
        <f t="shared" si="18"/>
        <v>COMPUTED_VALUE</v>
      </c>
      <c r="H27" s="36" t="str">
        <f t="shared" si="18"/>
        <v>COMPUTED_VALUE</v>
      </c>
      <c r="I27" s="120" t="str">
        <f t="shared" si="18"/>
        <v>COMPUTED_VALUE</v>
      </c>
      <c r="J27" s="121" t="str">
        <f t="shared" si="18"/>
        <v>COMPUTED_VALUE</v>
      </c>
      <c r="K27" s="121" t="str">
        <f t="shared" si="18"/>
        <v>COMPUTED_VALUE</v>
      </c>
      <c r="L27" s="121" t="str">
        <f t="shared" si="18"/>
        <v>COMPUTED_VALUE</v>
      </c>
      <c r="M27" s="121" t="str">
        <f t="shared" si="18"/>
        <v>COMPUTED_VALUE</v>
      </c>
      <c r="N27" s="121" t="str">
        <f t="shared" si="18"/>
        <v>COMPUTED_VALUE</v>
      </c>
    </row>
    <row r="28" ht="15.75" customHeight="1">
      <c r="A28" s="36" t="str">
        <f t="shared" ref="A28:N28" si="19">"COMPUTED_VALUE"</f>
        <v>COMPUTED_VALUE</v>
      </c>
      <c r="B28" s="36" t="str">
        <f t="shared" si="19"/>
        <v>COMPUTED_VALUE</v>
      </c>
      <c r="C28" s="36" t="str">
        <f t="shared" si="19"/>
        <v>COMPUTED_VALUE</v>
      </c>
      <c r="D28" s="36" t="str">
        <f t="shared" si="19"/>
        <v>COMPUTED_VALUE</v>
      </c>
      <c r="E28" s="36" t="str">
        <f t="shared" si="19"/>
        <v>COMPUTED_VALUE</v>
      </c>
      <c r="F28" s="36" t="str">
        <f t="shared" si="19"/>
        <v>COMPUTED_VALUE</v>
      </c>
      <c r="G28" s="36" t="str">
        <f t="shared" si="19"/>
        <v>COMPUTED_VALUE</v>
      </c>
      <c r="H28" s="36" t="str">
        <f t="shared" si="19"/>
        <v>COMPUTED_VALUE</v>
      </c>
      <c r="I28" s="120" t="str">
        <f t="shared" si="19"/>
        <v>COMPUTED_VALUE</v>
      </c>
      <c r="J28" s="121" t="str">
        <f t="shared" si="19"/>
        <v>COMPUTED_VALUE</v>
      </c>
      <c r="K28" s="121" t="str">
        <f t="shared" si="19"/>
        <v>COMPUTED_VALUE</v>
      </c>
      <c r="L28" s="121" t="str">
        <f t="shared" si="19"/>
        <v>COMPUTED_VALUE</v>
      </c>
      <c r="M28" s="121" t="str">
        <f t="shared" si="19"/>
        <v>COMPUTED_VALUE</v>
      </c>
      <c r="N28" s="121" t="str">
        <f t="shared" si="19"/>
        <v>COMPUTED_VALUE</v>
      </c>
    </row>
    <row r="29" ht="15.75" customHeight="1">
      <c r="A29" s="36" t="str">
        <f t="shared" ref="A29:N29" si="20">"COMPUTED_VALUE"</f>
        <v>COMPUTED_VALUE</v>
      </c>
      <c r="B29" s="36" t="str">
        <f t="shared" si="20"/>
        <v>COMPUTED_VALUE</v>
      </c>
      <c r="C29" s="36" t="str">
        <f t="shared" si="20"/>
        <v>COMPUTED_VALUE</v>
      </c>
      <c r="D29" s="36" t="str">
        <f t="shared" si="20"/>
        <v>COMPUTED_VALUE</v>
      </c>
      <c r="E29" s="36" t="str">
        <f t="shared" si="20"/>
        <v>COMPUTED_VALUE</v>
      </c>
      <c r="F29" s="36" t="str">
        <f t="shared" si="20"/>
        <v>COMPUTED_VALUE</v>
      </c>
      <c r="G29" s="36" t="str">
        <f t="shared" si="20"/>
        <v>COMPUTED_VALUE</v>
      </c>
      <c r="H29" s="36" t="str">
        <f t="shared" si="20"/>
        <v>COMPUTED_VALUE</v>
      </c>
      <c r="I29" s="120" t="str">
        <f t="shared" si="20"/>
        <v>COMPUTED_VALUE</v>
      </c>
      <c r="J29" s="121" t="str">
        <f t="shared" si="20"/>
        <v>COMPUTED_VALUE</v>
      </c>
      <c r="K29" s="121" t="str">
        <f t="shared" si="20"/>
        <v>COMPUTED_VALUE</v>
      </c>
      <c r="L29" s="121" t="str">
        <f t="shared" si="20"/>
        <v>COMPUTED_VALUE</v>
      </c>
      <c r="M29" s="121" t="str">
        <f t="shared" si="20"/>
        <v>COMPUTED_VALUE</v>
      </c>
      <c r="N29" s="121" t="str">
        <f t="shared" si="20"/>
        <v>COMPUTED_VALUE</v>
      </c>
    </row>
    <row r="30" ht="15.75" customHeight="1">
      <c r="A30" s="36" t="str">
        <f t="shared" ref="A30:N30" si="21">"COMPUTED_VALUE"</f>
        <v>COMPUTED_VALUE</v>
      </c>
      <c r="B30" s="36" t="str">
        <f t="shared" si="21"/>
        <v>COMPUTED_VALUE</v>
      </c>
      <c r="C30" s="36" t="str">
        <f t="shared" si="21"/>
        <v>COMPUTED_VALUE</v>
      </c>
      <c r="D30" s="36" t="str">
        <f t="shared" si="21"/>
        <v>COMPUTED_VALUE</v>
      </c>
      <c r="E30" s="36" t="str">
        <f t="shared" si="21"/>
        <v>COMPUTED_VALUE</v>
      </c>
      <c r="F30" s="36" t="str">
        <f t="shared" si="21"/>
        <v>COMPUTED_VALUE</v>
      </c>
      <c r="G30" s="36" t="str">
        <f t="shared" si="21"/>
        <v>COMPUTED_VALUE</v>
      </c>
      <c r="H30" s="36" t="str">
        <f t="shared" si="21"/>
        <v>COMPUTED_VALUE</v>
      </c>
      <c r="I30" s="120" t="str">
        <f t="shared" si="21"/>
        <v>COMPUTED_VALUE</v>
      </c>
      <c r="J30" s="121" t="str">
        <f t="shared" si="21"/>
        <v>COMPUTED_VALUE</v>
      </c>
      <c r="K30" s="121" t="str">
        <f t="shared" si="21"/>
        <v>COMPUTED_VALUE</v>
      </c>
      <c r="L30" s="121" t="str">
        <f t="shared" si="21"/>
        <v>COMPUTED_VALUE</v>
      </c>
      <c r="M30" s="121" t="str">
        <f t="shared" si="21"/>
        <v>COMPUTED_VALUE</v>
      </c>
      <c r="N30" s="121" t="str">
        <f t="shared" si="21"/>
        <v>COMPUTED_VALUE</v>
      </c>
    </row>
    <row r="31" ht="15.75" customHeight="1">
      <c r="A31" s="36" t="str">
        <f t="shared" ref="A31:N31" si="22">"COMPUTED_VALUE"</f>
        <v>COMPUTED_VALUE</v>
      </c>
      <c r="B31" s="36" t="str">
        <f t="shared" si="22"/>
        <v>COMPUTED_VALUE</v>
      </c>
      <c r="C31" s="36" t="str">
        <f t="shared" si="22"/>
        <v>COMPUTED_VALUE</v>
      </c>
      <c r="D31" s="36" t="str">
        <f t="shared" si="22"/>
        <v>COMPUTED_VALUE</v>
      </c>
      <c r="E31" s="36" t="str">
        <f t="shared" si="22"/>
        <v>COMPUTED_VALUE</v>
      </c>
      <c r="F31" s="36" t="str">
        <f t="shared" si="22"/>
        <v>COMPUTED_VALUE</v>
      </c>
      <c r="G31" s="36" t="str">
        <f t="shared" si="22"/>
        <v>COMPUTED_VALUE</v>
      </c>
      <c r="H31" s="36" t="str">
        <f t="shared" si="22"/>
        <v>COMPUTED_VALUE</v>
      </c>
      <c r="I31" s="120" t="str">
        <f t="shared" si="22"/>
        <v>COMPUTED_VALUE</v>
      </c>
      <c r="J31" s="121" t="str">
        <f t="shared" si="22"/>
        <v>COMPUTED_VALUE</v>
      </c>
      <c r="K31" s="121" t="str">
        <f t="shared" si="22"/>
        <v>COMPUTED_VALUE</v>
      </c>
      <c r="L31" s="121" t="str">
        <f t="shared" si="22"/>
        <v>COMPUTED_VALUE</v>
      </c>
      <c r="M31" s="121" t="str">
        <f t="shared" si="22"/>
        <v>COMPUTED_VALUE</v>
      </c>
      <c r="N31" s="121" t="str">
        <f t="shared" si="22"/>
        <v>COMPUTED_VALUE</v>
      </c>
    </row>
    <row r="32" ht="15.75" customHeight="1">
      <c r="A32" s="36" t="str">
        <f t="shared" ref="A32:N32" si="23">"COMPUTED_VALUE"</f>
        <v>COMPUTED_VALUE</v>
      </c>
      <c r="B32" s="36" t="str">
        <f t="shared" si="23"/>
        <v>COMPUTED_VALUE</v>
      </c>
      <c r="C32" s="36" t="str">
        <f t="shared" si="23"/>
        <v>COMPUTED_VALUE</v>
      </c>
      <c r="D32" s="36" t="str">
        <f t="shared" si="23"/>
        <v>COMPUTED_VALUE</v>
      </c>
      <c r="E32" s="36" t="str">
        <f t="shared" si="23"/>
        <v>COMPUTED_VALUE</v>
      </c>
      <c r="F32" s="36" t="str">
        <f t="shared" si="23"/>
        <v>COMPUTED_VALUE</v>
      </c>
      <c r="G32" s="36" t="str">
        <f t="shared" si="23"/>
        <v>COMPUTED_VALUE</v>
      </c>
      <c r="H32" s="36" t="str">
        <f t="shared" si="23"/>
        <v>COMPUTED_VALUE</v>
      </c>
      <c r="I32" s="120" t="str">
        <f t="shared" si="23"/>
        <v>COMPUTED_VALUE</v>
      </c>
      <c r="J32" s="121" t="str">
        <f t="shared" si="23"/>
        <v>COMPUTED_VALUE</v>
      </c>
      <c r="K32" s="121" t="str">
        <f t="shared" si="23"/>
        <v>COMPUTED_VALUE</v>
      </c>
      <c r="L32" s="121" t="str">
        <f t="shared" si="23"/>
        <v>COMPUTED_VALUE</v>
      </c>
      <c r="M32" s="121" t="str">
        <f t="shared" si="23"/>
        <v>COMPUTED_VALUE</v>
      </c>
      <c r="N32" s="121" t="str">
        <f t="shared" si="23"/>
        <v>COMPUTED_VALUE</v>
      </c>
    </row>
    <row r="33" ht="15.75" customHeight="1">
      <c r="A33" s="36" t="str">
        <f t="shared" ref="A33:N33" si="24">"COMPUTED_VALUE"</f>
        <v>COMPUTED_VALUE</v>
      </c>
      <c r="B33" s="36" t="str">
        <f t="shared" si="24"/>
        <v>COMPUTED_VALUE</v>
      </c>
      <c r="C33" s="36" t="str">
        <f t="shared" si="24"/>
        <v>COMPUTED_VALUE</v>
      </c>
      <c r="D33" s="36" t="str">
        <f t="shared" si="24"/>
        <v>COMPUTED_VALUE</v>
      </c>
      <c r="E33" s="36" t="str">
        <f t="shared" si="24"/>
        <v>COMPUTED_VALUE</v>
      </c>
      <c r="F33" s="36" t="str">
        <f t="shared" si="24"/>
        <v>COMPUTED_VALUE</v>
      </c>
      <c r="G33" s="36" t="str">
        <f t="shared" si="24"/>
        <v>COMPUTED_VALUE</v>
      </c>
      <c r="H33" s="36" t="str">
        <f t="shared" si="24"/>
        <v>COMPUTED_VALUE</v>
      </c>
      <c r="I33" s="120" t="str">
        <f t="shared" si="24"/>
        <v>COMPUTED_VALUE</v>
      </c>
      <c r="J33" s="121" t="str">
        <f t="shared" si="24"/>
        <v>COMPUTED_VALUE</v>
      </c>
      <c r="K33" s="121" t="str">
        <f t="shared" si="24"/>
        <v>COMPUTED_VALUE</v>
      </c>
      <c r="L33" s="121" t="str">
        <f t="shared" si="24"/>
        <v>COMPUTED_VALUE</v>
      </c>
      <c r="M33" s="121" t="str">
        <f t="shared" si="24"/>
        <v>COMPUTED_VALUE</v>
      </c>
      <c r="N33" s="121" t="str">
        <f t="shared" si="24"/>
        <v>COMPUTED_VALUE</v>
      </c>
    </row>
    <row r="34" ht="15.75" customHeight="1">
      <c r="A34" s="36" t="str">
        <f t="shared" ref="A34:N34" si="25">"COMPUTED_VALUE"</f>
        <v>COMPUTED_VALUE</v>
      </c>
      <c r="B34" s="36" t="str">
        <f t="shared" si="25"/>
        <v>COMPUTED_VALUE</v>
      </c>
      <c r="C34" s="36" t="str">
        <f t="shared" si="25"/>
        <v>COMPUTED_VALUE</v>
      </c>
      <c r="D34" s="36" t="str">
        <f t="shared" si="25"/>
        <v>COMPUTED_VALUE</v>
      </c>
      <c r="E34" s="36" t="str">
        <f t="shared" si="25"/>
        <v>COMPUTED_VALUE</v>
      </c>
      <c r="F34" s="36" t="str">
        <f t="shared" si="25"/>
        <v>COMPUTED_VALUE</v>
      </c>
      <c r="G34" s="36" t="str">
        <f t="shared" si="25"/>
        <v>COMPUTED_VALUE</v>
      </c>
      <c r="H34" s="36" t="str">
        <f t="shared" si="25"/>
        <v>COMPUTED_VALUE</v>
      </c>
      <c r="I34" s="120" t="str">
        <f t="shared" si="25"/>
        <v>COMPUTED_VALUE</v>
      </c>
      <c r="J34" s="121" t="str">
        <f t="shared" si="25"/>
        <v>COMPUTED_VALUE</v>
      </c>
      <c r="K34" s="121" t="str">
        <f t="shared" si="25"/>
        <v>COMPUTED_VALUE</v>
      </c>
      <c r="L34" s="121" t="str">
        <f t="shared" si="25"/>
        <v>COMPUTED_VALUE</v>
      </c>
      <c r="M34" s="121" t="str">
        <f t="shared" si="25"/>
        <v>COMPUTED_VALUE</v>
      </c>
      <c r="N34" s="121" t="str">
        <f t="shared" si="25"/>
        <v>COMPUTED_VALUE</v>
      </c>
    </row>
    <row r="35" ht="15.75" customHeight="1">
      <c r="A35" s="36" t="str">
        <f t="shared" ref="A35:N35" si="26">"COMPUTED_VALUE"</f>
        <v>COMPUTED_VALUE</v>
      </c>
      <c r="B35" s="36" t="str">
        <f t="shared" si="26"/>
        <v>COMPUTED_VALUE</v>
      </c>
      <c r="C35" s="36" t="str">
        <f t="shared" si="26"/>
        <v>COMPUTED_VALUE</v>
      </c>
      <c r="D35" s="36" t="str">
        <f t="shared" si="26"/>
        <v>COMPUTED_VALUE</v>
      </c>
      <c r="E35" s="36" t="str">
        <f t="shared" si="26"/>
        <v>COMPUTED_VALUE</v>
      </c>
      <c r="F35" s="36" t="str">
        <f t="shared" si="26"/>
        <v>COMPUTED_VALUE</v>
      </c>
      <c r="G35" s="36" t="str">
        <f t="shared" si="26"/>
        <v>COMPUTED_VALUE</v>
      </c>
      <c r="H35" s="36" t="str">
        <f t="shared" si="26"/>
        <v>COMPUTED_VALUE</v>
      </c>
      <c r="I35" s="120" t="str">
        <f t="shared" si="26"/>
        <v>COMPUTED_VALUE</v>
      </c>
      <c r="J35" s="121" t="str">
        <f t="shared" si="26"/>
        <v>COMPUTED_VALUE</v>
      </c>
      <c r="K35" s="121" t="str">
        <f t="shared" si="26"/>
        <v>COMPUTED_VALUE</v>
      </c>
      <c r="L35" s="121" t="str">
        <f t="shared" si="26"/>
        <v>COMPUTED_VALUE</v>
      </c>
      <c r="M35" s="121" t="str">
        <f t="shared" si="26"/>
        <v>COMPUTED_VALUE</v>
      </c>
      <c r="N35" s="121" t="str">
        <f t="shared" si="26"/>
        <v>COMPUTED_VALUE</v>
      </c>
    </row>
    <row r="36" ht="15.75" customHeight="1">
      <c r="A36" s="36" t="str">
        <f t="shared" ref="A36:N36" si="27">"COMPUTED_VALUE"</f>
        <v>COMPUTED_VALUE</v>
      </c>
      <c r="B36" s="36" t="str">
        <f t="shared" si="27"/>
        <v>COMPUTED_VALUE</v>
      </c>
      <c r="C36" s="36" t="str">
        <f t="shared" si="27"/>
        <v>COMPUTED_VALUE</v>
      </c>
      <c r="D36" s="36" t="str">
        <f t="shared" si="27"/>
        <v>COMPUTED_VALUE</v>
      </c>
      <c r="E36" s="36" t="str">
        <f t="shared" si="27"/>
        <v>COMPUTED_VALUE</v>
      </c>
      <c r="F36" s="36" t="str">
        <f t="shared" si="27"/>
        <v>COMPUTED_VALUE</v>
      </c>
      <c r="G36" s="36" t="str">
        <f t="shared" si="27"/>
        <v>COMPUTED_VALUE</v>
      </c>
      <c r="H36" s="36" t="str">
        <f t="shared" si="27"/>
        <v>COMPUTED_VALUE</v>
      </c>
      <c r="I36" s="120" t="str">
        <f t="shared" si="27"/>
        <v>COMPUTED_VALUE</v>
      </c>
      <c r="J36" s="121" t="str">
        <f t="shared" si="27"/>
        <v>COMPUTED_VALUE</v>
      </c>
      <c r="K36" s="121" t="str">
        <f t="shared" si="27"/>
        <v>COMPUTED_VALUE</v>
      </c>
      <c r="L36" s="121" t="str">
        <f t="shared" si="27"/>
        <v>COMPUTED_VALUE</v>
      </c>
      <c r="M36" s="121" t="str">
        <f t="shared" si="27"/>
        <v>COMPUTED_VALUE</v>
      </c>
      <c r="N36" s="121" t="str">
        <f t="shared" si="27"/>
        <v>COMPUTED_VALUE</v>
      </c>
    </row>
    <row r="37" ht="15.75" customHeight="1">
      <c r="A37" s="36" t="str">
        <f t="shared" ref="A37:N37" si="28">"COMPUTED_VALUE"</f>
        <v>COMPUTED_VALUE</v>
      </c>
      <c r="B37" s="36" t="str">
        <f t="shared" si="28"/>
        <v>COMPUTED_VALUE</v>
      </c>
      <c r="C37" s="36" t="str">
        <f t="shared" si="28"/>
        <v>COMPUTED_VALUE</v>
      </c>
      <c r="D37" s="36" t="str">
        <f t="shared" si="28"/>
        <v>COMPUTED_VALUE</v>
      </c>
      <c r="E37" s="36" t="str">
        <f t="shared" si="28"/>
        <v>COMPUTED_VALUE</v>
      </c>
      <c r="F37" s="36" t="str">
        <f t="shared" si="28"/>
        <v>COMPUTED_VALUE</v>
      </c>
      <c r="G37" s="36" t="str">
        <f t="shared" si="28"/>
        <v>COMPUTED_VALUE</v>
      </c>
      <c r="H37" s="36" t="str">
        <f t="shared" si="28"/>
        <v>COMPUTED_VALUE</v>
      </c>
      <c r="I37" s="120" t="str">
        <f t="shared" si="28"/>
        <v>COMPUTED_VALUE</v>
      </c>
      <c r="J37" s="121" t="str">
        <f t="shared" si="28"/>
        <v>COMPUTED_VALUE</v>
      </c>
      <c r="K37" s="121" t="str">
        <f t="shared" si="28"/>
        <v>COMPUTED_VALUE</v>
      </c>
      <c r="L37" s="121" t="str">
        <f t="shared" si="28"/>
        <v>COMPUTED_VALUE</v>
      </c>
      <c r="M37" s="121" t="str">
        <f t="shared" si="28"/>
        <v>COMPUTED_VALUE</v>
      </c>
      <c r="N37" s="121" t="str">
        <f t="shared" si="28"/>
        <v>COMPUTED_VALUE</v>
      </c>
    </row>
    <row r="38" ht="15.75" customHeight="1">
      <c r="A38" s="36" t="str">
        <f t="shared" ref="A38:N38" si="29">"COMPUTED_VALUE"</f>
        <v>COMPUTED_VALUE</v>
      </c>
      <c r="B38" s="36" t="str">
        <f t="shared" si="29"/>
        <v>COMPUTED_VALUE</v>
      </c>
      <c r="C38" s="36" t="str">
        <f t="shared" si="29"/>
        <v>COMPUTED_VALUE</v>
      </c>
      <c r="D38" s="36" t="str">
        <f t="shared" si="29"/>
        <v>COMPUTED_VALUE</v>
      </c>
      <c r="E38" s="36" t="str">
        <f t="shared" si="29"/>
        <v>COMPUTED_VALUE</v>
      </c>
      <c r="F38" s="36" t="str">
        <f t="shared" si="29"/>
        <v>COMPUTED_VALUE</v>
      </c>
      <c r="G38" s="36" t="str">
        <f t="shared" si="29"/>
        <v>COMPUTED_VALUE</v>
      </c>
      <c r="H38" s="36" t="str">
        <f t="shared" si="29"/>
        <v>COMPUTED_VALUE</v>
      </c>
      <c r="I38" s="120" t="str">
        <f t="shared" si="29"/>
        <v>COMPUTED_VALUE</v>
      </c>
      <c r="J38" s="121" t="str">
        <f t="shared" si="29"/>
        <v>COMPUTED_VALUE</v>
      </c>
      <c r="K38" s="121" t="str">
        <f t="shared" si="29"/>
        <v>COMPUTED_VALUE</v>
      </c>
      <c r="L38" s="121" t="str">
        <f t="shared" si="29"/>
        <v>COMPUTED_VALUE</v>
      </c>
      <c r="M38" s="121" t="str">
        <f t="shared" si="29"/>
        <v>COMPUTED_VALUE</v>
      </c>
      <c r="N38" s="121" t="str">
        <f t="shared" si="29"/>
        <v>COMPUTED_VALUE</v>
      </c>
    </row>
    <row r="39" ht="15.75" customHeight="1">
      <c r="A39" s="36" t="str">
        <f t="shared" ref="A39:N39" si="30">"COMPUTED_VALUE"</f>
        <v>COMPUTED_VALUE</v>
      </c>
      <c r="B39" s="36" t="str">
        <f t="shared" si="30"/>
        <v>COMPUTED_VALUE</v>
      </c>
      <c r="C39" s="36" t="str">
        <f t="shared" si="30"/>
        <v>COMPUTED_VALUE</v>
      </c>
      <c r="D39" s="36" t="str">
        <f t="shared" si="30"/>
        <v>COMPUTED_VALUE</v>
      </c>
      <c r="E39" s="36" t="str">
        <f t="shared" si="30"/>
        <v>COMPUTED_VALUE</v>
      </c>
      <c r="F39" s="36" t="str">
        <f t="shared" si="30"/>
        <v>COMPUTED_VALUE</v>
      </c>
      <c r="G39" s="36" t="str">
        <f t="shared" si="30"/>
        <v>COMPUTED_VALUE</v>
      </c>
      <c r="H39" s="36" t="str">
        <f t="shared" si="30"/>
        <v>COMPUTED_VALUE</v>
      </c>
      <c r="I39" s="120" t="str">
        <f t="shared" si="30"/>
        <v>COMPUTED_VALUE</v>
      </c>
      <c r="J39" s="121" t="str">
        <f t="shared" si="30"/>
        <v>COMPUTED_VALUE</v>
      </c>
      <c r="K39" s="121" t="str">
        <f t="shared" si="30"/>
        <v>COMPUTED_VALUE</v>
      </c>
      <c r="L39" s="121" t="str">
        <f t="shared" si="30"/>
        <v>COMPUTED_VALUE</v>
      </c>
      <c r="M39" s="121" t="str">
        <f t="shared" si="30"/>
        <v>COMPUTED_VALUE</v>
      </c>
      <c r="N39" s="121" t="str">
        <f t="shared" si="30"/>
        <v>COMPUTED_VALUE</v>
      </c>
    </row>
    <row r="40" ht="15.75" customHeight="1">
      <c r="A40" s="36" t="str">
        <f t="shared" ref="A40:N40" si="31">"COMPUTED_VALUE"</f>
        <v>COMPUTED_VALUE</v>
      </c>
      <c r="B40" s="36" t="str">
        <f t="shared" si="31"/>
        <v>COMPUTED_VALUE</v>
      </c>
      <c r="C40" s="36" t="str">
        <f t="shared" si="31"/>
        <v>COMPUTED_VALUE</v>
      </c>
      <c r="D40" s="36" t="str">
        <f t="shared" si="31"/>
        <v>COMPUTED_VALUE</v>
      </c>
      <c r="E40" s="36" t="str">
        <f t="shared" si="31"/>
        <v>COMPUTED_VALUE</v>
      </c>
      <c r="F40" s="36" t="str">
        <f t="shared" si="31"/>
        <v>COMPUTED_VALUE</v>
      </c>
      <c r="G40" s="36" t="str">
        <f t="shared" si="31"/>
        <v>COMPUTED_VALUE</v>
      </c>
      <c r="H40" s="36" t="str">
        <f t="shared" si="31"/>
        <v>COMPUTED_VALUE</v>
      </c>
      <c r="I40" s="120" t="str">
        <f t="shared" si="31"/>
        <v>COMPUTED_VALUE</v>
      </c>
      <c r="J40" s="121" t="str">
        <f t="shared" si="31"/>
        <v>COMPUTED_VALUE</v>
      </c>
      <c r="K40" s="121" t="str">
        <f t="shared" si="31"/>
        <v>COMPUTED_VALUE</v>
      </c>
      <c r="L40" s="121" t="str">
        <f t="shared" si="31"/>
        <v>COMPUTED_VALUE</v>
      </c>
      <c r="M40" s="121" t="str">
        <f t="shared" si="31"/>
        <v>COMPUTED_VALUE</v>
      </c>
      <c r="N40" s="121" t="str">
        <f t="shared" si="31"/>
        <v>COMPUTED_VALUE</v>
      </c>
    </row>
    <row r="41" ht="15.75" customHeight="1">
      <c r="A41" s="36" t="str">
        <f t="shared" ref="A41:A51" si="32">"COMPUTED_VALUE"</f>
        <v>COMPUTED_VALUE</v>
      </c>
      <c r="B41" s="36"/>
      <c r="C41" s="36"/>
      <c r="D41" s="36"/>
      <c r="E41" s="36"/>
      <c r="F41" s="36"/>
      <c r="G41" s="36"/>
      <c r="H41" s="36"/>
      <c r="I41" s="120"/>
      <c r="J41" s="121"/>
      <c r="K41" s="121"/>
      <c r="L41" s="121"/>
      <c r="M41" s="121"/>
      <c r="N41" s="121"/>
    </row>
    <row r="42" ht="15.75" customHeight="1">
      <c r="A42" s="36" t="str">
        <f t="shared" si="32"/>
        <v>COMPUTED_VALUE</v>
      </c>
      <c r="B42" s="36"/>
      <c r="C42" s="36"/>
      <c r="D42" s="36"/>
      <c r="E42" s="36"/>
      <c r="F42" s="36"/>
      <c r="G42" s="36"/>
      <c r="H42" s="36"/>
      <c r="I42" s="120"/>
      <c r="J42" s="121"/>
      <c r="K42" s="121"/>
      <c r="L42" s="121"/>
      <c r="M42" s="121"/>
      <c r="N42" s="121"/>
    </row>
    <row r="43" ht="15.75" customHeight="1">
      <c r="A43" s="36" t="str">
        <f t="shared" si="32"/>
        <v>COMPUTED_VALUE</v>
      </c>
      <c r="B43" s="36"/>
      <c r="C43" s="36"/>
      <c r="D43" s="36"/>
      <c r="E43" s="36"/>
      <c r="F43" s="36"/>
      <c r="G43" s="36"/>
      <c r="H43" s="36"/>
      <c r="I43" s="120"/>
      <c r="J43" s="121"/>
      <c r="K43" s="121"/>
      <c r="L43" s="121"/>
      <c r="M43" s="121"/>
      <c r="N43" s="121"/>
    </row>
    <row r="44" ht="15.75" customHeight="1">
      <c r="A44" s="36" t="str">
        <f t="shared" si="32"/>
        <v>COMPUTED_VALUE</v>
      </c>
      <c r="B44" s="36"/>
      <c r="C44" s="36"/>
      <c r="D44" s="36"/>
      <c r="E44" s="36"/>
      <c r="F44" s="36"/>
      <c r="G44" s="36"/>
      <c r="H44" s="36"/>
      <c r="I44" s="120"/>
      <c r="J44" s="121"/>
      <c r="K44" s="121"/>
      <c r="L44" s="121"/>
      <c r="M44" s="121"/>
      <c r="N44" s="121"/>
    </row>
    <row r="45" ht="15.75" customHeight="1">
      <c r="A45" s="36" t="str">
        <f t="shared" si="32"/>
        <v>COMPUTED_VALUE</v>
      </c>
      <c r="B45" s="36"/>
      <c r="C45" s="36"/>
      <c r="D45" s="36"/>
      <c r="E45" s="36"/>
      <c r="F45" s="36"/>
      <c r="G45" s="36"/>
      <c r="H45" s="36"/>
      <c r="I45" s="120"/>
      <c r="J45" s="121"/>
      <c r="K45" s="121"/>
      <c r="L45" s="121"/>
      <c r="M45" s="121"/>
      <c r="N45" s="121"/>
    </row>
    <row r="46" ht="15.75" customHeight="1">
      <c r="A46" s="36" t="str">
        <f t="shared" si="32"/>
        <v>COMPUTED_VALUE</v>
      </c>
      <c r="B46" s="36"/>
      <c r="C46" s="36"/>
      <c r="D46" s="36"/>
      <c r="E46" s="36"/>
      <c r="F46" s="36"/>
      <c r="G46" s="36"/>
      <c r="H46" s="36"/>
      <c r="I46" s="120"/>
      <c r="J46" s="121"/>
      <c r="K46" s="121"/>
      <c r="L46" s="121"/>
      <c r="M46" s="121"/>
      <c r="N46" s="121"/>
    </row>
    <row r="47" ht="15.75" customHeight="1">
      <c r="A47" s="36" t="str">
        <f t="shared" si="32"/>
        <v>COMPUTED_VALUE</v>
      </c>
      <c r="B47" s="36"/>
      <c r="C47" s="36"/>
      <c r="D47" s="36"/>
      <c r="E47" s="36"/>
      <c r="F47" s="36"/>
      <c r="G47" s="36"/>
      <c r="H47" s="36"/>
      <c r="I47" s="120"/>
      <c r="J47" s="121"/>
      <c r="K47" s="121"/>
      <c r="L47" s="121"/>
      <c r="M47" s="121"/>
      <c r="N47" s="121"/>
    </row>
    <row r="48" ht="15.75" customHeight="1">
      <c r="A48" s="36" t="str">
        <f t="shared" si="32"/>
        <v>COMPUTED_VALUE</v>
      </c>
      <c r="B48" s="36"/>
      <c r="C48" s="36"/>
      <c r="D48" s="36"/>
      <c r="E48" s="36"/>
      <c r="F48" s="36"/>
      <c r="G48" s="36"/>
      <c r="H48" s="36"/>
      <c r="I48" s="120"/>
      <c r="J48" s="121"/>
      <c r="K48" s="121"/>
      <c r="L48" s="121"/>
      <c r="M48" s="121"/>
      <c r="N48" s="121"/>
    </row>
    <row r="49" ht="15.75" customHeight="1">
      <c r="A49" s="36" t="str">
        <f t="shared" si="32"/>
        <v>COMPUTED_VALUE</v>
      </c>
      <c r="B49" s="36"/>
      <c r="C49" s="36"/>
      <c r="D49" s="36"/>
      <c r="E49" s="36"/>
      <c r="F49" s="36"/>
      <c r="G49" s="36"/>
      <c r="H49" s="36"/>
      <c r="I49" s="120"/>
      <c r="J49" s="121"/>
      <c r="K49" s="121"/>
      <c r="L49" s="121"/>
      <c r="M49" s="121"/>
      <c r="N49" s="121"/>
    </row>
    <row r="50" ht="15.75" customHeight="1">
      <c r="A50" s="36" t="str">
        <f t="shared" si="32"/>
        <v>COMPUTED_VALUE</v>
      </c>
      <c r="B50" s="36"/>
      <c r="C50" s="36"/>
      <c r="D50" s="36"/>
      <c r="E50" s="36"/>
      <c r="F50" s="36"/>
      <c r="G50" s="36"/>
      <c r="H50" s="36"/>
      <c r="I50" s="120"/>
      <c r="J50" s="121"/>
      <c r="K50" s="121"/>
      <c r="L50" s="121"/>
      <c r="M50" s="121"/>
      <c r="N50" s="121"/>
    </row>
    <row r="51" ht="15.75" customHeight="1">
      <c r="A51" s="36" t="str">
        <f t="shared" si="32"/>
        <v>COMPUTED_VALUE</v>
      </c>
      <c r="B51" s="36"/>
      <c r="C51" s="36"/>
      <c r="D51" s="36"/>
      <c r="E51" s="36"/>
      <c r="F51" s="36"/>
      <c r="G51" s="36"/>
      <c r="H51" s="36"/>
      <c r="I51" s="120"/>
      <c r="J51" s="121"/>
      <c r="K51" s="121"/>
      <c r="L51" s="121"/>
      <c r="M51" s="121"/>
      <c r="N51" s="121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7"/>
      <c r="K52" s="37"/>
      <c r="L52" s="37"/>
      <c r="M52" s="37"/>
      <c r="N52" s="37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7"/>
      <c r="K53" s="37"/>
      <c r="L53" s="37"/>
      <c r="M53" s="37"/>
      <c r="N53" s="37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7"/>
      <c r="K54" s="37"/>
      <c r="L54" s="37"/>
      <c r="M54" s="37"/>
      <c r="N54" s="37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7"/>
      <c r="K55" s="37"/>
      <c r="L55" s="37"/>
      <c r="M55" s="37"/>
      <c r="N55" s="37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7"/>
      <c r="K56" s="37"/>
      <c r="L56" s="37"/>
      <c r="M56" s="37"/>
      <c r="N56" s="37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7"/>
      <c r="K57" s="37"/>
      <c r="L57" s="37"/>
      <c r="M57" s="37"/>
      <c r="N57" s="37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7"/>
      <c r="K58" s="37"/>
      <c r="L58" s="37"/>
      <c r="M58" s="37"/>
      <c r="N58" s="37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7"/>
      <c r="K59" s="37"/>
      <c r="L59" s="37"/>
      <c r="M59" s="37"/>
      <c r="N59" s="37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7"/>
      <c r="K60" s="37"/>
      <c r="L60" s="37"/>
      <c r="M60" s="37"/>
      <c r="N60" s="37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7"/>
      <c r="K61" s="37"/>
      <c r="L61" s="37"/>
      <c r="M61" s="37"/>
      <c r="N61" s="37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7"/>
      <c r="K62" s="37"/>
      <c r="L62" s="37"/>
      <c r="M62" s="37"/>
      <c r="N62" s="37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7"/>
      <c r="K63" s="37"/>
      <c r="L63" s="37"/>
      <c r="M63" s="37"/>
      <c r="N63" s="37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7"/>
      <c r="K64" s="37"/>
      <c r="L64" s="37"/>
      <c r="M64" s="37"/>
      <c r="N64" s="37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7"/>
      <c r="K65" s="37"/>
      <c r="L65" s="37"/>
      <c r="M65" s="37"/>
      <c r="N65" s="37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7"/>
      <c r="K66" s="37"/>
      <c r="L66" s="37"/>
      <c r="M66" s="37"/>
      <c r="N66" s="37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7"/>
      <c r="K67" s="37"/>
      <c r="L67" s="37"/>
      <c r="M67" s="37"/>
      <c r="N67" s="37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7"/>
      <c r="K68" s="37"/>
      <c r="L68" s="37"/>
      <c r="M68" s="37"/>
      <c r="N68" s="37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7"/>
      <c r="K69" s="37"/>
      <c r="L69" s="37"/>
      <c r="M69" s="37"/>
      <c r="N69" s="37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7"/>
      <c r="K70" s="37"/>
      <c r="L70" s="37"/>
      <c r="M70" s="37"/>
      <c r="N70" s="37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7"/>
      <c r="K71" s="37"/>
      <c r="L71" s="37"/>
      <c r="M71" s="37"/>
      <c r="N71" s="37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7"/>
      <c r="K72" s="37"/>
      <c r="L72" s="37"/>
      <c r="M72" s="37"/>
      <c r="N72" s="37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7"/>
      <c r="K73" s="37"/>
      <c r="L73" s="37"/>
      <c r="M73" s="37"/>
      <c r="N73" s="37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7"/>
      <c r="K74" s="37"/>
      <c r="L74" s="37"/>
      <c r="M74" s="37"/>
      <c r="N74" s="37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7"/>
      <c r="K75" s="37"/>
      <c r="L75" s="37"/>
      <c r="M75" s="37"/>
      <c r="N75" s="37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7"/>
      <c r="K76" s="37"/>
      <c r="L76" s="37"/>
      <c r="M76" s="37"/>
      <c r="N76" s="37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7"/>
      <c r="K77" s="37"/>
      <c r="L77" s="37"/>
      <c r="M77" s="37"/>
      <c r="N77" s="37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7"/>
      <c r="K78" s="37"/>
      <c r="L78" s="37"/>
      <c r="M78" s="37"/>
      <c r="N78" s="37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7"/>
      <c r="K79" s="37"/>
      <c r="L79" s="37"/>
      <c r="M79" s="37"/>
      <c r="N79" s="37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7"/>
      <c r="K80" s="37"/>
      <c r="L80" s="37"/>
      <c r="M80" s="37"/>
      <c r="N80" s="37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7"/>
      <c r="K81" s="37"/>
      <c r="L81" s="37"/>
      <c r="M81" s="37"/>
      <c r="N81" s="37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7"/>
      <c r="K82" s="37"/>
      <c r="L82" s="37"/>
      <c r="M82" s="37"/>
      <c r="N82" s="37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7"/>
      <c r="K83" s="37"/>
      <c r="L83" s="37"/>
      <c r="M83" s="37"/>
      <c r="N83" s="37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7"/>
      <c r="K84" s="37"/>
      <c r="L84" s="37"/>
      <c r="M84" s="37"/>
      <c r="N84" s="37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7"/>
      <c r="K85" s="37"/>
      <c r="L85" s="37"/>
      <c r="M85" s="37"/>
      <c r="N85" s="37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7"/>
      <c r="K86" s="37"/>
      <c r="L86" s="37"/>
      <c r="M86" s="37"/>
      <c r="N86" s="37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7"/>
      <c r="K87" s="37"/>
      <c r="L87" s="37"/>
      <c r="M87" s="37"/>
      <c r="N87" s="37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7"/>
      <c r="K88" s="37"/>
      <c r="L88" s="37"/>
      <c r="M88" s="37"/>
      <c r="N88" s="37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7"/>
      <c r="K89" s="37"/>
      <c r="L89" s="37"/>
      <c r="M89" s="37"/>
      <c r="N89" s="37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7"/>
      <c r="K90" s="37"/>
      <c r="L90" s="37"/>
      <c r="M90" s="37"/>
      <c r="N90" s="37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7"/>
      <c r="K91" s="37"/>
      <c r="L91" s="37"/>
      <c r="M91" s="37"/>
      <c r="N91" s="37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7"/>
      <c r="K92" s="37"/>
      <c r="L92" s="37"/>
      <c r="M92" s="37"/>
      <c r="N92" s="37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7"/>
      <c r="K93" s="37"/>
      <c r="L93" s="37"/>
      <c r="M93" s="37"/>
      <c r="N93" s="37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7"/>
      <c r="K94" s="37"/>
      <c r="L94" s="37"/>
      <c r="M94" s="37"/>
      <c r="N94" s="37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7"/>
      <c r="K95" s="37"/>
      <c r="L95" s="37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7"/>
      <c r="K96" s="37"/>
      <c r="L96" s="37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E7:E9"/>
    <mergeCell ref="F7:F9"/>
    <mergeCell ref="G7:G9"/>
    <mergeCell ref="H7:H9"/>
    <mergeCell ref="I7:I9"/>
    <mergeCell ref="J7:J9"/>
    <mergeCell ref="K7:K9"/>
    <mergeCell ref="L7:L9"/>
    <mergeCell ref="M7:M9"/>
    <mergeCell ref="N7:N9"/>
    <mergeCell ref="A1:AL1"/>
    <mergeCell ref="A2:AL2"/>
    <mergeCell ref="A3:AL3"/>
    <mergeCell ref="A4:AL4"/>
    <mergeCell ref="A5:AL5"/>
    <mergeCell ref="A6:AL6"/>
    <mergeCell ref="D7:D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