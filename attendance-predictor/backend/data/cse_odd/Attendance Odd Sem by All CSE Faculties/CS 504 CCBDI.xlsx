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_CSE" sheetId="1" r:id="rId4"/>
    <sheet state="visible" name="Th_ECE" sheetId="2" r:id="rId5"/>
    <sheet state="visible" name="CSE_B2" sheetId="3" r:id="rId6"/>
    <sheet state="visible" name="CSE_B1" sheetId="4" r:id="rId7"/>
    <sheet state="visible" name="ECE_B2" sheetId="5" r:id="rId8"/>
    <sheet state="visible" name="ECE_B1" sheetId="6" r:id="rId9"/>
    <sheet state="visible" name="Total_CSE" sheetId="7" r:id="rId10"/>
    <sheet state="visible" name="Total_ECE" sheetId="8" r:id="rId11"/>
  </sheets>
  <definedNames/>
  <calcPr/>
  <extLst>
    <ext uri="GoogleSheetsCustomDataVersion2">
      <go:sheetsCustomData xmlns:go="http://customooxmlschemas.google.com/" r:id="rId12" roundtripDataChecksum="cn1ysd1C6I2esxUy5H5z5/fMplrBrLlHZVVdoDN9888="/>
    </ext>
  </extLst>
</workbook>
</file>

<file path=xl/sharedStrings.xml><?xml version="1.0" encoding="utf-8"?>
<sst xmlns="http://schemas.openxmlformats.org/spreadsheetml/2006/main" count="5212" uniqueCount="326">
  <si>
    <t>Indian Institute of Information Technology (IIIT), Surat</t>
  </si>
  <si>
    <t xml:space="preserve">Computer Science and Engineering Department                                                                                                             </t>
  </si>
  <si>
    <t>B.Tech - III  Semester - V</t>
  </si>
  <si>
    <t>Subject Name:- Could Computing and Big data infrastructure (CS- 504)</t>
  </si>
  <si>
    <t xml:space="preserve">Subject Coordinator:  </t>
  </si>
  <si>
    <t>Academic Year: 2025-2026</t>
  </si>
  <si>
    <t>July</t>
  </si>
  <si>
    <t>Aug</t>
  </si>
  <si>
    <t>OCT</t>
  </si>
  <si>
    <t>Nov</t>
  </si>
  <si>
    <t>Total P</t>
  </si>
  <si>
    <t>Total A</t>
  </si>
  <si>
    <t>Total</t>
  </si>
  <si>
    <t>%</t>
  </si>
  <si>
    <t>09/08</t>
  </si>
  <si>
    <t>11/08</t>
  </si>
  <si>
    <t>16/08</t>
  </si>
  <si>
    <t>21/08</t>
  </si>
  <si>
    <t>23/08</t>
  </si>
  <si>
    <t>30/08</t>
  </si>
  <si>
    <t>27/09</t>
  </si>
  <si>
    <t>04/10</t>
  </si>
  <si>
    <t>06/10</t>
  </si>
  <si>
    <t>11/10</t>
  </si>
  <si>
    <t>01/10</t>
  </si>
  <si>
    <t>01/11</t>
  </si>
  <si>
    <t>Sr. No</t>
  </si>
  <si>
    <t>Enrollment No.</t>
  </si>
  <si>
    <t>Name</t>
  </si>
  <si>
    <t>UI23CS01</t>
  </si>
  <si>
    <t>ABHINAV</t>
  </si>
  <si>
    <t>A</t>
  </si>
  <si>
    <t>P</t>
  </si>
  <si>
    <t>UI23CS02</t>
  </si>
  <si>
    <t>ABHISHEK YADAV</t>
  </si>
  <si>
    <t>UI23CS03</t>
  </si>
  <si>
    <t>AKHILESH SINGH</t>
  </si>
  <si>
    <t>UI23CS05</t>
  </si>
  <si>
    <t>AMAN DUDI</t>
  </si>
  <si>
    <t>UI23CS06</t>
  </si>
  <si>
    <t>AMAN KUMAR</t>
  </si>
  <si>
    <t>UI23CS07</t>
  </si>
  <si>
    <t>ANJALI</t>
  </si>
  <si>
    <t>UI23CS08</t>
  </si>
  <si>
    <t>ANUBHAV RAJPUT</t>
  </si>
  <si>
    <t>UI23CS09</t>
  </si>
  <si>
    <t>AVIRAL PANDEY</t>
  </si>
  <si>
    <t>UI23CS10</t>
  </si>
  <si>
    <t>BAPATHI VENKATA SHV REDDY</t>
  </si>
  <si>
    <t>UI23CS11</t>
  </si>
  <si>
    <t>BELLAM APOORVA</t>
  </si>
  <si>
    <t>UI23CS12</t>
  </si>
  <si>
    <t>BHUKYA LINGANNA</t>
  </si>
  <si>
    <t>UI23CS13</t>
  </si>
  <si>
    <t>BHUPENDRA KUMAR</t>
  </si>
  <si>
    <t>UI23CS16</t>
  </si>
  <si>
    <t>DARSHAN DIXIT</t>
  </si>
  <si>
    <t>UI23CS17</t>
  </si>
  <si>
    <t>DEEPAK SINGH</t>
  </si>
  <si>
    <t>UI23CS18</t>
  </si>
  <si>
    <t>DEEPESH DANGI</t>
  </si>
  <si>
    <t>UI23CS19</t>
  </si>
  <si>
    <t>DHRUV RAGHAV</t>
  </si>
  <si>
    <t>UI23CS20</t>
  </si>
  <si>
    <t>DINESH KUMAR</t>
  </si>
  <si>
    <t>UI23CS21</t>
  </si>
  <si>
    <t>FARAAZ AHMAD</t>
  </si>
  <si>
    <t>UI23CS22</t>
  </si>
  <si>
    <t>GAYATRI</t>
  </si>
  <si>
    <t>UI23CS23</t>
  </si>
  <si>
    <t>HARSH ASHOKBHAI ZADAFIYA</t>
  </si>
  <si>
    <t>UI23CS24</t>
  </si>
  <si>
    <t>HARSH SURESHBHAI PATEL</t>
  </si>
  <si>
    <t>UI23CS25</t>
  </si>
  <si>
    <t>HARSH VARDHAN SINGH</t>
  </si>
  <si>
    <t>UI23CS26</t>
  </si>
  <si>
    <t>HARSH KHULBE</t>
  </si>
  <si>
    <t>UI23CS27</t>
  </si>
  <si>
    <t>HARSH SINGH</t>
  </si>
  <si>
    <t>UI23CS28</t>
  </si>
  <si>
    <t>HARSH SHARMA</t>
  </si>
  <si>
    <t>UI23CS29</t>
  </si>
  <si>
    <t>JASH KAPOOR</t>
  </si>
  <si>
    <t>UI23CS30</t>
  </si>
  <si>
    <t>JEEVANT</t>
  </si>
  <si>
    <t>UI23CS31</t>
  </si>
  <si>
    <t>KALPANA SINGH</t>
  </si>
  <si>
    <t>UI23CS32</t>
  </si>
  <si>
    <t>KAPIL YADAV</t>
  </si>
  <si>
    <t>UI23CS33</t>
  </si>
  <si>
    <t>KARTIK RAJ</t>
  </si>
  <si>
    <t>UI23CS34</t>
  </si>
  <si>
    <t>KAVYA ASHOKBHAI PATEL</t>
  </si>
  <si>
    <t>UI23CS35</t>
  </si>
  <si>
    <t>KSHITIJ AMITBHAI PATEL</t>
  </si>
  <si>
    <t>UI23CS36</t>
  </si>
  <si>
    <t>KUMOD KUMAR</t>
  </si>
  <si>
    <t>UI23CS37</t>
  </si>
  <si>
    <t>LADDA RIDHI</t>
  </si>
  <si>
    <t>UI23CS38</t>
  </si>
  <si>
    <t>MAHYAVANSHI ASAV MAHESHBHAI</t>
  </si>
  <si>
    <t>UI23CS39</t>
  </si>
  <si>
    <t>MATE SAKHEE SHRIKANT</t>
  </si>
  <si>
    <t>UI23CS40</t>
  </si>
  <si>
    <t>MAYANK KUMAR SAGAR</t>
  </si>
  <si>
    <t>UI23CS41</t>
  </si>
  <si>
    <t>MEET MANOJBHAI PATEL</t>
  </si>
  <si>
    <t>UI23CS42</t>
  </si>
  <si>
    <t>MEET PARESH PARMAR</t>
  </si>
  <si>
    <t>UI23CS43</t>
  </si>
  <si>
    <t>MEET SHAH</t>
  </si>
  <si>
    <t>UI23CS44</t>
  </si>
  <si>
    <t>MEETIKSHA</t>
  </si>
  <si>
    <t>UI23CS45</t>
  </si>
  <si>
    <t>MOHAMMAD SAQUIB</t>
  </si>
  <si>
    <t>UI23CS46</t>
  </si>
  <si>
    <t>MUDAVATH PRAVEEN NAYAK</t>
  </si>
  <si>
    <t>UI23CS47</t>
  </si>
  <si>
    <t>NAGANDLA SIDDHARRDHAA</t>
  </si>
  <si>
    <t>UI23CS48</t>
  </si>
  <si>
    <t>NITISH</t>
  </si>
  <si>
    <t>UI23CS49</t>
  </si>
  <si>
    <t>PANKAJ KUMAR</t>
  </si>
  <si>
    <t>UI23CS50</t>
  </si>
  <si>
    <t>PERAM PRIYATHAM REDDY</t>
  </si>
  <si>
    <t>UI23CS51</t>
  </si>
  <si>
    <t>PIPALIYA MOHIT SHAILESHBHAI</t>
  </si>
  <si>
    <t>UI23CS52</t>
  </si>
  <si>
    <t>PRAMITH SAI THALLA</t>
  </si>
  <si>
    <t>UI23CS53</t>
  </si>
  <si>
    <t>PRANSHU NARESHKUMAR PATEL</t>
  </si>
  <si>
    <t>UI23CS54</t>
  </si>
  <si>
    <t>PRATIK DNYANESHWAR AVHAD</t>
  </si>
  <si>
    <t>UI23CS55</t>
  </si>
  <si>
    <t>PRIYANSHU SINGH DOHAREY</t>
  </si>
  <si>
    <t>UI23CS56</t>
  </si>
  <si>
    <t>PULIKANTI VARSHA</t>
  </si>
  <si>
    <t>UI23CS57</t>
  </si>
  <si>
    <t>RADADIYA DISHANTKUMAR BHARATBHAI</t>
  </si>
  <si>
    <t>UI23CS58</t>
  </si>
  <si>
    <t>RONIT CHOUDHARY</t>
  </si>
  <si>
    <t>UI23CS59</t>
  </si>
  <si>
    <t>SAHIL SINGH</t>
  </si>
  <si>
    <t>UI23CS60</t>
  </si>
  <si>
    <t>SANDHYA KUDIYAM</t>
  </si>
  <si>
    <t>UI23CS61</t>
  </si>
  <si>
    <t>SANKET NANDKISHOR ZILPE</t>
  </si>
  <si>
    <t>UI23CS62</t>
  </si>
  <si>
    <t>SEJAL MAURYA</t>
  </si>
  <si>
    <t>UI23CS63</t>
  </si>
  <si>
    <t>SHREYANSH VISHWAKARMA</t>
  </si>
  <si>
    <t>UI23CS64</t>
  </si>
  <si>
    <t>SHREYASH GOVINDWAR</t>
  </si>
  <si>
    <t>UI23CS65</t>
  </si>
  <si>
    <t>SONGARA BHAVIKKUMAR JAGDISHBHAI</t>
  </si>
  <si>
    <t>UI23CS66</t>
  </si>
  <si>
    <t>SRIPADHI RAKSHITH</t>
  </si>
  <si>
    <t>UI23CS67</t>
  </si>
  <si>
    <t>SUMIT PAREEK</t>
  </si>
  <si>
    <t>UI23CS68</t>
  </si>
  <si>
    <t>SURYA NAMDEV</t>
  </si>
  <si>
    <t>UI23CS69</t>
  </si>
  <si>
    <t>TARUN</t>
  </si>
  <si>
    <t>UI23CS70</t>
  </si>
  <si>
    <t>TEJAVATH SIMHADRI</t>
  </si>
  <si>
    <t>UI23CS72</t>
  </si>
  <si>
    <t>VAGHASIYA DAKSH HASMUKHBHAI</t>
  </si>
  <si>
    <t>UI23CS73</t>
  </si>
  <si>
    <t>VASAVA AKSHAYKUMAR AMARSINGBHAI</t>
  </si>
  <si>
    <t>UI23CS74</t>
  </si>
  <si>
    <t>VASU CHETANKUMAR GOTI</t>
  </si>
  <si>
    <t>UI23CS76</t>
  </si>
  <si>
    <t>VISHNU TELI</t>
  </si>
  <si>
    <t>UI23CS77</t>
  </si>
  <si>
    <t>VIVEK BAYA</t>
  </si>
  <si>
    <t>UI23CS78</t>
  </si>
  <si>
    <t>YUG PATEL</t>
  </si>
  <si>
    <t>UI22CS11</t>
  </si>
  <si>
    <t>BANOTH VENKATESH</t>
  </si>
  <si>
    <t>No. of Present Student</t>
  </si>
  <si>
    <t>No. of Absent Student</t>
  </si>
  <si>
    <t>B.Tech - III Semester - V</t>
  </si>
  <si>
    <t>Present</t>
  </si>
  <si>
    <t>UI23EC01</t>
  </si>
  <si>
    <t>ABHAY JAISWAL</t>
  </si>
  <si>
    <t>UI23EC02</t>
  </si>
  <si>
    <t>ADARSH PANDEY</t>
  </si>
  <si>
    <t>UI23EC03</t>
  </si>
  <si>
    <t>ADITYA ANAND</t>
  </si>
  <si>
    <t>UI23EC04</t>
  </si>
  <si>
    <t>ANKIT KUMAR</t>
  </si>
  <si>
    <t>UI23EC06</t>
  </si>
  <si>
    <t>ARPIT CHAUHAN</t>
  </si>
  <si>
    <t>UI23EC07</t>
  </si>
  <si>
    <t>ARPIT KHARE</t>
  </si>
  <si>
    <t>UI23EC08</t>
  </si>
  <si>
    <t>ARYAN KUMAR</t>
  </si>
  <si>
    <t>UI23EC09</t>
  </si>
  <si>
    <t>ARYAN TIWARI</t>
  </si>
  <si>
    <t>UI23EC11</t>
  </si>
  <si>
    <t>AYUSH SINGH</t>
  </si>
  <si>
    <t>UI23EC12</t>
  </si>
  <si>
    <t>BODDU SRINIVASA RAO</t>
  </si>
  <si>
    <t>UI23EC13</t>
  </si>
  <si>
    <t>CHETHAN SAI BILLA</t>
  </si>
  <si>
    <t>UI23EC14</t>
  </si>
  <si>
    <t>CHIRAG KUMAR</t>
  </si>
  <si>
    <t>UI23EC15</t>
  </si>
  <si>
    <t>CHUKKA LAHITYA</t>
  </si>
  <si>
    <t>UI23EC16</t>
  </si>
  <si>
    <t>DEVANSH BOHARE</t>
  </si>
  <si>
    <t>UI23EC17</t>
  </si>
  <si>
    <t>DHANANJAY KUMAR</t>
  </si>
  <si>
    <t>UI23EC18</t>
  </si>
  <si>
    <t>DHARAVATH SAI DEEPIKA</t>
  </si>
  <si>
    <t>UI23EC19</t>
  </si>
  <si>
    <t>DANNANA DILEEP</t>
  </si>
  <si>
    <t>UI23EC20</t>
  </si>
  <si>
    <t>GAJJELA SINDHUJA</t>
  </si>
  <si>
    <t>UI23EC21</t>
  </si>
  <si>
    <t>GANESH VINOD TILEKAR</t>
  </si>
  <si>
    <t>UI23EC22</t>
  </si>
  <si>
    <t>GUDEPU SNUHITH</t>
  </si>
  <si>
    <t>UI23EC23</t>
  </si>
  <si>
    <t>HEVIN SANJAYBHAI PATEL</t>
  </si>
  <si>
    <t>UI23EC24</t>
  </si>
  <si>
    <t>HIMANSHU SHEKHAR</t>
  </si>
  <si>
    <t>UI23EC25</t>
  </si>
  <si>
    <t>HIMANSHU YADAV</t>
  </si>
  <si>
    <t>UI23EC27</t>
  </si>
  <si>
    <t>JAGAT SWARUP TARRA</t>
  </si>
  <si>
    <t>UI23EC29</t>
  </si>
  <si>
    <t>KOMMU PRAVALLIKA</t>
  </si>
  <si>
    <t>UI23EC31</t>
  </si>
  <si>
    <t>LAKSHYADEEP SHARMA</t>
  </si>
  <si>
    <t>UI23EC32</t>
  </si>
  <si>
    <t>MADHAV BAGRI</t>
  </si>
  <si>
    <t>UI23EC33</t>
  </si>
  <si>
    <t>MADHAV GUPTA</t>
  </si>
  <si>
    <t>UI23EC34</t>
  </si>
  <si>
    <t>KUNAL MAHENDRA</t>
  </si>
  <si>
    <t>UI23EC35</t>
  </si>
  <si>
    <t>MANASVI CHOUDHARY</t>
  </si>
  <si>
    <t>UI23EC36</t>
  </si>
  <si>
    <t>MANOJ KUMAWAT</t>
  </si>
  <si>
    <t>UI23EC37</t>
  </si>
  <si>
    <t>MITULKUMAR MAGANBHAI HADIYA</t>
  </si>
  <si>
    <t>UI23EC40</t>
  </si>
  <si>
    <t>NITIN</t>
  </si>
  <si>
    <t>UI23EC41</t>
  </si>
  <si>
    <t>OM SETH</t>
  </si>
  <si>
    <t>UI23EC42</t>
  </si>
  <si>
    <t>PACHURU SUNIL</t>
  </si>
  <si>
    <t>UI23EC43</t>
  </si>
  <si>
    <t>PALAK DWIVEDI</t>
  </si>
  <si>
    <t>UI23EC44</t>
  </si>
  <si>
    <t>PRATEEK SINGH</t>
  </si>
  <si>
    <t>UI23EC45</t>
  </si>
  <si>
    <t>PREET KUMAR</t>
  </si>
  <si>
    <t>UI23EC46</t>
  </si>
  <si>
    <t>PRIYANSH CHOUDHARY</t>
  </si>
  <si>
    <t>UI23EC48</t>
  </si>
  <si>
    <t>RAJAT JAIN</t>
  </si>
  <si>
    <t>UI23EC50</t>
  </si>
  <si>
    <t>RAVI</t>
  </si>
  <si>
    <t>UI23EC51</t>
  </si>
  <si>
    <t>RITIK KUMAR</t>
  </si>
  <si>
    <t>UI23EC52</t>
  </si>
  <si>
    <t>RUDRAKSH PARMAR</t>
  </si>
  <si>
    <t>UI23EC55</t>
  </si>
  <si>
    <t>SAMRUDDHI SHAILLENDRA RAHATE</t>
  </si>
  <si>
    <t>UI23EC57</t>
  </si>
  <si>
    <t>SHREYA SHARMA</t>
  </si>
  <si>
    <t>UI23EC58</t>
  </si>
  <si>
    <t>SIVA DHEERAJ ETHAMSETTI</t>
  </si>
  <si>
    <t>UI23EC59</t>
  </si>
  <si>
    <t>SPARSH SAXENA</t>
  </si>
  <si>
    <t>UI23EC60</t>
  </si>
  <si>
    <t>SUMANT KUMAR</t>
  </si>
  <si>
    <t>UI23EC61</t>
  </si>
  <si>
    <t>SURENDRA BABU KOTHAPALLI</t>
  </si>
  <si>
    <t>UI23EC62</t>
  </si>
  <si>
    <t>TAMANAMPUDI PHANI SAINADHA REDDY</t>
  </si>
  <si>
    <t>UI23EC63</t>
  </si>
  <si>
    <t>TANMAY JAIN</t>
  </si>
  <si>
    <t>UI23EC64</t>
  </si>
  <si>
    <t>UDAY DHAKAR</t>
  </si>
  <si>
    <t>UI23EC65</t>
  </si>
  <si>
    <t>VARUN KUMAR N</t>
  </si>
  <si>
    <t>UI23EC66</t>
  </si>
  <si>
    <t>VENKATA LAXMI JOKADA</t>
  </si>
  <si>
    <t>UI23EC67</t>
  </si>
  <si>
    <t>YASAM AJITH KUMAR</t>
  </si>
  <si>
    <t>UI23EC68</t>
  </si>
  <si>
    <t>YASH BHASKAR PATIL</t>
  </si>
  <si>
    <t>UI23EC69</t>
  </si>
  <si>
    <t>YASWANTH BHUKYA</t>
  </si>
  <si>
    <t>UI22EC35</t>
  </si>
  <si>
    <t>JARAPILA CHARUSHMA</t>
  </si>
  <si>
    <t xml:space="preserve">Subject Coordinator: </t>
  </si>
  <si>
    <t>Academic Year: 2023-2024</t>
  </si>
  <si>
    <t xml:space="preserve">JULY </t>
  </si>
  <si>
    <t>AUG</t>
  </si>
  <si>
    <t>SEP</t>
  </si>
  <si>
    <t>NOV</t>
  </si>
  <si>
    <t>UI22CS42</t>
  </si>
  <si>
    <t>MAKWANA KANVI</t>
  </si>
  <si>
    <t xml:space="preserve">                                       Indian Institute of Information Technology (IIIT), Surat</t>
  </si>
  <si>
    <t>JULY</t>
  </si>
  <si>
    <t>AUGUST</t>
  </si>
  <si>
    <t>SEPTEMBER</t>
  </si>
  <si>
    <t>OCTOBER</t>
  </si>
  <si>
    <t>NOVEMBER</t>
  </si>
  <si>
    <t>August</t>
  </si>
  <si>
    <t>September</t>
  </si>
  <si>
    <t>Students Name</t>
  </si>
  <si>
    <t xml:space="preserve"> P</t>
  </si>
  <si>
    <t>UI22EC05</t>
  </si>
  <si>
    <t>AAKULA PREETHI</t>
  </si>
  <si>
    <t>No. of Present Students</t>
  </si>
  <si>
    <t>No. of Absent Students</t>
  </si>
  <si>
    <t>Sept</t>
  </si>
  <si>
    <t>Oct</t>
  </si>
  <si>
    <t>Present Percentage Theory (%)</t>
  </si>
  <si>
    <t>Present Percentage Lab (%)</t>
  </si>
  <si>
    <t>Present Percentage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</si>
</sst>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8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Calibri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rgb="FF70AD47"/>
      <name val="Calibri"/>
    </font>
    <font>
      <b/>
      <sz val="11.0"/>
      <color rgb="FF70AD47"/>
      <name val="Times"/>
    </font>
    <font>
      <sz val="11.0"/>
      <color rgb="FFFF0000"/>
      <name val="Inconsolata"/>
    </font>
    <font>
      <sz val="11.0"/>
      <color rgb="FF70AD47"/>
      <name val="Arial"/>
    </font>
    <font>
      <color theme="1"/>
      <name val="Arial"/>
    </font>
    <font>
      <b/>
      <sz val="11.0"/>
      <color theme="1"/>
      <name val="Calibri"/>
    </font>
    <font>
      <b/>
      <sz val="11.0"/>
      <color rgb="FFFF0000"/>
      <name val="Times"/>
    </font>
    <font>
      <b/>
      <color theme="1"/>
      <name val="Calibri"/>
    </font>
    <font>
      <b/>
      <sz val="11.0"/>
      <color rgb="FF000000"/>
      <name val="Times"/>
    </font>
    <font>
      <b/>
      <sz val="11.0"/>
      <color theme="1"/>
      <name val="Inconsolata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center"/>
    </xf>
    <xf borderId="4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4" fillId="0" fontId="5" numFmtId="49" xfId="0" applyAlignment="1" applyBorder="1" applyFont="1" applyNumberFormat="1">
      <alignment shrinkToFit="0" vertical="bottom" wrapText="1"/>
    </xf>
    <xf borderId="1" fillId="3" fontId="1" numFmtId="0" xfId="0" applyBorder="1" applyFont="1"/>
    <xf borderId="4" fillId="0" fontId="1" numFmtId="0" xfId="0" applyAlignment="1" applyBorder="1" applyFont="1">
      <alignment vertical="center"/>
    </xf>
    <xf borderId="3" fillId="0" fontId="1" numFmtId="0" xfId="0" applyAlignment="1" applyBorder="1" applyFont="1">
      <alignment shrinkToFit="0" vertical="center" wrapText="0"/>
    </xf>
    <xf borderId="4" fillId="3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/>
    </xf>
    <xf borderId="3" fillId="0" fontId="6" numFmtId="0" xfId="0" applyAlignment="1" applyBorder="1" applyFont="1">
      <alignment vertical="bottom"/>
    </xf>
    <xf borderId="4" fillId="2" fontId="3" numFmtId="0" xfId="0" applyAlignment="1" applyBorder="1" applyFont="1">
      <alignment horizontal="center" vertical="center"/>
    </xf>
    <xf borderId="4" fillId="0" fontId="7" numFmtId="0" xfId="0" applyAlignment="1" applyBorder="1" applyFont="1">
      <alignment shrinkToFit="0" vertical="bottom" wrapText="1"/>
    </xf>
    <xf borderId="4" fillId="2" fontId="8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1" numFmtId="1" xfId="0" applyAlignment="1" applyBorder="1" applyFont="1" applyNumberFormat="1">
      <alignment horizontal="center" vertical="center"/>
    </xf>
    <xf borderId="6" fillId="0" fontId="6" numFmtId="0" xfId="0" applyBorder="1" applyFont="1"/>
    <xf borderId="4" fillId="0" fontId="3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/>
    </xf>
    <xf borderId="4" fillId="2" fontId="7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horizontal="center"/>
    </xf>
    <xf borderId="4" fillId="0" fontId="1" numFmtId="2" xfId="0" applyAlignment="1" applyBorder="1" applyFont="1" applyNumberFormat="1">
      <alignment horizontal="center" vertical="center"/>
    </xf>
    <xf borderId="4" fillId="2" fontId="8" numFmtId="0" xfId="0" applyAlignment="1" applyBorder="1" applyFont="1">
      <alignment horizontal="center"/>
    </xf>
    <xf borderId="0" fillId="0" fontId="3" numFmtId="0" xfId="0" applyAlignment="1" applyFont="1">
      <alignment shrinkToFit="0" vertical="center" wrapText="0"/>
    </xf>
    <xf borderId="6" fillId="5" fontId="6" numFmtId="0" xfId="0" applyAlignment="1" applyBorder="1" applyFill="1" applyFont="1">
      <alignment vertical="bottom"/>
    </xf>
    <xf borderId="6" fillId="5" fontId="9" numFmtId="0" xfId="0" applyAlignment="1" applyBorder="1" applyFont="1">
      <alignment horizontal="center" vertical="bottom"/>
    </xf>
    <xf borderId="6" fillId="5" fontId="6" numFmtId="0" xfId="0" applyBorder="1" applyFont="1"/>
    <xf borderId="6" fillId="5" fontId="10" numFmtId="0" xfId="0" applyAlignment="1" applyBorder="1" applyFont="1">
      <alignment horizontal="right" vertical="bottom"/>
    </xf>
    <xf borderId="3" fillId="3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3" fontId="1" numFmtId="0" xfId="0" applyBorder="1" applyFont="1"/>
    <xf borderId="8" fillId="0" fontId="6" numFmtId="0" xfId="0" applyAlignment="1" applyBorder="1" applyFont="1">
      <alignment horizontal="center"/>
    </xf>
    <xf borderId="4" fillId="0" fontId="11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vertical="bottom"/>
    </xf>
    <xf borderId="9" fillId="2" fontId="13" numFmtId="0" xfId="0" applyAlignment="1" applyBorder="1" applyFont="1">
      <alignment horizontal="center" shrinkToFit="0" wrapText="1"/>
    </xf>
    <xf borderId="10" fillId="0" fontId="2" numFmtId="0" xfId="0" applyBorder="1" applyFont="1"/>
    <xf borderId="6" fillId="0" fontId="2" numFmtId="0" xfId="0" applyBorder="1" applyFont="1"/>
    <xf borderId="0" fillId="0" fontId="6" numFmtId="0" xfId="0" applyAlignment="1" applyFont="1">
      <alignment vertical="bottom"/>
    </xf>
    <xf borderId="10" fillId="0" fontId="6" numFmtId="0" xfId="0" applyAlignment="1" applyBorder="1" applyFont="1">
      <alignment vertical="bottom"/>
    </xf>
    <xf borderId="10" fillId="0" fontId="6" numFmtId="4" xfId="0" applyBorder="1" applyFont="1" applyNumberFormat="1"/>
    <xf borderId="11" fillId="0" fontId="6" numFmtId="0" xfId="0" applyAlignment="1" applyBorder="1" applyFont="1">
      <alignment vertical="bottom"/>
    </xf>
    <xf borderId="4" fillId="3" fontId="13" numFmtId="0" xfId="0" applyAlignment="1" applyBorder="1" applyFont="1">
      <alignment horizontal="center" shrinkToFit="0" wrapText="1"/>
    </xf>
    <xf borderId="10" fillId="3" fontId="13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shrinkToFit="0" wrapText="1"/>
    </xf>
    <xf borderId="6" fillId="3" fontId="13" numFmtId="0" xfId="0" applyAlignment="1" applyBorder="1" applyFont="1">
      <alignment horizontal="center" shrinkToFit="0" wrapText="1"/>
    </xf>
    <xf borderId="6" fillId="3" fontId="13" numFmtId="4" xfId="0" applyAlignment="1" applyBorder="1" applyFont="1" applyNumberFormat="1">
      <alignment horizontal="center" shrinkToFit="0" wrapText="1"/>
    </xf>
    <xf borderId="6" fillId="0" fontId="6" numFmtId="0" xfId="0" applyAlignment="1" applyBorder="1" applyFont="1">
      <alignment vertical="bottom"/>
    </xf>
    <xf borderId="4" fillId="3" fontId="4" numFmtId="0" xfId="0" applyBorder="1" applyFont="1"/>
    <xf borderId="12" fillId="3" fontId="13" numFmtId="0" xfId="0" applyAlignment="1" applyBorder="1" applyFont="1">
      <alignment vertical="bottom"/>
    </xf>
    <xf borderId="6" fillId="3" fontId="13" numFmtId="0" xfId="0" applyAlignment="1" applyBorder="1" applyFont="1">
      <alignment vertical="bottom"/>
    </xf>
    <xf borderId="6" fillId="3" fontId="13" numFmtId="0" xfId="0" applyAlignment="1" applyBorder="1" applyFont="1">
      <alignment horizontal="center" vertical="bottom"/>
    </xf>
    <xf borderId="6" fillId="3" fontId="13" numFmtId="0" xfId="0" applyAlignment="1" applyBorder="1" applyFont="1">
      <alignment horizontal="center"/>
    </xf>
    <xf borderId="6" fillId="3" fontId="6" numFmtId="0" xfId="0" applyAlignment="1" applyBorder="1" applyFont="1">
      <alignment vertical="bottom"/>
    </xf>
    <xf borderId="6" fillId="3" fontId="6" numFmtId="4" xfId="0" applyBorder="1" applyFont="1" applyNumberFormat="1"/>
    <xf borderId="6" fillId="2" fontId="14" numFmtId="0" xfId="0" applyAlignment="1" applyBorder="1" applyFont="1">
      <alignment horizontal="center" vertical="bottom"/>
    </xf>
    <xf borderId="6" fillId="0" fontId="13" numFmtId="0" xfId="0" applyAlignment="1" applyBorder="1" applyFont="1">
      <alignment horizontal="center" vertical="bottom"/>
    </xf>
    <xf borderId="6" fillId="0" fontId="13" numFmtId="3" xfId="0" applyAlignment="1" applyBorder="1" applyFont="1" applyNumberFormat="1">
      <alignment horizontal="center"/>
    </xf>
    <xf borderId="0" fillId="4" fontId="6" numFmtId="0" xfId="0" applyAlignment="1" applyFont="1">
      <alignment horizontal="center" vertical="bottom"/>
    </xf>
    <xf borderId="4" fillId="0" fontId="6" numFmtId="0" xfId="0" applyBorder="1" applyFont="1"/>
    <xf borderId="4" fillId="2" fontId="14" numFmtId="0" xfId="0" applyAlignment="1" applyBorder="1" applyFont="1">
      <alignment horizontal="center" vertical="bottom"/>
    </xf>
    <xf borderId="6" fillId="0" fontId="13" numFmtId="4" xfId="0" applyAlignment="1" applyBorder="1" applyFont="1" applyNumberFormat="1">
      <alignment horizontal="center"/>
    </xf>
    <xf borderId="0" fillId="0" fontId="6" numFmtId="0" xfId="0" applyAlignment="1" applyFont="1">
      <alignment horizontal="center" vertical="bottom"/>
    </xf>
    <xf borderId="0" fillId="2" fontId="6" numFmtId="0" xfId="0" applyAlignment="1" applyFont="1">
      <alignment vertical="bottom"/>
    </xf>
    <xf borderId="0" fillId="2" fontId="14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center"/>
    </xf>
    <xf borderId="0" fillId="0" fontId="6" numFmtId="0" xfId="0" applyFont="1"/>
    <xf borderId="10" fillId="0" fontId="6" numFmtId="0" xfId="0" applyBorder="1" applyFont="1"/>
    <xf borderId="0" fillId="0" fontId="6" numFmtId="4" xfId="0" applyFont="1" applyNumberFormat="1"/>
    <xf borderId="1" fillId="2" fontId="13" numFmtId="0" xfId="0" applyAlignment="1" applyBorder="1" applyFont="1">
      <alignment horizontal="center" shrinkToFit="0" wrapText="1"/>
    </xf>
    <xf borderId="10" fillId="0" fontId="6" numFmtId="0" xfId="0" applyAlignment="1" applyBorder="1" applyFont="1">
      <alignment horizontal="center" vertical="bottom"/>
    </xf>
    <xf borderId="10" fillId="6" fontId="15" numFmtId="0" xfId="0" applyBorder="1" applyFill="1" applyFont="1"/>
    <xf borderId="10" fillId="3" fontId="13" numFmtId="0" xfId="0" applyAlignment="1" applyBorder="1" applyFont="1">
      <alignment horizontal="center"/>
    </xf>
    <xf borderId="6" fillId="3" fontId="6" numFmtId="0" xfId="0" applyBorder="1" applyFont="1"/>
    <xf borderId="0" fillId="3" fontId="6" numFmtId="0" xfId="0" applyFont="1"/>
    <xf borderId="4" fillId="0" fontId="6" numFmtId="0" xfId="0" applyAlignment="1" applyBorder="1" applyFont="1">
      <alignment vertical="bottom"/>
    </xf>
    <xf borderId="10" fillId="3" fontId="6" numFmtId="0" xfId="0" applyAlignment="1" applyBorder="1" applyFont="1">
      <alignment horizontal="center"/>
    </xf>
    <xf borderId="6" fillId="3" fontId="6" numFmtId="0" xfId="0" applyAlignment="1" applyBorder="1" applyFont="1">
      <alignment horizontal="center"/>
    </xf>
    <xf borderId="6" fillId="0" fontId="13" numFmtId="2" xfId="0" applyAlignment="1" applyBorder="1" applyFont="1" applyNumberFormat="1">
      <alignment horizontal="center"/>
    </xf>
    <xf borderId="0" fillId="0" fontId="13" numFmtId="2" xfId="0" applyAlignment="1" applyFont="1" applyNumberFormat="1">
      <alignment horizontal="center"/>
    </xf>
    <xf borderId="12" fillId="4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5" fontId="10" numFmtId="0" xfId="0" applyAlignment="1" applyBorder="1" applyFont="1">
      <alignment horizontal="center" vertical="bottom"/>
    </xf>
    <xf borderId="0" fillId="5" fontId="10" numFmtId="0" xfId="0" applyAlignment="1" applyFont="1">
      <alignment horizontal="right" vertical="bottom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0" fillId="0" fontId="6" numFmtId="0" xfId="0" applyAlignment="1" applyBorder="1" applyFont="1">
      <alignment shrinkToFit="0" vertical="center" wrapText="1"/>
    </xf>
    <xf borderId="10" fillId="0" fontId="6" numFmtId="4" xfId="0" applyAlignment="1" applyBorder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0" fillId="3" fontId="13" numFmtId="0" xfId="0" applyAlignment="1" applyBorder="1" applyFont="1">
      <alignment horizontal="center" shrinkToFit="0" vertical="center" wrapText="1"/>
    </xf>
    <xf borderId="10" fillId="7" fontId="6" numFmtId="0" xfId="0" applyAlignment="1" applyBorder="1" applyFill="1" applyFont="1">
      <alignment horizontal="center" shrinkToFit="0" vertical="center" wrapText="1"/>
    </xf>
    <xf borderId="6" fillId="7" fontId="6" numFmtId="0" xfId="0" applyAlignment="1" applyBorder="1" applyFont="1">
      <alignment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6" fillId="3" fontId="13" numFmtId="4" xfId="0" applyAlignment="1" applyBorder="1" applyFont="1" applyNumberForma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3" fontId="13" numFmtId="164" xfId="0" applyAlignment="1" applyBorder="1" applyFont="1" applyNumberFormat="1">
      <alignment horizontal="center" shrinkToFit="0" vertical="center" wrapText="1"/>
    </xf>
    <xf borderId="12" fillId="3" fontId="13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shrinkToFit="0" vertical="center" wrapText="1"/>
    </xf>
    <xf borderId="6" fillId="3" fontId="6" numFmtId="4" xfId="0" applyAlignment="1" applyBorder="1" applyFont="1" applyNumberFormat="1">
      <alignment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6" fillId="2" fontId="14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6" fillId="0" fontId="13" numFmtId="4" xfId="0" applyAlignment="1" applyBorder="1" applyFont="1" applyNumberFormat="1">
      <alignment horizontal="center" shrinkToFit="0" vertical="center" wrapText="1"/>
    </xf>
    <xf borderId="6" fillId="2" fontId="1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/>
    </xf>
    <xf borderId="6" fillId="5" fontId="13" numFmtId="0" xfId="0" applyAlignment="1" applyBorder="1" applyFont="1">
      <alignment vertical="bottom"/>
    </xf>
    <xf borderId="6" fillId="5" fontId="17" numFmtId="0" xfId="0" applyAlignment="1" applyBorder="1" applyFont="1">
      <alignment horizontal="right" vertical="bottom"/>
    </xf>
    <xf borderId="11" fillId="0" fontId="6" numFmtId="0" xfId="0" applyBorder="1" applyFont="1"/>
    <xf borderId="2" fillId="2" fontId="1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0" fillId="2" fontId="6" numFmtId="0" xfId="0" applyAlignment="1" applyFont="1">
      <alignment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12" fillId="3" fontId="13" numFmtId="0" xfId="0" applyAlignment="1" applyBorder="1" applyFont="1">
      <alignment shrinkToFit="0" vertical="center" wrapText="1"/>
    </xf>
    <xf borderId="6" fillId="3" fontId="13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center" wrapText="1"/>
    </xf>
    <xf borderId="6" fillId="0" fontId="13" numFmtId="2" xfId="0" applyAlignment="1" applyBorder="1" applyFont="1" applyNumberFormat="1">
      <alignment horizontal="center" shrinkToFit="0" vertical="center" wrapText="1"/>
    </xf>
    <xf borderId="0" fillId="0" fontId="13" numFmtId="2" xfId="0" applyAlignment="1" applyFont="1" applyNumberFormat="1">
      <alignment horizontal="center" shrinkToFit="0" vertical="center" wrapText="1"/>
    </xf>
    <xf borderId="6" fillId="0" fontId="6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shrinkToFit="0" vertical="center" wrapText="1"/>
    </xf>
    <xf borderId="6" fillId="5" fontId="9" numFmtId="0" xfId="0" applyAlignment="1" applyBorder="1" applyFont="1">
      <alignment horizontal="center" shrinkToFit="0" vertical="center" wrapText="1"/>
    </xf>
    <xf borderId="6" fillId="5" fontId="10" numFmtId="0" xfId="0" applyAlignment="1" applyBorder="1" applyFont="1">
      <alignment horizontal="righ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4" xfId="0" applyAlignment="1" applyFont="1" applyNumberFormat="1">
      <alignment horizontal="center"/>
    </xf>
    <xf borderId="0" fillId="0" fontId="3" numFmtId="0" xfId="0" applyFont="1"/>
    <xf borderId="13" fillId="3" fontId="1" numFmtId="4" xfId="0" applyAlignment="1" applyBorder="1" applyFont="1" applyNumberFormat="1">
      <alignment horizontal="center" shrinkToFit="0" vertical="center" wrapText="1"/>
    </xf>
    <xf borderId="14" fillId="0" fontId="2" numFmtId="0" xfId="0" applyBorder="1" applyFont="1"/>
    <xf borderId="12" fillId="0" fontId="2" numFmtId="0" xfId="0" applyBorder="1" applyFont="1"/>
    <xf borderId="12" fillId="0" fontId="1" numFmtId="3" xfId="0" applyAlignment="1" applyBorder="1" applyFont="1" applyNumberFormat="1">
      <alignment horizontal="center"/>
    </xf>
    <xf borderId="4" fillId="0" fontId="1" numFmtId="3" xfId="0" applyAlignment="1" applyBorder="1" applyFont="1" applyNumberFormat="1">
      <alignment horizontal="center"/>
    </xf>
    <xf borderId="4" fillId="4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4" fillId="0" fontId="1" numFmtId="4" xfId="0" applyAlignment="1" applyBorder="1" applyFont="1" applyNumberFormat="1">
      <alignment horizontal="center"/>
    </xf>
    <xf borderId="12" fillId="0" fontId="1" numFmtId="4" xfId="0" applyAlignment="1" applyBorder="1" applyFont="1" applyNumberFormat="1">
      <alignment horizontal="center"/>
    </xf>
    <xf borderId="1" fillId="2" fontId="1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horizontal="center" vertical="bottom"/>
    </xf>
    <xf borderId="6" fillId="8" fontId="6" numFmtId="0" xfId="0" applyBorder="1" applyFont="1"/>
    <xf borderId="4" fillId="8" fontId="6" numFmtId="0" xfId="0" applyAlignment="1" applyBorder="1" applyFont="1">
      <alignment horizontal="center"/>
    </xf>
    <xf borderId="5" fillId="8" fontId="6" numFmtId="0" xfId="0" applyAlignment="1" applyBorder="1" applyFont="1">
      <alignment horizontal="center"/>
    </xf>
  </cellXfs>
  <cellStyles count="1">
    <cellStyle xfId="0" name="Normal" builtinId="0"/>
  </cellStyles>
  <dxfs count="5">
    <dxf>
      <font>
        <b/>
        <color rgb="FFFF0000"/>
      </font>
      <fill>
        <patternFill patternType="none"/>
      </fill>
      <border/>
    </dxf>
    <dxf>
      <font>
        <b/>
        <color theme="9"/>
      </font>
      <fill>
        <patternFill patternType="none"/>
      </fill>
      <border/>
    </dxf>
    <dxf>
      <font>
        <color rgb="FF70AD47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0"/>
    <col customWidth="1" min="3" max="3" width="36.14"/>
    <col customWidth="1" min="4" max="4" width="8.57"/>
    <col customWidth="1" min="5" max="8" width="5.86"/>
    <col customWidth="1" min="9" max="9" width="5.71"/>
    <col customWidth="1" min="10" max="10" width="6.43"/>
    <col customWidth="1" min="11" max="11" width="6.14"/>
    <col customWidth="1" min="12" max="13" width="5.86"/>
    <col customWidth="1" min="14" max="14" width="5.71"/>
    <col customWidth="1" min="15" max="17" width="5.29"/>
    <col customWidth="1" min="18" max="19" width="5.43"/>
    <col customWidth="1" min="20" max="20" width="5.0"/>
    <col customWidth="1" min="21" max="21" width="5.43"/>
    <col customWidth="1" min="22" max="23" width="5.57"/>
    <col customWidth="1" min="24" max="24" width="5.43"/>
    <col customWidth="1" min="25" max="25" width="5.57"/>
    <col customWidth="1" min="26" max="26" width="5.29"/>
    <col customWidth="1" min="27" max="27" width="5.14"/>
    <col customWidth="1" min="28" max="28" width="5.43"/>
    <col customWidth="1" min="29" max="30" width="7.0"/>
    <col customWidth="1" min="31" max="31" width="6.71"/>
    <col customWidth="1" min="32" max="32" width="12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  <c r="AF1" s="5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4"/>
      <c r="AF2" s="5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4"/>
      <c r="AF3" s="5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4"/>
      <c r="AF4" s="5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4"/>
      <c r="AF5" s="5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"/>
      <c r="AE6" s="4"/>
      <c r="AF6" s="5"/>
    </row>
    <row r="7">
      <c r="C7" s="6"/>
      <c r="D7" s="4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5"/>
    </row>
    <row r="8">
      <c r="C8" s="6"/>
      <c r="D8" s="8" t="s">
        <v>6</v>
      </c>
      <c r="E8" s="9" t="s">
        <v>7</v>
      </c>
      <c r="F8" s="2"/>
      <c r="G8" s="2"/>
      <c r="H8" s="2"/>
      <c r="I8" s="10" t="s">
        <v>8</v>
      </c>
      <c r="J8" s="2"/>
      <c r="K8" s="2"/>
      <c r="L8" s="2"/>
      <c r="M8" s="2"/>
      <c r="N8" s="2"/>
      <c r="O8" s="3"/>
      <c r="P8" s="9" t="s">
        <v>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8" t="s">
        <v>10</v>
      </c>
      <c r="AD8" s="8" t="s">
        <v>11</v>
      </c>
      <c r="AE8" s="8" t="s">
        <v>12</v>
      </c>
      <c r="AF8" s="8" t="s">
        <v>13</v>
      </c>
    </row>
    <row r="9">
      <c r="C9" s="6"/>
      <c r="D9" s="10">
        <v>31.0</v>
      </c>
      <c r="E9" s="8">
        <v>1.0</v>
      </c>
      <c r="F9" s="11" t="s">
        <v>14</v>
      </c>
      <c r="G9" s="11" t="s">
        <v>14</v>
      </c>
      <c r="H9" s="11" t="s">
        <v>15</v>
      </c>
      <c r="I9" s="11" t="s">
        <v>16</v>
      </c>
      <c r="J9" s="11" t="s">
        <v>16</v>
      </c>
      <c r="K9" s="11" t="s">
        <v>17</v>
      </c>
      <c r="L9" s="11" t="s">
        <v>18</v>
      </c>
      <c r="M9" s="11" t="s">
        <v>18</v>
      </c>
      <c r="N9" s="11" t="s">
        <v>19</v>
      </c>
      <c r="O9" s="11" t="s">
        <v>19</v>
      </c>
      <c r="P9" s="11" t="s">
        <v>20</v>
      </c>
      <c r="Q9" s="11" t="s">
        <v>20</v>
      </c>
      <c r="R9" s="11" t="s">
        <v>21</v>
      </c>
      <c r="S9" s="11" t="s">
        <v>21</v>
      </c>
      <c r="T9" s="11" t="s">
        <v>22</v>
      </c>
      <c r="U9" s="11" t="s">
        <v>23</v>
      </c>
      <c r="V9" s="11" t="s">
        <v>23</v>
      </c>
      <c r="W9" s="11" t="s">
        <v>24</v>
      </c>
      <c r="X9" s="11" t="s">
        <v>25</v>
      </c>
      <c r="Y9" s="11" t="s">
        <v>25</v>
      </c>
      <c r="Z9" s="8"/>
      <c r="AA9" s="8"/>
      <c r="AB9" s="8"/>
      <c r="AC9" s="8"/>
      <c r="AD9" s="8"/>
      <c r="AE9" s="8"/>
      <c r="AF9" s="8"/>
    </row>
    <row r="10">
      <c r="A10" s="12" t="s">
        <v>26</v>
      </c>
      <c r="B10" s="13" t="s">
        <v>27</v>
      </c>
      <c r="C10" s="14" t="s">
        <v>28</v>
      </c>
      <c r="D10" s="12">
        <v>1.0</v>
      </c>
      <c r="E10" s="12">
        <v>2.0</v>
      </c>
      <c r="F10" s="12">
        <v>3.0</v>
      </c>
      <c r="G10" s="12">
        <v>4.0</v>
      </c>
      <c r="H10" s="12">
        <v>5.0</v>
      </c>
      <c r="I10" s="12">
        <v>6.0</v>
      </c>
      <c r="J10" s="12">
        <v>7.0</v>
      </c>
      <c r="K10" s="12">
        <v>8.0</v>
      </c>
      <c r="L10" s="12">
        <v>9.0</v>
      </c>
      <c r="M10" s="12">
        <v>10.0</v>
      </c>
      <c r="N10" s="12">
        <v>11.0</v>
      </c>
      <c r="O10" s="12">
        <v>12.0</v>
      </c>
      <c r="P10" s="12">
        <v>13.0</v>
      </c>
      <c r="Q10" s="12">
        <v>14.0</v>
      </c>
      <c r="R10" s="12">
        <v>15.0</v>
      </c>
      <c r="S10" s="12">
        <v>16.0</v>
      </c>
      <c r="T10" s="12">
        <v>17.0</v>
      </c>
      <c r="U10" s="12">
        <v>18.0</v>
      </c>
      <c r="V10" s="12">
        <v>19.0</v>
      </c>
      <c r="W10" s="12">
        <v>20.0</v>
      </c>
      <c r="X10" s="12">
        <v>21.0</v>
      </c>
      <c r="Y10" s="12">
        <v>22.0</v>
      </c>
      <c r="Z10" s="12"/>
      <c r="AA10" s="12"/>
      <c r="AB10" s="12"/>
      <c r="AC10" s="15"/>
      <c r="AD10" s="15"/>
      <c r="AE10" s="15"/>
      <c r="AF10" s="16"/>
    </row>
    <row r="11">
      <c r="A11" s="17">
        <v>1.0</v>
      </c>
      <c r="B11" s="18" t="s">
        <v>29</v>
      </c>
      <c r="C11" s="19" t="s">
        <v>30</v>
      </c>
      <c r="D11" s="20" t="s">
        <v>31</v>
      </c>
      <c r="E11" s="20" t="s">
        <v>32</v>
      </c>
      <c r="F11" s="21" t="s">
        <v>32</v>
      </c>
      <c r="G11" s="21" t="s">
        <v>32</v>
      </c>
      <c r="H11" s="21" t="s">
        <v>32</v>
      </c>
      <c r="I11" s="21" t="s">
        <v>31</v>
      </c>
      <c r="J11" s="21" t="s">
        <v>31</v>
      </c>
      <c r="K11" s="21" t="s">
        <v>31</v>
      </c>
      <c r="L11" s="21" t="s">
        <v>32</v>
      </c>
      <c r="M11" s="21" t="s">
        <v>32</v>
      </c>
      <c r="N11" s="21" t="s">
        <v>32</v>
      </c>
      <c r="O11" s="21" t="s">
        <v>31</v>
      </c>
      <c r="P11" s="21" t="s">
        <v>32</v>
      </c>
      <c r="Q11" s="21" t="s">
        <v>32</v>
      </c>
      <c r="R11" s="21" t="s">
        <v>31</v>
      </c>
      <c r="S11" s="21" t="s">
        <v>31</v>
      </c>
      <c r="T11" s="21" t="s">
        <v>31</v>
      </c>
      <c r="U11" s="21" t="s">
        <v>32</v>
      </c>
      <c r="V11" s="21" t="s">
        <v>32</v>
      </c>
      <c r="W11" s="21" t="s">
        <v>32</v>
      </c>
      <c r="X11" s="21" t="s">
        <v>32</v>
      </c>
      <c r="Y11" s="21" t="s">
        <v>32</v>
      </c>
      <c r="Z11" s="22"/>
      <c r="AA11" s="22"/>
      <c r="AB11" s="22"/>
      <c r="AC11" s="23">
        <f t="shared" ref="AC11:AC84" si="1">COUNTIF(D11:AB11,"P") + COUNTIF(D11:AB11, "1")</f>
        <v>14</v>
      </c>
      <c r="AD11" s="23">
        <f t="shared" ref="AD11:AD84" si="2">COUNTIF(D11:AB11,"A") + COUNTIF(D11:AB11,"0")</f>
        <v>8</v>
      </c>
      <c r="AE11" s="23">
        <f t="shared" ref="AE11:AE84" si="3">SUM(AC11:AD11)</f>
        <v>22</v>
      </c>
      <c r="AF11" s="24">
        <f t="shared" ref="AF11:AF84" si="4">(AC11/AE11)*100</f>
        <v>63.63636364</v>
      </c>
    </row>
    <row r="12">
      <c r="A12" s="17">
        <v>2.0</v>
      </c>
      <c r="B12" s="18" t="s">
        <v>33</v>
      </c>
      <c r="C12" s="25" t="s">
        <v>34</v>
      </c>
      <c r="D12" s="20" t="s">
        <v>32</v>
      </c>
      <c r="E12" s="20" t="s">
        <v>32</v>
      </c>
      <c r="F12" s="21" t="s">
        <v>32</v>
      </c>
      <c r="G12" s="21" t="s">
        <v>32</v>
      </c>
      <c r="H12" s="21" t="s">
        <v>32</v>
      </c>
      <c r="I12" s="21" t="s">
        <v>32</v>
      </c>
      <c r="J12" s="21" t="s">
        <v>32</v>
      </c>
      <c r="K12" s="21" t="s">
        <v>32</v>
      </c>
      <c r="L12" s="21" t="s">
        <v>32</v>
      </c>
      <c r="M12" s="21" t="s">
        <v>32</v>
      </c>
      <c r="N12" s="21" t="s">
        <v>31</v>
      </c>
      <c r="O12" s="21" t="s">
        <v>32</v>
      </c>
      <c r="P12" s="21" t="s">
        <v>32</v>
      </c>
      <c r="Q12" s="21" t="s">
        <v>32</v>
      </c>
      <c r="R12" s="21" t="s">
        <v>32</v>
      </c>
      <c r="S12" s="21" t="s">
        <v>31</v>
      </c>
      <c r="T12" s="21" t="s">
        <v>32</v>
      </c>
      <c r="U12" s="21" t="s">
        <v>32</v>
      </c>
      <c r="V12" s="21" t="s">
        <v>32</v>
      </c>
      <c r="W12" s="21" t="s">
        <v>32</v>
      </c>
      <c r="X12" s="21" t="s">
        <v>32</v>
      </c>
      <c r="Y12" s="21" t="s">
        <v>32</v>
      </c>
      <c r="Z12" s="22"/>
      <c r="AA12" s="22"/>
      <c r="AB12" s="22"/>
      <c r="AC12" s="23">
        <f t="shared" si="1"/>
        <v>20</v>
      </c>
      <c r="AD12" s="23">
        <f t="shared" si="2"/>
        <v>2</v>
      </c>
      <c r="AE12" s="23">
        <f t="shared" si="3"/>
        <v>22</v>
      </c>
      <c r="AF12" s="24">
        <f t="shared" si="4"/>
        <v>90.90909091</v>
      </c>
    </row>
    <row r="13">
      <c r="A13" s="17">
        <v>3.0</v>
      </c>
      <c r="B13" s="18" t="s">
        <v>35</v>
      </c>
      <c r="C13" s="25" t="s">
        <v>36</v>
      </c>
      <c r="D13" s="20" t="s">
        <v>31</v>
      </c>
      <c r="E13" s="20" t="s">
        <v>32</v>
      </c>
      <c r="F13" s="21" t="s">
        <v>31</v>
      </c>
      <c r="G13" s="21" t="s">
        <v>32</v>
      </c>
      <c r="H13" s="21" t="s">
        <v>32</v>
      </c>
      <c r="I13" s="21" t="s">
        <v>32</v>
      </c>
      <c r="J13" s="21" t="s">
        <v>32</v>
      </c>
      <c r="K13" s="21" t="s">
        <v>31</v>
      </c>
      <c r="L13" s="21" t="s">
        <v>32</v>
      </c>
      <c r="M13" s="21" t="s">
        <v>32</v>
      </c>
      <c r="N13" s="21" t="s">
        <v>32</v>
      </c>
      <c r="O13" s="21" t="s">
        <v>31</v>
      </c>
      <c r="P13" s="21" t="s">
        <v>31</v>
      </c>
      <c r="Q13" s="21" t="s">
        <v>31</v>
      </c>
      <c r="R13" s="21" t="s">
        <v>32</v>
      </c>
      <c r="S13" s="21" t="s">
        <v>32</v>
      </c>
      <c r="T13" s="21" t="s">
        <v>31</v>
      </c>
      <c r="U13" s="21" t="s">
        <v>31</v>
      </c>
      <c r="V13" s="21" t="s">
        <v>31</v>
      </c>
      <c r="W13" s="21" t="s">
        <v>31</v>
      </c>
      <c r="X13" s="21" t="s">
        <v>31</v>
      </c>
      <c r="Y13" s="21" t="s">
        <v>31</v>
      </c>
      <c r="Z13" s="22"/>
      <c r="AA13" s="22"/>
      <c r="AB13" s="22"/>
      <c r="AC13" s="23">
        <f t="shared" si="1"/>
        <v>10</v>
      </c>
      <c r="AD13" s="23">
        <f t="shared" si="2"/>
        <v>12</v>
      </c>
      <c r="AE13" s="23">
        <f t="shared" si="3"/>
        <v>22</v>
      </c>
      <c r="AF13" s="24">
        <f t="shared" si="4"/>
        <v>45.45454545</v>
      </c>
    </row>
    <row r="14">
      <c r="A14" s="17">
        <v>4.0</v>
      </c>
      <c r="B14" s="18" t="s">
        <v>37</v>
      </c>
      <c r="C14" s="25" t="s">
        <v>38</v>
      </c>
      <c r="D14" s="20" t="s">
        <v>32</v>
      </c>
      <c r="E14" s="20" t="s">
        <v>32</v>
      </c>
      <c r="F14" s="21" t="s">
        <v>32</v>
      </c>
      <c r="G14" s="21" t="s">
        <v>32</v>
      </c>
      <c r="H14" s="21" t="s">
        <v>31</v>
      </c>
      <c r="I14" s="21" t="s">
        <v>32</v>
      </c>
      <c r="J14" s="21" t="s">
        <v>32</v>
      </c>
      <c r="K14" s="21" t="s">
        <v>31</v>
      </c>
      <c r="L14" s="21" t="s">
        <v>32</v>
      </c>
      <c r="M14" s="21" t="s">
        <v>32</v>
      </c>
      <c r="N14" s="21" t="s">
        <v>32</v>
      </c>
      <c r="O14" s="21" t="s">
        <v>31</v>
      </c>
      <c r="P14" s="21" t="s">
        <v>32</v>
      </c>
      <c r="Q14" s="21" t="s">
        <v>32</v>
      </c>
      <c r="R14" s="21" t="s">
        <v>32</v>
      </c>
      <c r="S14" s="21" t="s">
        <v>32</v>
      </c>
      <c r="T14" s="21" t="s">
        <v>32</v>
      </c>
      <c r="U14" s="21" t="s">
        <v>32</v>
      </c>
      <c r="V14" s="21" t="s">
        <v>32</v>
      </c>
      <c r="W14" s="21" t="s">
        <v>32</v>
      </c>
      <c r="X14" s="21" t="s">
        <v>32</v>
      </c>
      <c r="Y14" s="21" t="s">
        <v>32</v>
      </c>
      <c r="Z14" s="22"/>
      <c r="AA14" s="22"/>
      <c r="AB14" s="22"/>
      <c r="AC14" s="23">
        <f t="shared" si="1"/>
        <v>19</v>
      </c>
      <c r="AD14" s="23">
        <f t="shared" si="2"/>
        <v>3</v>
      </c>
      <c r="AE14" s="23">
        <f t="shared" si="3"/>
        <v>22</v>
      </c>
      <c r="AF14" s="24">
        <f t="shared" si="4"/>
        <v>86.36363636</v>
      </c>
    </row>
    <row r="15">
      <c r="A15" s="17">
        <v>5.0</v>
      </c>
      <c r="B15" s="18" t="s">
        <v>39</v>
      </c>
      <c r="C15" s="25" t="s">
        <v>40</v>
      </c>
      <c r="D15" s="20" t="s">
        <v>32</v>
      </c>
      <c r="E15" s="20" t="s">
        <v>32</v>
      </c>
      <c r="F15" s="21" t="s">
        <v>32</v>
      </c>
      <c r="G15" s="21" t="s">
        <v>32</v>
      </c>
      <c r="H15" s="21" t="s">
        <v>32</v>
      </c>
      <c r="I15" s="21" t="s">
        <v>31</v>
      </c>
      <c r="J15" s="21" t="s">
        <v>31</v>
      </c>
      <c r="K15" s="21" t="s">
        <v>31</v>
      </c>
      <c r="L15" s="21" t="s">
        <v>31</v>
      </c>
      <c r="M15" s="21" t="s">
        <v>31</v>
      </c>
      <c r="N15" s="21" t="s">
        <v>32</v>
      </c>
      <c r="O15" s="21" t="s">
        <v>31</v>
      </c>
      <c r="P15" s="21" t="s">
        <v>31</v>
      </c>
      <c r="Q15" s="21" t="s">
        <v>31</v>
      </c>
      <c r="R15" s="21" t="s">
        <v>32</v>
      </c>
      <c r="S15" s="21" t="s">
        <v>32</v>
      </c>
      <c r="T15" s="21" t="s">
        <v>32</v>
      </c>
      <c r="U15" s="21" t="s">
        <v>32</v>
      </c>
      <c r="V15" s="21" t="s">
        <v>32</v>
      </c>
      <c r="W15" s="21" t="s">
        <v>32</v>
      </c>
      <c r="X15" s="21" t="s">
        <v>32</v>
      </c>
      <c r="Y15" s="21" t="s">
        <v>32</v>
      </c>
      <c r="Z15" s="22"/>
      <c r="AA15" s="22"/>
      <c r="AB15" s="22"/>
      <c r="AC15" s="23">
        <f t="shared" si="1"/>
        <v>14</v>
      </c>
      <c r="AD15" s="23">
        <f t="shared" si="2"/>
        <v>8</v>
      </c>
      <c r="AE15" s="23">
        <f t="shared" si="3"/>
        <v>22</v>
      </c>
      <c r="AF15" s="24">
        <f t="shared" si="4"/>
        <v>63.63636364</v>
      </c>
    </row>
    <row r="16">
      <c r="A16" s="17">
        <v>6.0</v>
      </c>
      <c r="B16" s="18" t="s">
        <v>41</v>
      </c>
      <c r="C16" s="25" t="s">
        <v>42</v>
      </c>
      <c r="D16" s="20" t="s">
        <v>32</v>
      </c>
      <c r="E16" s="20" t="s">
        <v>32</v>
      </c>
      <c r="F16" s="21" t="s">
        <v>32</v>
      </c>
      <c r="G16" s="21" t="s">
        <v>32</v>
      </c>
      <c r="H16" s="21" t="s">
        <v>31</v>
      </c>
      <c r="I16" s="21" t="s">
        <v>32</v>
      </c>
      <c r="J16" s="21" t="s">
        <v>32</v>
      </c>
      <c r="K16" s="21" t="s">
        <v>31</v>
      </c>
      <c r="L16" s="21" t="s">
        <v>32</v>
      </c>
      <c r="M16" s="21" t="s">
        <v>32</v>
      </c>
      <c r="N16" s="21" t="s">
        <v>32</v>
      </c>
      <c r="O16" s="21" t="s">
        <v>32</v>
      </c>
      <c r="P16" s="21" t="s">
        <v>32</v>
      </c>
      <c r="Q16" s="21" t="s">
        <v>32</v>
      </c>
      <c r="R16" s="21" t="s">
        <v>32</v>
      </c>
      <c r="S16" s="21" t="s">
        <v>32</v>
      </c>
      <c r="T16" s="21" t="s">
        <v>31</v>
      </c>
      <c r="U16" s="21" t="s">
        <v>32</v>
      </c>
      <c r="V16" s="21" t="s">
        <v>32</v>
      </c>
      <c r="W16" s="21" t="s">
        <v>32</v>
      </c>
      <c r="X16" s="21" t="s">
        <v>32</v>
      </c>
      <c r="Y16" s="21" t="s">
        <v>32</v>
      </c>
      <c r="Z16" s="22"/>
      <c r="AA16" s="22"/>
      <c r="AB16" s="22"/>
      <c r="AC16" s="23">
        <f t="shared" si="1"/>
        <v>19</v>
      </c>
      <c r="AD16" s="23">
        <f t="shared" si="2"/>
        <v>3</v>
      </c>
      <c r="AE16" s="23">
        <f t="shared" si="3"/>
        <v>22</v>
      </c>
      <c r="AF16" s="24">
        <f t="shared" si="4"/>
        <v>86.36363636</v>
      </c>
    </row>
    <row r="17">
      <c r="A17" s="17">
        <v>7.0</v>
      </c>
      <c r="B17" s="18" t="s">
        <v>43</v>
      </c>
      <c r="C17" s="25" t="s">
        <v>44</v>
      </c>
      <c r="D17" s="20" t="s">
        <v>31</v>
      </c>
      <c r="E17" s="20" t="s">
        <v>32</v>
      </c>
      <c r="F17" s="21" t="s">
        <v>32</v>
      </c>
      <c r="G17" s="21" t="s">
        <v>32</v>
      </c>
      <c r="H17" s="21" t="s">
        <v>31</v>
      </c>
      <c r="I17" s="21" t="s">
        <v>32</v>
      </c>
      <c r="J17" s="21" t="s">
        <v>32</v>
      </c>
      <c r="K17" s="21" t="s">
        <v>31</v>
      </c>
      <c r="L17" s="21" t="s">
        <v>32</v>
      </c>
      <c r="M17" s="21" t="s">
        <v>32</v>
      </c>
      <c r="N17" s="21" t="s">
        <v>32</v>
      </c>
      <c r="O17" s="21" t="s">
        <v>32</v>
      </c>
      <c r="P17" s="21" t="s">
        <v>32</v>
      </c>
      <c r="Q17" s="21" t="s">
        <v>32</v>
      </c>
      <c r="R17" s="21" t="s">
        <v>31</v>
      </c>
      <c r="S17" s="21" t="s">
        <v>31</v>
      </c>
      <c r="T17" s="21" t="s">
        <v>32</v>
      </c>
      <c r="U17" s="21" t="s">
        <v>32</v>
      </c>
      <c r="V17" s="21" t="s">
        <v>32</v>
      </c>
      <c r="W17" s="21" t="s">
        <v>32</v>
      </c>
      <c r="X17" s="21" t="s">
        <v>32</v>
      </c>
      <c r="Y17" s="21" t="s">
        <v>32</v>
      </c>
      <c r="Z17" s="22"/>
      <c r="AA17" s="22"/>
      <c r="AB17" s="22"/>
      <c r="AC17" s="23">
        <f t="shared" si="1"/>
        <v>17</v>
      </c>
      <c r="AD17" s="23">
        <f t="shared" si="2"/>
        <v>5</v>
      </c>
      <c r="AE17" s="23">
        <f t="shared" si="3"/>
        <v>22</v>
      </c>
      <c r="AF17" s="24">
        <f t="shared" si="4"/>
        <v>77.27272727</v>
      </c>
    </row>
    <row r="18">
      <c r="A18" s="17">
        <v>8.0</v>
      </c>
      <c r="B18" s="18" t="s">
        <v>45</v>
      </c>
      <c r="C18" s="25" t="s">
        <v>46</v>
      </c>
      <c r="D18" s="20" t="s">
        <v>32</v>
      </c>
      <c r="E18" s="20" t="s">
        <v>32</v>
      </c>
      <c r="F18" s="21" t="s">
        <v>32</v>
      </c>
      <c r="G18" s="21" t="s">
        <v>32</v>
      </c>
      <c r="H18" s="21" t="s">
        <v>32</v>
      </c>
      <c r="I18" s="21" t="s">
        <v>32</v>
      </c>
      <c r="J18" s="21" t="s">
        <v>32</v>
      </c>
      <c r="K18" s="21" t="s">
        <v>32</v>
      </c>
      <c r="L18" s="21" t="s">
        <v>32</v>
      </c>
      <c r="M18" s="21" t="s">
        <v>32</v>
      </c>
      <c r="N18" s="21" t="s">
        <v>32</v>
      </c>
      <c r="O18" s="21" t="s">
        <v>32</v>
      </c>
      <c r="P18" s="21" t="s">
        <v>31</v>
      </c>
      <c r="Q18" s="21" t="s">
        <v>31</v>
      </c>
      <c r="R18" s="21" t="s">
        <v>32</v>
      </c>
      <c r="S18" s="21" t="s">
        <v>32</v>
      </c>
      <c r="T18" s="21" t="s">
        <v>32</v>
      </c>
      <c r="U18" s="21" t="s">
        <v>32</v>
      </c>
      <c r="V18" s="21" t="s">
        <v>32</v>
      </c>
      <c r="W18" s="21" t="s">
        <v>32</v>
      </c>
      <c r="X18" s="21" t="s">
        <v>32</v>
      </c>
      <c r="Y18" s="21" t="s">
        <v>32</v>
      </c>
      <c r="Z18" s="22"/>
      <c r="AA18" s="22"/>
      <c r="AB18" s="22"/>
      <c r="AC18" s="23">
        <f t="shared" si="1"/>
        <v>20</v>
      </c>
      <c r="AD18" s="23">
        <f t="shared" si="2"/>
        <v>2</v>
      </c>
      <c r="AE18" s="23">
        <f t="shared" si="3"/>
        <v>22</v>
      </c>
      <c r="AF18" s="24">
        <f t="shared" si="4"/>
        <v>90.90909091</v>
      </c>
    </row>
    <row r="19">
      <c r="A19" s="17">
        <v>9.0</v>
      </c>
      <c r="B19" s="18" t="s">
        <v>47</v>
      </c>
      <c r="C19" s="25" t="s">
        <v>48</v>
      </c>
      <c r="D19" s="20" t="s">
        <v>31</v>
      </c>
      <c r="E19" s="20" t="s">
        <v>32</v>
      </c>
      <c r="F19" s="21" t="s">
        <v>32</v>
      </c>
      <c r="G19" s="21" t="s">
        <v>32</v>
      </c>
      <c r="H19" s="21" t="s">
        <v>32</v>
      </c>
      <c r="I19" s="21" t="s">
        <v>32</v>
      </c>
      <c r="J19" s="21" t="s">
        <v>32</v>
      </c>
      <c r="K19" s="21" t="s">
        <v>32</v>
      </c>
      <c r="L19" s="21" t="s">
        <v>31</v>
      </c>
      <c r="M19" s="21" t="s">
        <v>31</v>
      </c>
      <c r="N19" s="21" t="s">
        <v>32</v>
      </c>
      <c r="O19" s="21" t="s">
        <v>31</v>
      </c>
      <c r="P19" s="21" t="s">
        <v>31</v>
      </c>
      <c r="Q19" s="21" t="s">
        <v>31</v>
      </c>
      <c r="R19" s="21" t="s">
        <v>31</v>
      </c>
      <c r="S19" s="21" t="s">
        <v>31</v>
      </c>
      <c r="T19" s="21" t="s">
        <v>32</v>
      </c>
      <c r="U19" s="21" t="s">
        <v>32</v>
      </c>
      <c r="V19" s="21" t="s">
        <v>32</v>
      </c>
      <c r="W19" s="21" t="s">
        <v>32</v>
      </c>
      <c r="X19" s="21" t="s">
        <v>32</v>
      </c>
      <c r="Y19" s="21" t="s">
        <v>32</v>
      </c>
      <c r="Z19" s="22"/>
      <c r="AA19" s="22"/>
      <c r="AB19" s="22"/>
      <c r="AC19" s="23">
        <f t="shared" si="1"/>
        <v>14</v>
      </c>
      <c r="AD19" s="23">
        <f t="shared" si="2"/>
        <v>8</v>
      </c>
      <c r="AE19" s="23">
        <f t="shared" si="3"/>
        <v>22</v>
      </c>
      <c r="AF19" s="24">
        <f t="shared" si="4"/>
        <v>63.63636364</v>
      </c>
    </row>
    <row r="20">
      <c r="A20" s="17">
        <v>10.0</v>
      </c>
      <c r="B20" s="18" t="s">
        <v>49</v>
      </c>
      <c r="C20" s="25" t="s">
        <v>50</v>
      </c>
      <c r="D20" s="20" t="s">
        <v>32</v>
      </c>
      <c r="E20" s="20" t="s">
        <v>32</v>
      </c>
      <c r="F20" s="21" t="s">
        <v>32</v>
      </c>
      <c r="G20" s="21" t="s">
        <v>32</v>
      </c>
      <c r="H20" s="21" t="s">
        <v>32</v>
      </c>
      <c r="I20" s="21" t="s">
        <v>32</v>
      </c>
      <c r="J20" s="21" t="s">
        <v>32</v>
      </c>
      <c r="K20" s="21" t="s">
        <v>31</v>
      </c>
      <c r="L20" s="21" t="s">
        <v>32</v>
      </c>
      <c r="M20" s="21" t="s">
        <v>32</v>
      </c>
      <c r="N20" s="21" t="s">
        <v>32</v>
      </c>
      <c r="O20" s="21" t="s">
        <v>32</v>
      </c>
      <c r="P20" s="21" t="s">
        <v>32</v>
      </c>
      <c r="Q20" s="21" t="s">
        <v>32</v>
      </c>
      <c r="R20" s="21" t="s">
        <v>32</v>
      </c>
      <c r="S20" s="21" t="s">
        <v>32</v>
      </c>
      <c r="T20" s="21" t="s">
        <v>31</v>
      </c>
      <c r="U20" s="21" t="s">
        <v>32</v>
      </c>
      <c r="V20" s="21" t="s">
        <v>32</v>
      </c>
      <c r="W20" s="21" t="s">
        <v>32</v>
      </c>
      <c r="X20" s="21" t="s">
        <v>32</v>
      </c>
      <c r="Y20" s="21" t="s">
        <v>32</v>
      </c>
      <c r="Z20" s="22"/>
      <c r="AA20" s="22"/>
      <c r="AB20" s="22"/>
      <c r="AC20" s="23">
        <f t="shared" si="1"/>
        <v>20</v>
      </c>
      <c r="AD20" s="23">
        <f t="shared" si="2"/>
        <v>2</v>
      </c>
      <c r="AE20" s="23">
        <f t="shared" si="3"/>
        <v>22</v>
      </c>
      <c r="AF20" s="24">
        <f t="shared" si="4"/>
        <v>90.90909091</v>
      </c>
    </row>
    <row r="21" ht="15.75" customHeight="1">
      <c r="A21" s="17">
        <v>11.0</v>
      </c>
      <c r="B21" s="18" t="s">
        <v>51</v>
      </c>
      <c r="C21" s="25" t="s">
        <v>52</v>
      </c>
      <c r="D21" s="20" t="s">
        <v>31</v>
      </c>
      <c r="E21" s="20" t="s">
        <v>32</v>
      </c>
      <c r="F21" s="21" t="s">
        <v>32</v>
      </c>
      <c r="G21" s="21" t="s">
        <v>31</v>
      </c>
      <c r="H21" s="21" t="s">
        <v>31</v>
      </c>
      <c r="I21" s="21" t="s">
        <v>32</v>
      </c>
      <c r="J21" s="21" t="s">
        <v>32</v>
      </c>
      <c r="K21" s="21" t="s">
        <v>31</v>
      </c>
      <c r="L21" s="21" t="s">
        <v>32</v>
      </c>
      <c r="M21" s="21" t="s">
        <v>32</v>
      </c>
      <c r="N21" s="21" t="s">
        <v>32</v>
      </c>
      <c r="O21" s="21" t="s">
        <v>32</v>
      </c>
      <c r="P21" s="21" t="s">
        <v>32</v>
      </c>
      <c r="Q21" s="21" t="s">
        <v>32</v>
      </c>
      <c r="R21" s="21" t="s">
        <v>32</v>
      </c>
      <c r="S21" s="21" t="s">
        <v>32</v>
      </c>
      <c r="T21" s="21" t="s">
        <v>32</v>
      </c>
      <c r="U21" s="21" t="s">
        <v>32</v>
      </c>
      <c r="V21" s="21" t="s">
        <v>32</v>
      </c>
      <c r="W21" s="21" t="s">
        <v>32</v>
      </c>
      <c r="X21" s="21" t="s">
        <v>32</v>
      </c>
      <c r="Y21" s="21" t="s">
        <v>32</v>
      </c>
      <c r="Z21" s="22"/>
      <c r="AA21" s="22"/>
      <c r="AB21" s="22"/>
      <c r="AC21" s="23">
        <f t="shared" si="1"/>
        <v>18</v>
      </c>
      <c r="AD21" s="23">
        <f t="shared" si="2"/>
        <v>4</v>
      </c>
      <c r="AE21" s="23">
        <f t="shared" si="3"/>
        <v>22</v>
      </c>
      <c r="AF21" s="24">
        <f t="shared" si="4"/>
        <v>81.81818182</v>
      </c>
    </row>
    <row r="22" ht="15.75" customHeight="1">
      <c r="A22" s="17">
        <v>12.0</v>
      </c>
      <c r="B22" s="18" t="s">
        <v>53</v>
      </c>
      <c r="C22" s="25" t="s">
        <v>54</v>
      </c>
      <c r="D22" s="20" t="s">
        <v>32</v>
      </c>
      <c r="E22" s="20" t="s">
        <v>32</v>
      </c>
      <c r="F22" s="21" t="s">
        <v>32</v>
      </c>
      <c r="G22" s="21" t="s">
        <v>32</v>
      </c>
      <c r="H22" s="21" t="s">
        <v>32</v>
      </c>
      <c r="I22" s="21" t="s">
        <v>31</v>
      </c>
      <c r="J22" s="21" t="s">
        <v>31</v>
      </c>
      <c r="K22" s="21" t="s">
        <v>32</v>
      </c>
      <c r="L22" s="21" t="s">
        <v>32</v>
      </c>
      <c r="M22" s="21" t="s">
        <v>32</v>
      </c>
      <c r="N22" s="21" t="s">
        <v>32</v>
      </c>
      <c r="O22" s="21" t="s">
        <v>32</v>
      </c>
      <c r="P22" s="21" t="s">
        <v>32</v>
      </c>
      <c r="Q22" s="21" t="s">
        <v>32</v>
      </c>
      <c r="R22" s="21" t="s">
        <v>32</v>
      </c>
      <c r="S22" s="21" t="s">
        <v>32</v>
      </c>
      <c r="T22" s="21" t="s">
        <v>32</v>
      </c>
      <c r="U22" s="21" t="s">
        <v>32</v>
      </c>
      <c r="V22" s="21" t="s">
        <v>32</v>
      </c>
      <c r="W22" s="21" t="s">
        <v>32</v>
      </c>
      <c r="X22" s="21" t="s">
        <v>32</v>
      </c>
      <c r="Y22" s="21" t="s">
        <v>32</v>
      </c>
      <c r="Z22" s="22"/>
      <c r="AA22" s="22"/>
      <c r="AB22" s="22"/>
      <c r="AC22" s="23">
        <f t="shared" si="1"/>
        <v>20</v>
      </c>
      <c r="AD22" s="23">
        <f t="shared" si="2"/>
        <v>2</v>
      </c>
      <c r="AE22" s="23">
        <f t="shared" si="3"/>
        <v>22</v>
      </c>
      <c r="AF22" s="24">
        <f t="shared" si="4"/>
        <v>90.90909091</v>
      </c>
    </row>
    <row r="23" ht="15.75" customHeight="1">
      <c r="A23" s="17">
        <v>13.0</v>
      </c>
      <c r="B23" s="18" t="s">
        <v>55</v>
      </c>
      <c r="C23" s="25" t="s">
        <v>56</v>
      </c>
      <c r="D23" s="20" t="s">
        <v>32</v>
      </c>
      <c r="E23" s="20" t="s">
        <v>32</v>
      </c>
      <c r="F23" s="21" t="s">
        <v>32</v>
      </c>
      <c r="G23" s="21" t="s">
        <v>32</v>
      </c>
      <c r="H23" s="21" t="s">
        <v>32</v>
      </c>
      <c r="I23" s="21" t="s">
        <v>32</v>
      </c>
      <c r="J23" s="21" t="s">
        <v>32</v>
      </c>
      <c r="K23" s="21" t="s">
        <v>32</v>
      </c>
      <c r="L23" s="21" t="s">
        <v>32</v>
      </c>
      <c r="M23" s="21" t="s">
        <v>32</v>
      </c>
      <c r="N23" s="21" t="s">
        <v>32</v>
      </c>
      <c r="O23" s="21" t="s">
        <v>31</v>
      </c>
      <c r="P23" s="21" t="s">
        <v>32</v>
      </c>
      <c r="Q23" s="21" t="s">
        <v>32</v>
      </c>
      <c r="R23" s="21" t="s">
        <v>31</v>
      </c>
      <c r="S23" s="21" t="s">
        <v>31</v>
      </c>
      <c r="T23" s="21" t="s">
        <v>32</v>
      </c>
      <c r="U23" s="21" t="s">
        <v>32</v>
      </c>
      <c r="V23" s="21" t="s">
        <v>32</v>
      </c>
      <c r="W23" s="21" t="s">
        <v>32</v>
      </c>
      <c r="X23" s="21" t="s">
        <v>32</v>
      </c>
      <c r="Y23" s="21" t="s">
        <v>32</v>
      </c>
      <c r="Z23" s="22"/>
      <c r="AA23" s="22"/>
      <c r="AB23" s="22"/>
      <c r="AC23" s="23">
        <f t="shared" si="1"/>
        <v>19</v>
      </c>
      <c r="AD23" s="23">
        <f t="shared" si="2"/>
        <v>3</v>
      </c>
      <c r="AE23" s="23">
        <f t="shared" si="3"/>
        <v>22</v>
      </c>
      <c r="AF23" s="24">
        <f t="shared" si="4"/>
        <v>86.36363636</v>
      </c>
    </row>
    <row r="24" ht="15.75" customHeight="1">
      <c r="A24" s="17">
        <v>14.0</v>
      </c>
      <c r="B24" s="18" t="s">
        <v>57</v>
      </c>
      <c r="C24" s="25" t="s">
        <v>58</v>
      </c>
      <c r="D24" s="20" t="s">
        <v>32</v>
      </c>
      <c r="E24" s="20" t="s">
        <v>32</v>
      </c>
      <c r="F24" s="21" t="s">
        <v>32</v>
      </c>
      <c r="G24" s="21" t="s">
        <v>32</v>
      </c>
      <c r="H24" s="21" t="s">
        <v>32</v>
      </c>
      <c r="I24" s="21" t="s">
        <v>32</v>
      </c>
      <c r="J24" s="21" t="s">
        <v>32</v>
      </c>
      <c r="K24" s="21" t="s">
        <v>32</v>
      </c>
      <c r="L24" s="21" t="s">
        <v>32</v>
      </c>
      <c r="M24" s="21" t="s">
        <v>32</v>
      </c>
      <c r="N24" s="21" t="s">
        <v>31</v>
      </c>
      <c r="O24" s="21" t="s">
        <v>32</v>
      </c>
      <c r="P24" s="21" t="s">
        <v>32</v>
      </c>
      <c r="Q24" s="21" t="s">
        <v>32</v>
      </c>
      <c r="R24" s="21" t="s">
        <v>32</v>
      </c>
      <c r="S24" s="21" t="s">
        <v>32</v>
      </c>
      <c r="T24" s="21" t="s">
        <v>32</v>
      </c>
      <c r="U24" s="21" t="s">
        <v>32</v>
      </c>
      <c r="V24" s="21" t="s">
        <v>32</v>
      </c>
      <c r="W24" s="21" t="s">
        <v>32</v>
      </c>
      <c r="X24" s="21" t="s">
        <v>32</v>
      </c>
      <c r="Y24" s="21" t="s">
        <v>32</v>
      </c>
      <c r="Z24" s="22"/>
      <c r="AA24" s="22"/>
      <c r="AB24" s="22"/>
      <c r="AC24" s="23">
        <f t="shared" si="1"/>
        <v>21</v>
      </c>
      <c r="AD24" s="23">
        <f t="shared" si="2"/>
        <v>1</v>
      </c>
      <c r="AE24" s="23">
        <f t="shared" si="3"/>
        <v>22</v>
      </c>
      <c r="AF24" s="24">
        <f t="shared" si="4"/>
        <v>95.45454545</v>
      </c>
    </row>
    <row r="25" ht="15.75" customHeight="1">
      <c r="A25" s="17">
        <v>15.0</v>
      </c>
      <c r="B25" s="18" t="s">
        <v>59</v>
      </c>
      <c r="C25" s="25" t="s">
        <v>60</v>
      </c>
      <c r="D25" s="20" t="s">
        <v>32</v>
      </c>
      <c r="E25" s="20" t="s">
        <v>32</v>
      </c>
      <c r="F25" s="21" t="s">
        <v>32</v>
      </c>
      <c r="G25" s="21" t="s">
        <v>32</v>
      </c>
      <c r="H25" s="21" t="s">
        <v>32</v>
      </c>
      <c r="I25" s="21" t="s">
        <v>31</v>
      </c>
      <c r="J25" s="21" t="s">
        <v>31</v>
      </c>
      <c r="K25" s="21" t="s">
        <v>32</v>
      </c>
      <c r="L25" s="21" t="s">
        <v>32</v>
      </c>
      <c r="M25" s="21" t="s">
        <v>32</v>
      </c>
      <c r="N25" s="21" t="s">
        <v>32</v>
      </c>
      <c r="O25" s="21" t="s">
        <v>31</v>
      </c>
      <c r="P25" s="21" t="s">
        <v>31</v>
      </c>
      <c r="Q25" s="21" t="s">
        <v>31</v>
      </c>
      <c r="R25" s="21" t="s">
        <v>32</v>
      </c>
      <c r="S25" s="21" t="s">
        <v>32</v>
      </c>
      <c r="T25" s="21" t="s">
        <v>31</v>
      </c>
      <c r="U25" s="21" t="s">
        <v>32</v>
      </c>
      <c r="V25" s="21" t="s">
        <v>32</v>
      </c>
      <c r="W25" s="21" t="s">
        <v>32</v>
      </c>
      <c r="X25" s="21" t="s">
        <v>32</v>
      </c>
      <c r="Y25" s="21" t="s">
        <v>32</v>
      </c>
      <c r="Z25" s="22"/>
      <c r="AA25" s="22"/>
      <c r="AB25" s="22"/>
      <c r="AC25" s="23">
        <f t="shared" si="1"/>
        <v>16</v>
      </c>
      <c r="AD25" s="23">
        <f t="shared" si="2"/>
        <v>6</v>
      </c>
      <c r="AE25" s="23">
        <f t="shared" si="3"/>
        <v>22</v>
      </c>
      <c r="AF25" s="24">
        <f t="shared" si="4"/>
        <v>72.72727273</v>
      </c>
    </row>
    <row r="26" ht="15.75" customHeight="1">
      <c r="A26" s="17">
        <v>16.0</v>
      </c>
      <c r="B26" s="18" t="s">
        <v>61</v>
      </c>
      <c r="C26" s="25" t="s">
        <v>62</v>
      </c>
      <c r="D26" s="20" t="s">
        <v>32</v>
      </c>
      <c r="E26" s="20" t="s">
        <v>32</v>
      </c>
      <c r="F26" s="21" t="s">
        <v>31</v>
      </c>
      <c r="G26" s="21" t="s">
        <v>31</v>
      </c>
      <c r="H26" s="21" t="s">
        <v>32</v>
      </c>
      <c r="I26" s="21" t="s">
        <v>32</v>
      </c>
      <c r="J26" s="21" t="s">
        <v>32</v>
      </c>
      <c r="K26" s="21" t="s">
        <v>32</v>
      </c>
      <c r="L26" s="21" t="s">
        <v>31</v>
      </c>
      <c r="M26" s="21" t="s">
        <v>31</v>
      </c>
      <c r="N26" s="21" t="s">
        <v>32</v>
      </c>
      <c r="O26" s="21" t="s">
        <v>32</v>
      </c>
      <c r="P26" s="21" t="s">
        <v>32</v>
      </c>
      <c r="Q26" s="21" t="s">
        <v>32</v>
      </c>
      <c r="R26" s="21" t="s">
        <v>32</v>
      </c>
      <c r="S26" s="21" t="s">
        <v>32</v>
      </c>
      <c r="T26" s="21" t="s">
        <v>32</v>
      </c>
      <c r="U26" s="21" t="s">
        <v>32</v>
      </c>
      <c r="V26" s="21" t="s">
        <v>32</v>
      </c>
      <c r="W26" s="21" t="s">
        <v>32</v>
      </c>
      <c r="X26" s="21" t="s">
        <v>32</v>
      </c>
      <c r="Y26" s="21" t="s">
        <v>32</v>
      </c>
      <c r="Z26" s="22"/>
      <c r="AA26" s="22"/>
      <c r="AB26" s="22"/>
      <c r="AC26" s="23">
        <f t="shared" si="1"/>
        <v>18</v>
      </c>
      <c r="AD26" s="23">
        <f t="shared" si="2"/>
        <v>4</v>
      </c>
      <c r="AE26" s="23">
        <f t="shared" si="3"/>
        <v>22</v>
      </c>
      <c r="AF26" s="24">
        <f t="shared" si="4"/>
        <v>81.81818182</v>
      </c>
    </row>
    <row r="27" ht="15.75" customHeight="1">
      <c r="A27" s="17">
        <v>17.0</v>
      </c>
      <c r="B27" s="18" t="s">
        <v>63</v>
      </c>
      <c r="C27" s="25" t="s">
        <v>64</v>
      </c>
      <c r="D27" s="20" t="s">
        <v>32</v>
      </c>
      <c r="E27" s="20" t="s">
        <v>32</v>
      </c>
      <c r="F27" s="21" t="s">
        <v>31</v>
      </c>
      <c r="G27" s="21" t="s">
        <v>32</v>
      </c>
      <c r="H27" s="21" t="s">
        <v>32</v>
      </c>
      <c r="I27" s="21" t="s">
        <v>32</v>
      </c>
      <c r="J27" s="21" t="s">
        <v>32</v>
      </c>
      <c r="K27" s="21" t="s">
        <v>32</v>
      </c>
      <c r="L27" s="21" t="s">
        <v>31</v>
      </c>
      <c r="M27" s="21" t="s">
        <v>31</v>
      </c>
      <c r="N27" s="21" t="s">
        <v>32</v>
      </c>
      <c r="O27" s="21" t="s">
        <v>31</v>
      </c>
      <c r="P27" s="21" t="s">
        <v>32</v>
      </c>
      <c r="Q27" s="21" t="s">
        <v>32</v>
      </c>
      <c r="R27" s="21" t="s">
        <v>32</v>
      </c>
      <c r="S27" s="21" t="s">
        <v>32</v>
      </c>
      <c r="T27" s="21" t="s">
        <v>32</v>
      </c>
      <c r="U27" s="21" t="s">
        <v>32</v>
      </c>
      <c r="V27" s="21" t="s">
        <v>32</v>
      </c>
      <c r="W27" s="21" t="s">
        <v>32</v>
      </c>
      <c r="X27" s="21" t="s">
        <v>32</v>
      </c>
      <c r="Y27" s="21" t="s">
        <v>32</v>
      </c>
      <c r="Z27" s="22"/>
      <c r="AA27" s="22"/>
      <c r="AB27" s="22"/>
      <c r="AC27" s="23">
        <f t="shared" si="1"/>
        <v>18</v>
      </c>
      <c r="AD27" s="23">
        <f t="shared" si="2"/>
        <v>4</v>
      </c>
      <c r="AE27" s="23">
        <f t="shared" si="3"/>
        <v>22</v>
      </c>
      <c r="AF27" s="24">
        <f t="shared" si="4"/>
        <v>81.81818182</v>
      </c>
    </row>
    <row r="28" ht="15.75" customHeight="1">
      <c r="A28" s="17">
        <v>18.0</v>
      </c>
      <c r="B28" s="18" t="s">
        <v>65</v>
      </c>
      <c r="C28" s="25" t="s">
        <v>66</v>
      </c>
      <c r="D28" s="20" t="s">
        <v>32</v>
      </c>
      <c r="E28" s="20" t="s">
        <v>32</v>
      </c>
      <c r="F28" s="21" t="s">
        <v>32</v>
      </c>
      <c r="G28" s="21" t="s">
        <v>32</v>
      </c>
      <c r="H28" s="21" t="s">
        <v>32</v>
      </c>
      <c r="I28" s="21" t="s">
        <v>31</v>
      </c>
      <c r="J28" s="21" t="s">
        <v>31</v>
      </c>
      <c r="K28" s="21" t="s">
        <v>32</v>
      </c>
      <c r="L28" s="21" t="s">
        <v>32</v>
      </c>
      <c r="M28" s="21" t="s">
        <v>32</v>
      </c>
      <c r="N28" s="21" t="s">
        <v>32</v>
      </c>
      <c r="O28" s="21" t="s">
        <v>32</v>
      </c>
      <c r="P28" s="21" t="s">
        <v>32</v>
      </c>
      <c r="Q28" s="21" t="s">
        <v>32</v>
      </c>
      <c r="R28" s="21" t="s">
        <v>32</v>
      </c>
      <c r="S28" s="21" t="s">
        <v>32</v>
      </c>
      <c r="T28" s="21" t="s">
        <v>31</v>
      </c>
      <c r="U28" s="21" t="s">
        <v>31</v>
      </c>
      <c r="V28" s="21" t="s">
        <v>31</v>
      </c>
      <c r="W28" s="21" t="s">
        <v>32</v>
      </c>
      <c r="X28" s="21" t="s">
        <v>32</v>
      </c>
      <c r="Y28" s="21" t="s">
        <v>32</v>
      </c>
      <c r="Z28" s="22"/>
      <c r="AA28" s="22"/>
      <c r="AB28" s="22"/>
      <c r="AC28" s="23">
        <f t="shared" si="1"/>
        <v>17</v>
      </c>
      <c r="AD28" s="23">
        <f t="shared" si="2"/>
        <v>5</v>
      </c>
      <c r="AE28" s="23">
        <f t="shared" si="3"/>
        <v>22</v>
      </c>
      <c r="AF28" s="24">
        <f t="shared" si="4"/>
        <v>77.27272727</v>
      </c>
    </row>
    <row r="29" ht="15.75" customHeight="1">
      <c r="A29" s="17">
        <v>19.0</v>
      </c>
      <c r="B29" s="18" t="s">
        <v>67</v>
      </c>
      <c r="C29" s="25" t="s">
        <v>68</v>
      </c>
      <c r="D29" s="20" t="s">
        <v>32</v>
      </c>
      <c r="E29" s="20" t="s">
        <v>32</v>
      </c>
      <c r="F29" s="21" t="s">
        <v>31</v>
      </c>
      <c r="G29" s="21" t="s">
        <v>31</v>
      </c>
      <c r="H29" s="21" t="s">
        <v>32</v>
      </c>
      <c r="I29" s="21" t="s">
        <v>31</v>
      </c>
      <c r="J29" s="21" t="s">
        <v>31</v>
      </c>
      <c r="K29" s="21" t="s">
        <v>32</v>
      </c>
      <c r="L29" s="21" t="s">
        <v>32</v>
      </c>
      <c r="M29" s="21" t="s">
        <v>32</v>
      </c>
      <c r="N29" s="21" t="s">
        <v>32</v>
      </c>
      <c r="O29" s="21" t="s">
        <v>32</v>
      </c>
      <c r="P29" s="21" t="s">
        <v>32</v>
      </c>
      <c r="Q29" s="21" t="s">
        <v>32</v>
      </c>
      <c r="R29" s="21" t="s">
        <v>32</v>
      </c>
      <c r="S29" s="21" t="s">
        <v>32</v>
      </c>
      <c r="T29" s="21" t="s">
        <v>32</v>
      </c>
      <c r="U29" s="21" t="s">
        <v>32</v>
      </c>
      <c r="V29" s="21" t="s">
        <v>32</v>
      </c>
      <c r="W29" s="21" t="s">
        <v>32</v>
      </c>
      <c r="X29" s="21" t="s">
        <v>32</v>
      </c>
      <c r="Y29" s="21" t="s">
        <v>32</v>
      </c>
      <c r="Z29" s="22"/>
      <c r="AA29" s="22"/>
      <c r="AB29" s="22"/>
      <c r="AC29" s="23">
        <f t="shared" si="1"/>
        <v>18</v>
      </c>
      <c r="AD29" s="23">
        <f t="shared" si="2"/>
        <v>4</v>
      </c>
      <c r="AE29" s="23">
        <f t="shared" si="3"/>
        <v>22</v>
      </c>
      <c r="AF29" s="24">
        <f t="shared" si="4"/>
        <v>81.81818182</v>
      </c>
    </row>
    <row r="30" ht="15.75" customHeight="1">
      <c r="A30" s="17">
        <v>20.0</v>
      </c>
      <c r="B30" s="18" t="s">
        <v>69</v>
      </c>
      <c r="C30" s="25" t="s">
        <v>70</v>
      </c>
      <c r="D30" s="20" t="s">
        <v>32</v>
      </c>
      <c r="E30" s="20" t="s">
        <v>32</v>
      </c>
      <c r="F30" s="21" t="s">
        <v>32</v>
      </c>
      <c r="G30" s="21" t="s">
        <v>32</v>
      </c>
      <c r="H30" s="21" t="s">
        <v>32</v>
      </c>
      <c r="I30" s="21" t="s">
        <v>32</v>
      </c>
      <c r="J30" s="21" t="s">
        <v>32</v>
      </c>
      <c r="K30" s="21" t="s">
        <v>31</v>
      </c>
      <c r="L30" s="21" t="s">
        <v>32</v>
      </c>
      <c r="M30" s="21" t="s">
        <v>32</v>
      </c>
      <c r="N30" s="21" t="s">
        <v>32</v>
      </c>
      <c r="O30" s="21" t="s">
        <v>32</v>
      </c>
      <c r="P30" s="21" t="s">
        <v>32</v>
      </c>
      <c r="Q30" s="21" t="s">
        <v>32</v>
      </c>
      <c r="R30" s="21" t="s">
        <v>32</v>
      </c>
      <c r="S30" s="21" t="s">
        <v>32</v>
      </c>
      <c r="T30" s="21" t="s">
        <v>32</v>
      </c>
      <c r="U30" s="21" t="s">
        <v>31</v>
      </c>
      <c r="V30" s="21" t="s">
        <v>31</v>
      </c>
      <c r="W30" s="21" t="s">
        <v>32</v>
      </c>
      <c r="X30" s="21" t="s">
        <v>32</v>
      </c>
      <c r="Y30" s="21" t="s">
        <v>32</v>
      </c>
      <c r="Z30" s="22"/>
      <c r="AA30" s="22"/>
      <c r="AB30" s="22"/>
      <c r="AC30" s="23">
        <f t="shared" si="1"/>
        <v>19</v>
      </c>
      <c r="AD30" s="23">
        <f t="shared" si="2"/>
        <v>3</v>
      </c>
      <c r="AE30" s="23">
        <f t="shared" si="3"/>
        <v>22</v>
      </c>
      <c r="AF30" s="24">
        <f t="shared" si="4"/>
        <v>86.36363636</v>
      </c>
    </row>
    <row r="31" ht="15.75" customHeight="1">
      <c r="A31" s="17">
        <v>21.0</v>
      </c>
      <c r="B31" s="18" t="s">
        <v>71</v>
      </c>
      <c r="C31" s="25" t="s">
        <v>72</v>
      </c>
      <c r="D31" s="20" t="s">
        <v>32</v>
      </c>
      <c r="E31" s="20" t="s">
        <v>32</v>
      </c>
      <c r="F31" s="21" t="s">
        <v>32</v>
      </c>
      <c r="G31" s="21" t="s">
        <v>32</v>
      </c>
      <c r="H31" s="21" t="s">
        <v>32</v>
      </c>
      <c r="I31" s="21" t="s">
        <v>32</v>
      </c>
      <c r="J31" s="21" t="s">
        <v>32</v>
      </c>
      <c r="K31" s="21" t="s">
        <v>32</v>
      </c>
      <c r="L31" s="21" t="s">
        <v>32</v>
      </c>
      <c r="M31" s="21" t="s">
        <v>32</v>
      </c>
      <c r="N31" s="21" t="s">
        <v>32</v>
      </c>
      <c r="O31" s="21" t="s">
        <v>32</v>
      </c>
      <c r="P31" s="21" t="s">
        <v>32</v>
      </c>
      <c r="Q31" s="21" t="s">
        <v>32</v>
      </c>
      <c r="R31" s="21" t="s">
        <v>32</v>
      </c>
      <c r="S31" s="21" t="s">
        <v>32</v>
      </c>
      <c r="T31" s="21" t="s">
        <v>32</v>
      </c>
      <c r="U31" s="21" t="s">
        <v>32</v>
      </c>
      <c r="V31" s="21" t="s">
        <v>32</v>
      </c>
      <c r="W31" s="21" t="s">
        <v>32</v>
      </c>
      <c r="X31" s="21" t="s">
        <v>32</v>
      </c>
      <c r="Y31" s="21" t="s">
        <v>32</v>
      </c>
      <c r="Z31" s="22"/>
      <c r="AA31" s="22"/>
      <c r="AB31" s="22"/>
      <c r="AC31" s="23">
        <f t="shared" si="1"/>
        <v>22</v>
      </c>
      <c r="AD31" s="23">
        <f t="shared" si="2"/>
        <v>0</v>
      </c>
      <c r="AE31" s="23">
        <f t="shared" si="3"/>
        <v>22</v>
      </c>
      <c r="AF31" s="24">
        <f t="shared" si="4"/>
        <v>100</v>
      </c>
    </row>
    <row r="32" ht="15.75" customHeight="1">
      <c r="A32" s="17">
        <v>22.0</v>
      </c>
      <c r="B32" s="18" t="s">
        <v>73</v>
      </c>
      <c r="C32" s="25" t="s">
        <v>74</v>
      </c>
      <c r="D32" s="20" t="s">
        <v>32</v>
      </c>
      <c r="E32" s="20" t="s">
        <v>32</v>
      </c>
      <c r="F32" s="21" t="s">
        <v>32</v>
      </c>
      <c r="G32" s="21" t="s">
        <v>32</v>
      </c>
      <c r="H32" s="21" t="s">
        <v>31</v>
      </c>
      <c r="I32" s="21" t="s">
        <v>32</v>
      </c>
      <c r="J32" s="21" t="s">
        <v>32</v>
      </c>
      <c r="K32" s="21" t="s">
        <v>31</v>
      </c>
      <c r="L32" s="21" t="s">
        <v>31</v>
      </c>
      <c r="M32" s="21" t="s">
        <v>31</v>
      </c>
      <c r="N32" s="21" t="s">
        <v>32</v>
      </c>
      <c r="O32" s="21" t="s">
        <v>32</v>
      </c>
      <c r="P32" s="21" t="s">
        <v>32</v>
      </c>
      <c r="Q32" s="21" t="s">
        <v>32</v>
      </c>
      <c r="R32" s="21" t="s">
        <v>32</v>
      </c>
      <c r="S32" s="21" t="s">
        <v>32</v>
      </c>
      <c r="T32" s="21" t="s">
        <v>32</v>
      </c>
      <c r="U32" s="21" t="s">
        <v>32</v>
      </c>
      <c r="V32" s="21" t="s">
        <v>32</v>
      </c>
      <c r="W32" s="21" t="s">
        <v>32</v>
      </c>
      <c r="X32" s="21" t="s">
        <v>32</v>
      </c>
      <c r="Y32" s="21" t="s">
        <v>32</v>
      </c>
      <c r="Z32" s="22"/>
      <c r="AA32" s="22"/>
      <c r="AB32" s="22"/>
      <c r="AC32" s="23">
        <f t="shared" si="1"/>
        <v>18</v>
      </c>
      <c r="AD32" s="23">
        <f t="shared" si="2"/>
        <v>4</v>
      </c>
      <c r="AE32" s="23">
        <f t="shared" si="3"/>
        <v>22</v>
      </c>
      <c r="AF32" s="24">
        <f t="shared" si="4"/>
        <v>81.81818182</v>
      </c>
    </row>
    <row r="33" ht="15.75" customHeight="1">
      <c r="A33" s="17">
        <v>23.0</v>
      </c>
      <c r="B33" s="18" t="s">
        <v>75</v>
      </c>
      <c r="C33" s="25" t="s">
        <v>76</v>
      </c>
      <c r="D33" s="20" t="s">
        <v>32</v>
      </c>
      <c r="E33" s="20" t="s">
        <v>32</v>
      </c>
      <c r="F33" s="21" t="s">
        <v>31</v>
      </c>
      <c r="G33" s="21" t="s">
        <v>31</v>
      </c>
      <c r="H33" s="21" t="s">
        <v>32</v>
      </c>
      <c r="I33" s="21" t="s">
        <v>32</v>
      </c>
      <c r="J33" s="21" t="s">
        <v>32</v>
      </c>
      <c r="K33" s="21" t="s">
        <v>32</v>
      </c>
      <c r="L33" s="21" t="s">
        <v>32</v>
      </c>
      <c r="M33" s="21" t="s">
        <v>32</v>
      </c>
      <c r="N33" s="21" t="s">
        <v>32</v>
      </c>
      <c r="O33" s="21" t="s">
        <v>32</v>
      </c>
      <c r="P33" s="21" t="s">
        <v>32</v>
      </c>
      <c r="Q33" s="21" t="s">
        <v>32</v>
      </c>
      <c r="R33" s="21" t="s">
        <v>32</v>
      </c>
      <c r="S33" s="21" t="s">
        <v>32</v>
      </c>
      <c r="T33" s="21" t="s">
        <v>32</v>
      </c>
      <c r="U33" s="21" t="s">
        <v>32</v>
      </c>
      <c r="V33" s="21" t="s">
        <v>32</v>
      </c>
      <c r="W33" s="21" t="s">
        <v>32</v>
      </c>
      <c r="X33" s="21" t="s">
        <v>32</v>
      </c>
      <c r="Y33" s="21" t="s">
        <v>32</v>
      </c>
      <c r="Z33" s="22"/>
      <c r="AA33" s="22"/>
      <c r="AB33" s="22"/>
      <c r="AC33" s="23">
        <f t="shared" si="1"/>
        <v>20</v>
      </c>
      <c r="AD33" s="23">
        <f t="shared" si="2"/>
        <v>2</v>
      </c>
      <c r="AE33" s="23">
        <f t="shared" si="3"/>
        <v>22</v>
      </c>
      <c r="AF33" s="24">
        <f t="shared" si="4"/>
        <v>90.90909091</v>
      </c>
    </row>
    <row r="34" ht="15.75" customHeight="1">
      <c r="A34" s="17">
        <v>24.0</v>
      </c>
      <c r="B34" s="18" t="s">
        <v>77</v>
      </c>
      <c r="C34" s="25" t="s">
        <v>78</v>
      </c>
      <c r="D34" s="20" t="s">
        <v>32</v>
      </c>
      <c r="E34" s="20" t="s">
        <v>32</v>
      </c>
      <c r="F34" s="21" t="s">
        <v>32</v>
      </c>
      <c r="G34" s="21" t="s">
        <v>32</v>
      </c>
      <c r="H34" s="21" t="s">
        <v>32</v>
      </c>
      <c r="I34" s="21" t="s">
        <v>31</v>
      </c>
      <c r="J34" s="21" t="s">
        <v>31</v>
      </c>
      <c r="K34" s="21" t="s">
        <v>31</v>
      </c>
      <c r="L34" s="21" t="s">
        <v>32</v>
      </c>
      <c r="M34" s="21" t="s">
        <v>32</v>
      </c>
      <c r="N34" s="21" t="s">
        <v>32</v>
      </c>
      <c r="O34" s="21" t="s">
        <v>32</v>
      </c>
      <c r="P34" s="21" t="s">
        <v>32</v>
      </c>
      <c r="Q34" s="21" t="s">
        <v>32</v>
      </c>
      <c r="R34" s="21" t="s">
        <v>32</v>
      </c>
      <c r="S34" s="21" t="s">
        <v>32</v>
      </c>
      <c r="T34" s="21" t="s">
        <v>32</v>
      </c>
      <c r="U34" s="21" t="s">
        <v>31</v>
      </c>
      <c r="V34" s="21" t="s">
        <v>31</v>
      </c>
      <c r="W34" s="21" t="s">
        <v>32</v>
      </c>
      <c r="X34" s="21" t="s">
        <v>32</v>
      </c>
      <c r="Y34" s="21" t="s">
        <v>32</v>
      </c>
      <c r="Z34" s="22"/>
      <c r="AA34" s="22"/>
      <c r="AB34" s="22"/>
      <c r="AC34" s="23">
        <f t="shared" si="1"/>
        <v>17</v>
      </c>
      <c r="AD34" s="23">
        <f t="shared" si="2"/>
        <v>5</v>
      </c>
      <c r="AE34" s="23">
        <f t="shared" si="3"/>
        <v>22</v>
      </c>
      <c r="AF34" s="24">
        <f t="shared" si="4"/>
        <v>77.27272727</v>
      </c>
    </row>
    <row r="35" ht="15.75" customHeight="1">
      <c r="A35" s="17">
        <v>25.0</v>
      </c>
      <c r="B35" s="18" t="s">
        <v>79</v>
      </c>
      <c r="C35" s="25" t="s">
        <v>80</v>
      </c>
      <c r="D35" s="20" t="s">
        <v>32</v>
      </c>
      <c r="E35" s="20" t="s">
        <v>32</v>
      </c>
      <c r="F35" s="21" t="s">
        <v>32</v>
      </c>
      <c r="G35" s="21" t="s">
        <v>32</v>
      </c>
      <c r="H35" s="21" t="s">
        <v>32</v>
      </c>
      <c r="I35" s="21" t="s">
        <v>31</v>
      </c>
      <c r="J35" s="21" t="s">
        <v>31</v>
      </c>
      <c r="K35" s="21" t="s">
        <v>32</v>
      </c>
      <c r="L35" s="21" t="s">
        <v>32</v>
      </c>
      <c r="M35" s="21" t="s">
        <v>32</v>
      </c>
      <c r="N35" s="21" t="s">
        <v>32</v>
      </c>
      <c r="O35" s="21" t="s">
        <v>32</v>
      </c>
      <c r="P35" s="21" t="s">
        <v>31</v>
      </c>
      <c r="Q35" s="21" t="s">
        <v>31</v>
      </c>
      <c r="R35" s="21" t="s">
        <v>32</v>
      </c>
      <c r="S35" s="21" t="s">
        <v>32</v>
      </c>
      <c r="T35" s="21" t="s">
        <v>32</v>
      </c>
      <c r="U35" s="21" t="s">
        <v>31</v>
      </c>
      <c r="V35" s="21" t="s">
        <v>31</v>
      </c>
      <c r="W35" s="21" t="s">
        <v>32</v>
      </c>
      <c r="X35" s="21" t="s">
        <v>32</v>
      </c>
      <c r="Y35" s="21" t="s">
        <v>32</v>
      </c>
      <c r="Z35" s="22"/>
      <c r="AA35" s="22"/>
      <c r="AB35" s="22"/>
      <c r="AC35" s="23">
        <f t="shared" si="1"/>
        <v>16</v>
      </c>
      <c r="AD35" s="23">
        <f t="shared" si="2"/>
        <v>6</v>
      </c>
      <c r="AE35" s="23">
        <f t="shared" si="3"/>
        <v>22</v>
      </c>
      <c r="AF35" s="24">
        <f t="shared" si="4"/>
        <v>72.72727273</v>
      </c>
    </row>
    <row r="36" ht="15.75" customHeight="1">
      <c r="A36" s="17">
        <v>26.0</v>
      </c>
      <c r="B36" s="18" t="s">
        <v>81</v>
      </c>
      <c r="C36" s="25" t="s">
        <v>82</v>
      </c>
      <c r="D36" s="20" t="s">
        <v>32</v>
      </c>
      <c r="E36" s="20" t="s">
        <v>32</v>
      </c>
      <c r="F36" s="21" t="s">
        <v>32</v>
      </c>
      <c r="G36" s="21" t="s">
        <v>32</v>
      </c>
      <c r="H36" s="21" t="s">
        <v>32</v>
      </c>
      <c r="I36" s="21" t="s">
        <v>32</v>
      </c>
      <c r="J36" s="21" t="s">
        <v>32</v>
      </c>
      <c r="K36" s="21" t="s">
        <v>32</v>
      </c>
      <c r="L36" s="21" t="s">
        <v>32</v>
      </c>
      <c r="M36" s="21" t="s">
        <v>32</v>
      </c>
      <c r="N36" s="21" t="s">
        <v>32</v>
      </c>
      <c r="O36" s="21" t="s">
        <v>32</v>
      </c>
      <c r="P36" s="21" t="s">
        <v>32</v>
      </c>
      <c r="Q36" s="21" t="s">
        <v>32</v>
      </c>
      <c r="R36" s="21" t="s">
        <v>32</v>
      </c>
      <c r="S36" s="21" t="s">
        <v>32</v>
      </c>
      <c r="T36" s="21" t="s">
        <v>32</v>
      </c>
      <c r="U36" s="21" t="s">
        <v>32</v>
      </c>
      <c r="V36" s="21" t="s">
        <v>32</v>
      </c>
      <c r="W36" s="21" t="s">
        <v>32</v>
      </c>
      <c r="X36" s="21" t="s">
        <v>32</v>
      </c>
      <c r="Y36" s="21" t="s">
        <v>32</v>
      </c>
      <c r="Z36" s="22"/>
      <c r="AA36" s="22"/>
      <c r="AB36" s="22"/>
      <c r="AC36" s="23">
        <f t="shared" si="1"/>
        <v>22</v>
      </c>
      <c r="AD36" s="23">
        <f t="shared" si="2"/>
        <v>0</v>
      </c>
      <c r="AE36" s="23">
        <f t="shared" si="3"/>
        <v>22</v>
      </c>
      <c r="AF36" s="24">
        <f t="shared" si="4"/>
        <v>100</v>
      </c>
    </row>
    <row r="37" ht="15.75" customHeight="1">
      <c r="A37" s="17">
        <v>27.0</v>
      </c>
      <c r="B37" s="18" t="s">
        <v>83</v>
      </c>
      <c r="C37" s="25" t="s">
        <v>84</v>
      </c>
      <c r="D37" s="20" t="s">
        <v>32</v>
      </c>
      <c r="E37" s="20" t="s">
        <v>32</v>
      </c>
      <c r="F37" s="21" t="s">
        <v>32</v>
      </c>
      <c r="G37" s="21" t="s">
        <v>32</v>
      </c>
      <c r="H37" s="21" t="s">
        <v>32</v>
      </c>
      <c r="I37" s="21" t="s">
        <v>31</v>
      </c>
      <c r="J37" s="21" t="s">
        <v>31</v>
      </c>
      <c r="K37" s="21" t="s">
        <v>32</v>
      </c>
      <c r="L37" s="21" t="s">
        <v>31</v>
      </c>
      <c r="M37" s="21" t="s">
        <v>31</v>
      </c>
      <c r="N37" s="21" t="s">
        <v>32</v>
      </c>
      <c r="O37" s="21" t="s">
        <v>32</v>
      </c>
      <c r="P37" s="21" t="s">
        <v>32</v>
      </c>
      <c r="Q37" s="21" t="s">
        <v>32</v>
      </c>
      <c r="R37" s="21" t="s">
        <v>32</v>
      </c>
      <c r="S37" s="21" t="s">
        <v>32</v>
      </c>
      <c r="T37" s="21" t="s">
        <v>32</v>
      </c>
      <c r="U37" s="21" t="s">
        <v>32</v>
      </c>
      <c r="V37" s="21" t="s">
        <v>32</v>
      </c>
      <c r="W37" s="21" t="s">
        <v>32</v>
      </c>
      <c r="X37" s="21" t="s">
        <v>32</v>
      </c>
      <c r="Y37" s="21" t="s">
        <v>32</v>
      </c>
      <c r="Z37" s="22"/>
      <c r="AA37" s="22"/>
      <c r="AB37" s="22"/>
      <c r="AC37" s="23">
        <f t="shared" si="1"/>
        <v>18</v>
      </c>
      <c r="AD37" s="23">
        <f t="shared" si="2"/>
        <v>4</v>
      </c>
      <c r="AE37" s="23">
        <f t="shared" si="3"/>
        <v>22</v>
      </c>
      <c r="AF37" s="24">
        <f t="shared" si="4"/>
        <v>81.81818182</v>
      </c>
    </row>
    <row r="38" ht="15.75" customHeight="1">
      <c r="A38" s="17">
        <v>28.0</v>
      </c>
      <c r="B38" s="18" t="s">
        <v>85</v>
      </c>
      <c r="C38" s="25" t="s">
        <v>86</v>
      </c>
      <c r="D38" s="20" t="s">
        <v>32</v>
      </c>
      <c r="E38" s="20" t="s">
        <v>32</v>
      </c>
      <c r="F38" s="21" t="s">
        <v>32</v>
      </c>
      <c r="G38" s="21" t="s">
        <v>32</v>
      </c>
      <c r="H38" s="21" t="s">
        <v>31</v>
      </c>
      <c r="I38" s="21" t="s">
        <v>32</v>
      </c>
      <c r="J38" s="21" t="s">
        <v>32</v>
      </c>
      <c r="K38" s="21" t="s">
        <v>32</v>
      </c>
      <c r="L38" s="21" t="s">
        <v>32</v>
      </c>
      <c r="M38" s="21" t="s">
        <v>32</v>
      </c>
      <c r="N38" s="21" t="s">
        <v>32</v>
      </c>
      <c r="O38" s="21" t="s">
        <v>32</v>
      </c>
      <c r="P38" s="21" t="s">
        <v>31</v>
      </c>
      <c r="Q38" s="21" t="s">
        <v>31</v>
      </c>
      <c r="R38" s="21" t="s">
        <v>31</v>
      </c>
      <c r="S38" s="21" t="s">
        <v>31</v>
      </c>
      <c r="T38" s="21" t="s">
        <v>32</v>
      </c>
      <c r="U38" s="21" t="s">
        <v>32</v>
      </c>
      <c r="V38" s="21" t="s">
        <v>32</v>
      </c>
      <c r="W38" s="21" t="s">
        <v>32</v>
      </c>
      <c r="X38" s="21" t="s">
        <v>32</v>
      </c>
      <c r="Y38" s="21" t="s">
        <v>32</v>
      </c>
      <c r="Z38" s="22"/>
      <c r="AA38" s="22"/>
      <c r="AB38" s="22"/>
      <c r="AC38" s="23">
        <f t="shared" si="1"/>
        <v>17</v>
      </c>
      <c r="AD38" s="23">
        <f t="shared" si="2"/>
        <v>5</v>
      </c>
      <c r="AE38" s="23">
        <f t="shared" si="3"/>
        <v>22</v>
      </c>
      <c r="AF38" s="24">
        <f t="shared" si="4"/>
        <v>77.27272727</v>
      </c>
    </row>
    <row r="39" ht="15.75" customHeight="1">
      <c r="A39" s="17">
        <v>29.0</v>
      </c>
      <c r="B39" s="18" t="s">
        <v>87</v>
      </c>
      <c r="C39" s="25" t="s">
        <v>88</v>
      </c>
      <c r="D39" s="20" t="s">
        <v>32</v>
      </c>
      <c r="E39" s="20" t="s">
        <v>32</v>
      </c>
      <c r="F39" s="21" t="s">
        <v>32</v>
      </c>
      <c r="G39" s="21" t="s">
        <v>32</v>
      </c>
      <c r="H39" s="21" t="s">
        <v>32</v>
      </c>
      <c r="I39" s="21" t="s">
        <v>31</v>
      </c>
      <c r="J39" s="21" t="s">
        <v>31</v>
      </c>
      <c r="K39" s="21" t="s">
        <v>32</v>
      </c>
      <c r="L39" s="21" t="s">
        <v>32</v>
      </c>
      <c r="M39" s="21" t="s">
        <v>32</v>
      </c>
      <c r="N39" s="21" t="s">
        <v>31</v>
      </c>
      <c r="O39" s="21" t="s">
        <v>32</v>
      </c>
      <c r="P39" s="21" t="s">
        <v>32</v>
      </c>
      <c r="Q39" s="21" t="s">
        <v>32</v>
      </c>
      <c r="R39" s="21" t="s">
        <v>31</v>
      </c>
      <c r="S39" s="21" t="s">
        <v>31</v>
      </c>
      <c r="T39" s="21" t="s">
        <v>32</v>
      </c>
      <c r="U39" s="21" t="s">
        <v>32</v>
      </c>
      <c r="V39" s="21" t="s">
        <v>32</v>
      </c>
      <c r="W39" s="21" t="s">
        <v>32</v>
      </c>
      <c r="X39" s="21" t="s">
        <v>32</v>
      </c>
      <c r="Y39" s="21" t="s">
        <v>32</v>
      </c>
      <c r="Z39" s="22"/>
      <c r="AA39" s="22"/>
      <c r="AB39" s="22"/>
      <c r="AC39" s="23">
        <f t="shared" si="1"/>
        <v>17</v>
      </c>
      <c r="AD39" s="23">
        <f t="shared" si="2"/>
        <v>5</v>
      </c>
      <c r="AE39" s="23">
        <f t="shared" si="3"/>
        <v>22</v>
      </c>
      <c r="AF39" s="24">
        <f t="shared" si="4"/>
        <v>77.27272727</v>
      </c>
    </row>
    <row r="40" ht="15.75" customHeight="1">
      <c r="A40" s="17">
        <v>30.0</v>
      </c>
      <c r="B40" s="18" t="s">
        <v>89</v>
      </c>
      <c r="C40" s="25" t="s">
        <v>90</v>
      </c>
      <c r="D40" s="20" t="s">
        <v>32</v>
      </c>
      <c r="E40" s="20" t="s">
        <v>32</v>
      </c>
      <c r="F40" s="21" t="s">
        <v>32</v>
      </c>
      <c r="G40" s="21" t="s">
        <v>32</v>
      </c>
      <c r="H40" s="21" t="s">
        <v>32</v>
      </c>
      <c r="I40" s="21" t="s">
        <v>32</v>
      </c>
      <c r="J40" s="21" t="s">
        <v>32</v>
      </c>
      <c r="K40" s="21" t="s">
        <v>31</v>
      </c>
      <c r="L40" s="21" t="s">
        <v>32</v>
      </c>
      <c r="M40" s="21" t="s">
        <v>32</v>
      </c>
      <c r="N40" s="21" t="s">
        <v>32</v>
      </c>
      <c r="O40" s="21" t="s">
        <v>32</v>
      </c>
      <c r="P40" s="21" t="s">
        <v>32</v>
      </c>
      <c r="Q40" s="21" t="s">
        <v>32</v>
      </c>
      <c r="R40" s="21" t="s">
        <v>32</v>
      </c>
      <c r="S40" s="21" t="s">
        <v>32</v>
      </c>
      <c r="T40" s="21" t="s">
        <v>32</v>
      </c>
      <c r="U40" s="21" t="s">
        <v>32</v>
      </c>
      <c r="V40" s="21" t="s">
        <v>32</v>
      </c>
      <c r="W40" s="21" t="s">
        <v>32</v>
      </c>
      <c r="X40" s="21" t="s">
        <v>32</v>
      </c>
      <c r="Y40" s="21" t="s">
        <v>32</v>
      </c>
      <c r="Z40" s="22"/>
      <c r="AA40" s="22"/>
      <c r="AB40" s="22"/>
      <c r="AC40" s="23">
        <f t="shared" si="1"/>
        <v>21</v>
      </c>
      <c r="AD40" s="23">
        <f t="shared" si="2"/>
        <v>1</v>
      </c>
      <c r="AE40" s="23">
        <f t="shared" si="3"/>
        <v>22</v>
      </c>
      <c r="AF40" s="24">
        <f t="shared" si="4"/>
        <v>95.45454545</v>
      </c>
    </row>
    <row r="41" ht="15.75" customHeight="1">
      <c r="A41" s="17">
        <v>31.0</v>
      </c>
      <c r="B41" s="18" t="s">
        <v>91</v>
      </c>
      <c r="C41" s="25" t="s">
        <v>92</v>
      </c>
      <c r="D41" s="20" t="s">
        <v>32</v>
      </c>
      <c r="E41" s="20" t="s">
        <v>32</v>
      </c>
      <c r="F41" s="21" t="s">
        <v>32</v>
      </c>
      <c r="G41" s="21" t="s">
        <v>32</v>
      </c>
      <c r="H41" s="21" t="s">
        <v>32</v>
      </c>
      <c r="I41" s="21" t="s">
        <v>32</v>
      </c>
      <c r="J41" s="21" t="s">
        <v>32</v>
      </c>
      <c r="K41" s="21" t="s">
        <v>31</v>
      </c>
      <c r="L41" s="21" t="s">
        <v>32</v>
      </c>
      <c r="M41" s="21" t="s">
        <v>32</v>
      </c>
      <c r="N41" s="21" t="s">
        <v>32</v>
      </c>
      <c r="O41" s="21" t="s">
        <v>32</v>
      </c>
      <c r="P41" s="21" t="s">
        <v>32</v>
      </c>
      <c r="Q41" s="21" t="s">
        <v>32</v>
      </c>
      <c r="R41" s="21" t="s">
        <v>32</v>
      </c>
      <c r="S41" s="21" t="s">
        <v>32</v>
      </c>
      <c r="T41" s="21" t="s">
        <v>32</v>
      </c>
      <c r="U41" s="21" t="s">
        <v>32</v>
      </c>
      <c r="V41" s="21" t="s">
        <v>32</v>
      </c>
      <c r="W41" s="21" t="s">
        <v>32</v>
      </c>
      <c r="X41" s="21" t="s">
        <v>32</v>
      </c>
      <c r="Y41" s="21" t="s">
        <v>32</v>
      </c>
      <c r="Z41" s="22"/>
      <c r="AA41" s="22"/>
      <c r="AB41" s="22"/>
      <c r="AC41" s="23">
        <f t="shared" si="1"/>
        <v>21</v>
      </c>
      <c r="AD41" s="23">
        <f t="shared" si="2"/>
        <v>1</v>
      </c>
      <c r="AE41" s="23">
        <f t="shared" si="3"/>
        <v>22</v>
      </c>
      <c r="AF41" s="24">
        <f t="shared" si="4"/>
        <v>95.45454545</v>
      </c>
    </row>
    <row r="42" ht="15.75" customHeight="1">
      <c r="A42" s="17">
        <v>32.0</v>
      </c>
      <c r="B42" s="18" t="s">
        <v>93</v>
      </c>
      <c r="C42" s="25" t="s">
        <v>94</v>
      </c>
      <c r="D42" s="20" t="s">
        <v>32</v>
      </c>
      <c r="E42" s="20" t="s">
        <v>32</v>
      </c>
      <c r="F42" s="21" t="s">
        <v>32</v>
      </c>
      <c r="G42" s="21" t="s">
        <v>31</v>
      </c>
      <c r="H42" s="21" t="s">
        <v>32</v>
      </c>
      <c r="I42" s="21" t="s">
        <v>31</v>
      </c>
      <c r="J42" s="21" t="s">
        <v>31</v>
      </c>
      <c r="K42" s="21" t="s">
        <v>32</v>
      </c>
      <c r="L42" s="21" t="s">
        <v>32</v>
      </c>
      <c r="M42" s="21" t="s">
        <v>32</v>
      </c>
      <c r="N42" s="21" t="s">
        <v>31</v>
      </c>
      <c r="O42" s="21" t="s">
        <v>32</v>
      </c>
      <c r="P42" s="21" t="s">
        <v>32</v>
      </c>
      <c r="Q42" s="21" t="s">
        <v>32</v>
      </c>
      <c r="R42" s="21" t="s">
        <v>31</v>
      </c>
      <c r="S42" s="21" t="s">
        <v>31</v>
      </c>
      <c r="T42" s="21" t="s">
        <v>32</v>
      </c>
      <c r="U42" s="21" t="s">
        <v>32</v>
      </c>
      <c r="V42" s="21" t="s">
        <v>32</v>
      </c>
      <c r="W42" s="21" t="s">
        <v>32</v>
      </c>
      <c r="X42" s="21" t="s">
        <v>32</v>
      </c>
      <c r="Y42" s="21" t="s">
        <v>32</v>
      </c>
      <c r="Z42" s="22"/>
      <c r="AA42" s="22"/>
      <c r="AB42" s="22"/>
      <c r="AC42" s="23">
        <f t="shared" si="1"/>
        <v>16</v>
      </c>
      <c r="AD42" s="23">
        <f t="shared" si="2"/>
        <v>6</v>
      </c>
      <c r="AE42" s="23">
        <f t="shared" si="3"/>
        <v>22</v>
      </c>
      <c r="AF42" s="24">
        <f t="shared" si="4"/>
        <v>72.72727273</v>
      </c>
      <c r="AG42" s="26"/>
    </row>
    <row r="43" ht="15.75" customHeight="1">
      <c r="A43" s="17">
        <v>33.0</v>
      </c>
      <c r="B43" s="18" t="s">
        <v>95</v>
      </c>
      <c r="C43" s="25" t="s">
        <v>96</v>
      </c>
      <c r="D43" s="20" t="s">
        <v>32</v>
      </c>
      <c r="E43" s="20" t="s">
        <v>32</v>
      </c>
      <c r="F43" s="21" t="s">
        <v>31</v>
      </c>
      <c r="G43" s="21" t="s">
        <v>32</v>
      </c>
      <c r="H43" s="21" t="s">
        <v>32</v>
      </c>
      <c r="I43" s="21" t="s">
        <v>31</v>
      </c>
      <c r="J43" s="21" t="s">
        <v>31</v>
      </c>
      <c r="K43" s="21" t="s">
        <v>32</v>
      </c>
      <c r="L43" s="21" t="s">
        <v>32</v>
      </c>
      <c r="M43" s="21" t="s">
        <v>32</v>
      </c>
      <c r="N43" s="21" t="s">
        <v>32</v>
      </c>
      <c r="O43" s="21" t="s">
        <v>32</v>
      </c>
      <c r="P43" s="21" t="s">
        <v>32</v>
      </c>
      <c r="Q43" s="21" t="s">
        <v>32</v>
      </c>
      <c r="R43" s="21" t="s">
        <v>32</v>
      </c>
      <c r="S43" s="21" t="s">
        <v>32</v>
      </c>
      <c r="T43" s="21" t="s">
        <v>31</v>
      </c>
      <c r="U43" s="21" t="s">
        <v>31</v>
      </c>
      <c r="V43" s="21" t="s">
        <v>31</v>
      </c>
      <c r="W43" s="21" t="s">
        <v>32</v>
      </c>
      <c r="X43" s="21" t="s">
        <v>32</v>
      </c>
      <c r="Y43" s="21" t="s">
        <v>32</v>
      </c>
      <c r="Z43" s="22"/>
      <c r="AA43" s="22"/>
      <c r="AB43" s="22"/>
      <c r="AC43" s="23">
        <f t="shared" si="1"/>
        <v>16</v>
      </c>
      <c r="AD43" s="23">
        <f t="shared" si="2"/>
        <v>6</v>
      </c>
      <c r="AE43" s="23">
        <f t="shared" si="3"/>
        <v>22</v>
      </c>
      <c r="AF43" s="24">
        <f t="shared" si="4"/>
        <v>72.72727273</v>
      </c>
      <c r="AG43" s="26"/>
    </row>
    <row r="44" ht="15.75" customHeight="1">
      <c r="A44" s="17">
        <v>34.0</v>
      </c>
      <c r="B44" s="18" t="s">
        <v>97</v>
      </c>
      <c r="C44" s="25" t="s">
        <v>98</v>
      </c>
      <c r="D44" s="20" t="s">
        <v>32</v>
      </c>
      <c r="E44" s="20" t="s">
        <v>32</v>
      </c>
      <c r="F44" s="21" t="s">
        <v>31</v>
      </c>
      <c r="G44" s="21" t="s">
        <v>31</v>
      </c>
      <c r="H44" s="21" t="s">
        <v>31</v>
      </c>
      <c r="I44" s="21" t="s">
        <v>31</v>
      </c>
      <c r="J44" s="21" t="s">
        <v>31</v>
      </c>
      <c r="K44" s="21" t="s">
        <v>31</v>
      </c>
      <c r="L44" s="21" t="s">
        <v>32</v>
      </c>
      <c r="M44" s="21" t="s">
        <v>32</v>
      </c>
      <c r="N44" s="21" t="s">
        <v>32</v>
      </c>
      <c r="O44" s="21" t="s">
        <v>31</v>
      </c>
      <c r="P44" s="21" t="s">
        <v>32</v>
      </c>
      <c r="Q44" s="21" t="s">
        <v>32</v>
      </c>
      <c r="R44" s="21" t="s">
        <v>31</v>
      </c>
      <c r="S44" s="21" t="s">
        <v>31</v>
      </c>
      <c r="T44" s="21" t="s">
        <v>31</v>
      </c>
      <c r="U44" s="21" t="s">
        <v>32</v>
      </c>
      <c r="V44" s="21" t="s">
        <v>32</v>
      </c>
      <c r="W44" s="21" t="s">
        <v>32</v>
      </c>
      <c r="X44" s="21" t="s">
        <v>32</v>
      </c>
      <c r="Y44" s="21" t="s">
        <v>32</v>
      </c>
      <c r="Z44" s="22"/>
      <c r="AA44" s="22"/>
      <c r="AB44" s="22"/>
      <c r="AC44" s="23">
        <f t="shared" si="1"/>
        <v>12</v>
      </c>
      <c r="AD44" s="23">
        <f t="shared" si="2"/>
        <v>10</v>
      </c>
      <c r="AE44" s="23">
        <f t="shared" si="3"/>
        <v>22</v>
      </c>
      <c r="AF44" s="24">
        <f t="shared" si="4"/>
        <v>54.54545455</v>
      </c>
      <c r="AG44" s="26"/>
    </row>
    <row r="45" ht="15.75" customHeight="1">
      <c r="A45" s="17">
        <v>35.0</v>
      </c>
      <c r="B45" s="18" t="s">
        <v>99</v>
      </c>
      <c r="C45" s="25" t="s">
        <v>100</v>
      </c>
      <c r="D45" s="20" t="s">
        <v>32</v>
      </c>
      <c r="E45" s="20" t="s">
        <v>32</v>
      </c>
      <c r="F45" s="21" t="s">
        <v>31</v>
      </c>
      <c r="G45" s="21" t="s">
        <v>31</v>
      </c>
      <c r="H45" s="21" t="s">
        <v>32</v>
      </c>
      <c r="I45" s="21" t="s">
        <v>31</v>
      </c>
      <c r="J45" s="21" t="s">
        <v>31</v>
      </c>
      <c r="K45" s="21" t="s">
        <v>31</v>
      </c>
      <c r="L45" s="21" t="s">
        <v>32</v>
      </c>
      <c r="M45" s="21" t="s">
        <v>32</v>
      </c>
      <c r="N45" s="21" t="s">
        <v>32</v>
      </c>
      <c r="O45" s="21" t="s">
        <v>31</v>
      </c>
      <c r="P45" s="21" t="s">
        <v>31</v>
      </c>
      <c r="Q45" s="21" t="s">
        <v>31</v>
      </c>
      <c r="R45" s="21" t="s">
        <v>32</v>
      </c>
      <c r="S45" s="21" t="s">
        <v>32</v>
      </c>
      <c r="T45" s="21" t="s">
        <v>32</v>
      </c>
      <c r="U45" s="21" t="s">
        <v>32</v>
      </c>
      <c r="V45" s="21" t="s">
        <v>32</v>
      </c>
      <c r="W45" s="21" t="s">
        <v>32</v>
      </c>
      <c r="X45" s="21" t="s">
        <v>32</v>
      </c>
      <c r="Y45" s="21" t="s">
        <v>32</v>
      </c>
      <c r="Z45" s="22"/>
      <c r="AA45" s="22"/>
      <c r="AB45" s="22"/>
      <c r="AC45" s="23">
        <f t="shared" si="1"/>
        <v>14</v>
      </c>
      <c r="AD45" s="23">
        <f t="shared" si="2"/>
        <v>8</v>
      </c>
      <c r="AE45" s="23">
        <f t="shared" si="3"/>
        <v>22</v>
      </c>
      <c r="AF45" s="24">
        <f t="shared" si="4"/>
        <v>63.63636364</v>
      </c>
      <c r="AG45" s="26"/>
    </row>
    <row r="46" ht="15.75" customHeight="1">
      <c r="A46" s="17">
        <v>36.0</v>
      </c>
      <c r="B46" s="18" t="s">
        <v>101</v>
      </c>
      <c r="C46" s="25" t="s">
        <v>102</v>
      </c>
      <c r="D46" s="20" t="s">
        <v>32</v>
      </c>
      <c r="E46" s="20" t="s">
        <v>32</v>
      </c>
      <c r="F46" s="21" t="s">
        <v>32</v>
      </c>
      <c r="G46" s="21" t="s">
        <v>32</v>
      </c>
      <c r="H46" s="21" t="s">
        <v>32</v>
      </c>
      <c r="I46" s="21" t="s">
        <v>31</v>
      </c>
      <c r="J46" s="21" t="s">
        <v>31</v>
      </c>
      <c r="K46" s="21" t="s">
        <v>32</v>
      </c>
      <c r="L46" s="21" t="s">
        <v>32</v>
      </c>
      <c r="M46" s="21" t="s">
        <v>32</v>
      </c>
      <c r="N46" s="21" t="s">
        <v>32</v>
      </c>
      <c r="O46" s="21" t="s">
        <v>32</v>
      </c>
      <c r="P46" s="21" t="s">
        <v>32</v>
      </c>
      <c r="Q46" s="21" t="s">
        <v>32</v>
      </c>
      <c r="R46" s="21" t="s">
        <v>32</v>
      </c>
      <c r="S46" s="21" t="s">
        <v>32</v>
      </c>
      <c r="T46" s="21" t="s">
        <v>31</v>
      </c>
      <c r="U46" s="21" t="s">
        <v>32</v>
      </c>
      <c r="V46" s="21" t="s">
        <v>32</v>
      </c>
      <c r="W46" s="21" t="s">
        <v>31</v>
      </c>
      <c r="X46" s="21" t="s">
        <v>31</v>
      </c>
      <c r="Y46" s="21" t="s">
        <v>31</v>
      </c>
      <c r="Z46" s="22"/>
      <c r="AA46" s="22"/>
      <c r="AB46" s="22"/>
      <c r="AC46" s="23">
        <f t="shared" si="1"/>
        <v>16</v>
      </c>
      <c r="AD46" s="23">
        <f t="shared" si="2"/>
        <v>6</v>
      </c>
      <c r="AE46" s="23">
        <f t="shared" si="3"/>
        <v>22</v>
      </c>
      <c r="AF46" s="24">
        <f t="shared" si="4"/>
        <v>72.72727273</v>
      </c>
      <c r="AG46" s="26"/>
    </row>
    <row r="47" ht="15.75" customHeight="1">
      <c r="A47" s="17">
        <v>37.0</v>
      </c>
      <c r="B47" s="18" t="s">
        <v>103</v>
      </c>
      <c r="C47" s="25" t="s">
        <v>104</v>
      </c>
      <c r="D47" s="20" t="s">
        <v>32</v>
      </c>
      <c r="E47" s="20" t="s">
        <v>32</v>
      </c>
      <c r="F47" s="21" t="s">
        <v>31</v>
      </c>
      <c r="G47" s="21" t="s">
        <v>31</v>
      </c>
      <c r="H47" s="21" t="s">
        <v>32</v>
      </c>
      <c r="I47" s="21" t="s">
        <v>32</v>
      </c>
      <c r="J47" s="21" t="s">
        <v>32</v>
      </c>
      <c r="K47" s="21" t="s">
        <v>32</v>
      </c>
      <c r="L47" s="21" t="s">
        <v>32</v>
      </c>
      <c r="M47" s="21" t="s">
        <v>32</v>
      </c>
      <c r="N47" s="21" t="s">
        <v>32</v>
      </c>
      <c r="O47" s="21" t="s">
        <v>32</v>
      </c>
      <c r="P47" s="21" t="s">
        <v>32</v>
      </c>
      <c r="Q47" s="21" t="s">
        <v>32</v>
      </c>
      <c r="R47" s="21" t="s">
        <v>32</v>
      </c>
      <c r="S47" s="21" t="s">
        <v>32</v>
      </c>
      <c r="T47" s="21" t="s">
        <v>32</v>
      </c>
      <c r="U47" s="21" t="s">
        <v>32</v>
      </c>
      <c r="V47" s="21" t="s">
        <v>32</v>
      </c>
      <c r="W47" s="21" t="s">
        <v>32</v>
      </c>
      <c r="X47" s="21" t="s">
        <v>32</v>
      </c>
      <c r="Y47" s="21" t="s">
        <v>32</v>
      </c>
      <c r="Z47" s="22"/>
      <c r="AA47" s="22"/>
      <c r="AB47" s="22"/>
      <c r="AC47" s="23">
        <f t="shared" si="1"/>
        <v>20</v>
      </c>
      <c r="AD47" s="23">
        <f t="shared" si="2"/>
        <v>2</v>
      </c>
      <c r="AE47" s="23">
        <f t="shared" si="3"/>
        <v>22</v>
      </c>
      <c r="AF47" s="24">
        <f t="shared" si="4"/>
        <v>90.90909091</v>
      </c>
      <c r="AG47" s="26"/>
    </row>
    <row r="48" ht="15.75" customHeight="1">
      <c r="A48" s="17">
        <v>38.0</v>
      </c>
      <c r="B48" s="18" t="s">
        <v>105</v>
      </c>
      <c r="C48" s="25" t="s">
        <v>106</v>
      </c>
      <c r="D48" s="20" t="s">
        <v>32</v>
      </c>
      <c r="E48" s="20" t="s">
        <v>32</v>
      </c>
      <c r="F48" s="21" t="s">
        <v>32</v>
      </c>
      <c r="G48" s="21" t="s">
        <v>32</v>
      </c>
      <c r="H48" s="21" t="s">
        <v>32</v>
      </c>
      <c r="I48" s="21" t="s">
        <v>32</v>
      </c>
      <c r="J48" s="21" t="s">
        <v>32</v>
      </c>
      <c r="K48" s="21" t="s">
        <v>31</v>
      </c>
      <c r="L48" s="21" t="s">
        <v>32</v>
      </c>
      <c r="M48" s="21" t="s">
        <v>32</v>
      </c>
      <c r="N48" s="21" t="s">
        <v>32</v>
      </c>
      <c r="O48" s="21" t="s">
        <v>32</v>
      </c>
      <c r="P48" s="21" t="s">
        <v>32</v>
      </c>
      <c r="Q48" s="21" t="s">
        <v>32</v>
      </c>
      <c r="R48" s="21" t="s">
        <v>32</v>
      </c>
      <c r="S48" s="21" t="s">
        <v>32</v>
      </c>
      <c r="T48" s="21" t="s">
        <v>32</v>
      </c>
      <c r="U48" s="21" t="s">
        <v>31</v>
      </c>
      <c r="V48" s="21" t="s">
        <v>31</v>
      </c>
      <c r="W48" s="21" t="s">
        <v>32</v>
      </c>
      <c r="X48" s="21" t="s">
        <v>32</v>
      </c>
      <c r="Y48" s="21" t="s">
        <v>32</v>
      </c>
      <c r="Z48" s="22"/>
      <c r="AA48" s="22"/>
      <c r="AB48" s="22"/>
      <c r="AC48" s="23">
        <f t="shared" si="1"/>
        <v>19</v>
      </c>
      <c r="AD48" s="23">
        <f t="shared" si="2"/>
        <v>3</v>
      </c>
      <c r="AE48" s="23">
        <f t="shared" si="3"/>
        <v>22</v>
      </c>
      <c r="AF48" s="24">
        <f t="shared" si="4"/>
        <v>86.36363636</v>
      </c>
      <c r="AG48" s="26"/>
    </row>
    <row r="49" ht="15.75" customHeight="1">
      <c r="A49" s="17">
        <v>39.0</v>
      </c>
      <c r="B49" s="18" t="s">
        <v>107</v>
      </c>
      <c r="C49" s="25" t="s">
        <v>108</v>
      </c>
      <c r="D49" s="20" t="s">
        <v>32</v>
      </c>
      <c r="E49" s="20" t="s">
        <v>32</v>
      </c>
      <c r="F49" s="21" t="s">
        <v>32</v>
      </c>
      <c r="G49" s="21" t="s">
        <v>32</v>
      </c>
      <c r="H49" s="21" t="s">
        <v>32</v>
      </c>
      <c r="I49" s="21" t="s">
        <v>32</v>
      </c>
      <c r="J49" s="21" t="s">
        <v>32</v>
      </c>
      <c r="K49" s="21" t="s">
        <v>32</v>
      </c>
      <c r="L49" s="21" t="s">
        <v>31</v>
      </c>
      <c r="M49" s="21" t="s">
        <v>31</v>
      </c>
      <c r="N49" s="21" t="s">
        <v>32</v>
      </c>
      <c r="O49" s="21" t="s">
        <v>31</v>
      </c>
      <c r="P49" s="21" t="s">
        <v>31</v>
      </c>
      <c r="Q49" s="21" t="s">
        <v>31</v>
      </c>
      <c r="R49" s="21" t="s">
        <v>32</v>
      </c>
      <c r="S49" s="21" t="s">
        <v>32</v>
      </c>
      <c r="T49" s="21" t="s">
        <v>32</v>
      </c>
      <c r="U49" s="21" t="s">
        <v>32</v>
      </c>
      <c r="V49" s="21" t="s">
        <v>32</v>
      </c>
      <c r="W49" s="21" t="s">
        <v>32</v>
      </c>
      <c r="X49" s="21" t="s">
        <v>32</v>
      </c>
      <c r="Y49" s="21" t="s">
        <v>32</v>
      </c>
      <c r="Z49" s="22"/>
      <c r="AA49" s="22"/>
      <c r="AB49" s="22"/>
      <c r="AC49" s="23">
        <f t="shared" si="1"/>
        <v>17</v>
      </c>
      <c r="AD49" s="23">
        <f t="shared" si="2"/>
        <v>5</v>
      </c>
      <c r="AE49" s="23">
        <f t="shared" si="3"/>
        <v>22</v>
      </c>
      <c r="AF49" s="24">
        <f t="shared" si="4"/>
        <v>77.27272727</v>
      </c>
      <c r="AG49" s="26"/>
    </row>
    <row r="50" ht="15.75" customHeight="1">
      <c r="A50" s="17">
        <v>40.0</v>
      </c>
      <c r="B50" s="18" t="s">
        <v>109</v>
      </c>
      <c r="C50" s="25" t="s">
        <v>110</v>
      </c>
      <c r="D50" s="22" t="s">
        <v>31</v>
      </c>
      <c r="E50" s="22" t="s">
        <v>31</v>
      </c>
      <c r="F50" s="21" t="s">
        <v>32</v>
      </c>
      <c r="G50" s="21" t="s">
        <v>32</v>
      </c>
      <c r="H50" s="21" t="s">
        <v>32</v>
      </c>
      <c r="I50" s="21" t="s">
        <v>31</v>
      </c>
      <c r="J50" s="21" t="s">
        <v>31</v>
      </c>
      <c r="K50" s="21" t="s">
        <v>32</v>
      </c>
      <c r="L50" s="21" t="s">
        <v>31</v>
      </c>
      <c r="M50" s="21" t="s">
        <v>31</v>
      </c>
      <c r="N50" s="21" t="s">
        <v>32</v>
      </c>
      <c r="O50" s="21" t="s">
        <v>32</v>
      </c>
      <c r="P50" s="21" t="s">
        <v>31</v>
      </c>
      <c r="Q50" s="21" t="s">
        <v>31</v>
      </c>
      <c r="R50" s="21" t="s">
        <v>32</v>
      </c>
      <c r="S50" s="21" t="s">
        <v>32</v>
      </c>
      <c r="T50" s="21" t="s">
        <v>32</v>
      </c>
      <c r="U50" s="21" t="s">
        <v>32</v>
      </c>
      <c r="V50" s="21" t="s">
        <v>32</v>
      </c>
      <c r="W50" s="21" t="s">
        <v>32</v>
      </c>
      <c r="X50" s="21" t="s">
        <v>32</v>
      </c>
      <c r="Y50" s="21" t="s">
        <v>32</v>
      </c>
      <c r="Z50" s="22"/>
      <c r="AA50" s="22"/>
      <c r="AB50" s="22"/>
      <c r="AC50" s="23">
        <f t="shared" si="1"/>
        <v>14</v>
      </c>
      <c r="AD50" s="23">
        <f t="shared" si="2"/>
        <v>8</v>
      </c>
      <c r="AE50" s="23">
        <f t="shared" si="3"/>
        <v>22</v>
      </c>
      <c r="AF50" s="24">
        <f t="shared" si="4"/>
        <v>63.63636364</v>
      </c>
      <c r="AG50" s="26"/>
    </row>
    <row r="51" ht="15.75" customHeight="1">
      <c r="A51" s="17">
        <v>41.0</v>
      </c>
      <c r="B51" s="18" t="s">
        <v>111</v>
      </c>
      <c r="C51" s="25" t="s">
        <v>112</v>
      </c>
      <c r="D51" s="20" t="s">
        <v>32</v>
      </c>
      <c r="E51" s="20" t="s">
        <v>32</v>
      </c>
      <c r="F51" s="21" t="s">
        <v>32</v>
      </c>
      <c r="G51" s="21" t="s">
        <v>32</v>
      </c>
      <c r="H51" s="21" t="s">
        <v>32</v>
      </c>
      <c r="I51" s="21" t="s">
        <v>32</v>
      </c>
      <c r="J51" s="21" t="s">
        <v>32</v>
      </c>
      <c r="K51" s="21" t="s">
        <v>32</v>
      </c>
      <c r="L51" s="21" t="s">
        <v>32</v>
      </c>
      <c r="M51" s="21" t="s">
        <v>32</v>
      </c>
      <c r="N51" s="21" t="s">
        <v>32</v>
      </c>
      <c r="O51" s="21" t="s">
        <v>31</v>
      </c>
      <c r="P51" s="21" t="s">
        <v>31</v>
      </c>
      <c r="Q51" s="21" t="s">
        <v>31</v>
      </c>
      <c r="R51" s="21" t="s">
        <v>32</v>
      </c>
      <c r="S51" s="21" t="s">
        <v>32</v>
      </c>
      <c r="T51" s="21" t="s">
        <v>32</v>
      </c>
      <c r="U51" s="21" t="s">
        <v>32</v>
      </c>
      <c r="V51" s="21" t="s">
        <v>32</v>
      </c>
      <c r="W51" s="21" t="s">
        <v>32</v>
      </c>
      <c r="X51" s="21" t="s">
        <v>32</v>
      </c>
      <c r="Y51" s="21" t="s">
        <v>32</v>
      </c>
      <c r="Z51" s="22"/>
      <c r="AA51" s="22"/>
      <c r="AB51" s="22"/>
      <c r="AC51" s="23">
        <f t="shared" si="1"/>
        <v>19</v>
      </c>
      <c r="AD51" s="23">
        <f t="shared" si="2"/>
        <v>3</v>
      </c>
      <c r="AE51" s="23">
        <f t="shared" si="3"/>
        <v>22</v>
      </c>
      <c r="AF51" s="24">
        <f t="shared" si="4"/>
        <v>86.36363636</v>
      </c>
      <c r="AG51" s="26"/>
    </row>
    <row r="52" ht="15.75" customHeight="1">
      <c r="A52" s="17">
        <v>42.0</v>
      </c>
      <c r="B52" s="18" t="s">
        <v>113</v>
      </c>
      <c r="C52" s="25" t="s">
        <v>114</v>
      </c>
      <c r="D52" s="20" t="s">
        <v>32</v>
      </c>
      <c r="E52" s="20" t="s">
        <v>32</v>
      </c>
      <c r="F52" s="21" t="s">
        <v>32</v>
      </c>
      <c r="G52" s="21" t="s">
        <v>32</v>
      </c>
      <c r="H52" s="21" t="s">
        <v>32</v>
      </c>
      <c r="I52" s="21" t="s">
        <v>32</v>
      </c>
      <c r="J52" s="21" t="s">
        <v>32</v>
      </c>
      <c r="K52" s="21" t="s">
        <v>31</v>
      </c>
      <c r="L52" s="21" t="s">
        <v>31</v>
      </c>
      <c r="M52" s="21" t="s">
        <v>31</v>
      </c>
      <c r="N52" s="21" t="s">
        <v>32</v>
      </c>
      <c r="O52" s="21" t="s">
        <v>32</v>
      </c>
      <c r="P52" s="21" t="s">
        <v>31</v>
      </c>
      <c r="Q52" s="21" t="s">
        <v>31</v>
      </c>
      <c r="R52" s="21" t="s">
        <v>32</v>
      </c>
      <c r="S52" s="21" t="s">
        <v>32</v>
      </c>
      <c r="T52" s="21" t="s">
        <v>32</v>
      </c>
      <c r="U52" s="21" t="s">
        <v>32</v>
      </c>
      <c r="V52" s="21" t="s">
        <v>32</v>
      </c>
      <c r="W52" s="21" t="s">
        <v>32</v>
      </c>
      <c r="X52" s="21" t="s">
        <v>32</v>
      </c>
      <c r="Y52" s="21" t="s">
        <v>32</v>
      </c>
      <c r="Z52" s="22"/>
      <c r="AA52" s="22"/>
      <c r="AB52" s="22"/>
      <c r="AC52" s="23">
        <f t="shared" si="1"/>
        <v>17</v>
      </c>
      <c r="AD52" s="23">
        <f t="shared" si="2"/>
        <v>5</v>
      </c>
      <c r="AE52" s="23">
        <f t="shared" si="3"/>
        <v>22</v>
      </c>
      <c r="AF52" s="24">
        <f t="shared" si="4"/>
        <v>77.27272727</v>
      </c>
      <c r="AG52" s="26"/>
    </row>
    <row r="53" ht="15.75" customHeight="1">
      <c r="A53" s="17">
        <v>43.0</v>
      </c>
      <c r="B53" s="18" t="s">
        <v>115</v>
      </c>
      <c r="C53" s="25" t="s">
        <v>116</v>
      </c>
      <c r="D53" s="20" t="s">
        <v>32</v>
      </c>
      <c r="E53" s="20" t="s">
        <v>32</v>
      </c>
      <c r="F53" s="21" t="s">
        <v>32</v>
      </c>
      <c r="G53" s="21" t="s">
        <v>32</v>
      </c>
      <c r="H53" s="21" t="s">
        <v>32</v>
      </c>
      <c r="I53" s="21" t="s">
        <v>31</v>
      </c>
      <c r="J53" s="21" t="s">
        <v>31</v>
      </c>
      <c r="K53" s="21" t="s">
        <v>32</v>
      </c>
      <c r="L53" s="21" t="s">
        <v>32</v>
      </c>
      <c r="M53" s="21" t="s">
        <v>32</v>
      </c>
      <c r="N53" s="21" t="s">
        <v>32</v>
      </c>
      <c r="O53" s="21" t="s">
        <v>31</v>
      </c>
      <c r="P53" s="21" t="s">
        <v>31</v>
      </c>
      <c r="Q53" s="21" t="s">
        <v>31</v>
      </c>
      <c r="R53" s="21" t="s">
        <v>32</v>
      </c>
      <c r="S53" s="21" t="s">
        <v>32</v>
      </c>
      <c r="T53" s="21" t="s">
        <v>32</v>
      </c>
      <c r="U53" s="21" t="s">
        <v>32</v>
      </c>
      <c r="V53" s="21" t="s">
        <v>32</v>
      </c>
      <c r="W53" s="21" t="s">
        <v>32</v>
      </c>
      <c r="X53" s="21" t="s">
        <v>32</v>
      </c>
      <c r="Y53" s="21" t="s">
        <v>32</v>
      </c>
      <c r="Z53" s="22"/>
      <c r="AA53" s="22"/>
      <c r="AB53" s="22"/>
      <c r="AC53" s="23">
        <f t="shared" si="1"/>
        <v>17</v>
      </c>
      <c r="AD53" s="23">
        <f t="shared" si="2"/>
        <v>5</v>
      </c>
      <c r="AE53" s="23">
        <f t="shared" si="3"/>
        <v>22</v>
      </c>
      <c r="AF53" s="24">
        <f t="shared" si="4"/>
        <v>77.27272727</v>
      </c>
      <c r="AG53" s="26"/>
    </row>
    <row r="54" ht="15.75" customHeight="1">
      <c r="A54" s="17">
        <v>44.0</v>
      </c>
      <c r="B54" s="18" t="s">
        <v>117</v>
      </c>
      <c r="C54" s="25" t="s">
        <v>118</v>
      </c>
      <c r="D54" s="20" t="s">
        <v>32</v>
      </c>
      <c r="E54" s="20" t="s">
        <v>32</v>
      </c>
      <c r="F54" s="21" t="s">
        <v>32</v>
      </c>
      <c r="G54" s="21" t="s">
        <v>31</v>
      </c>
      <c r="H54" s="21" t="s">
        <v>32</v>
      </c>
      <c r="I54" s="21" t="s">
        <v>32</v>
      </c>
      <c r="J54" s="21" t="s">
        <v>32</v>
      </c>
      <c r="K54" s="21" t="s">
        <v>32</v>
      </c>
      <c r="L54" s="21" t="s">
        <v>32</v>
      </c>
      <c r="M54" s="21" t="s">
        <v>32</v>
      </c>
      <c r="N54" s="21" t="s">
        <v>32</v>
      </c>
      <c r="O54" s="21" t="s">
        <v>31</v>
      </c>
      <c r="P54" s="21" t="s">
        <v>31</v>
      </c>
      <c r="Q54" s="21" t="s">
        <v>31</v>
      </c>
      <c r="R54" s="21" t="s">
        <v>32</v>
      </c>
      <c r="S54" s="21" t="s">
        <v>32</v>
      </c>
      <c r="T54" s="21" t="s">
        <v>32</v>
      </c>
      <c r="U54" s="21" t="s">
        <v>32</v>
      </c>
      <c r="V54" s="21" t="s">
        <v>32</v>
      </c>
      <c r="W54" s="21" t="s">
        <v>32</v>
      </c>
      <c r="X54" s="21" t="s">
        <v>32</v>
      </c>
      <c r="Y54" s="21" t="s">
        <v>32</v>
      </c>
      <c r="Z54" s="22"/>
      <c r="AA54" s="22"/>
      <c r="AB54" s="22"/>
      <c r="AC54" s="23">
        <f t="shared" si="1"/>
        <v>18</v>
      </c>
      <c r="AD54" s="23">
        <f t="shared" si="2"/>
        <v>4</v>
      </c>
      <c r="AE54" s="23">
        <f t="shared" si="3"/>
        <v>22</v>
      </c>
      <c r="AF54" s="24">
        <f t="shared" si="4"/>
        <v>81.81818182</v>
      </c>
      <c r="AG54" s="26"/>
    </row>
    <row r="55" ht="15.75" customHeight="1">
      <c r="A55" s="17">
        <v>45.0</v>
      </c>
      <c r="B55" s="18" t="s">
        <v>119</v>
      </c>
      <c r="C55" s="25" t="s">
        <v>120</v>
      </c>
      <c r="D55" s="20" t="s">
        <v>32</v>
      </c>
      <c r="E55" s="20" t="s">
        <v>32</v>
      </c>
      <c r="F55" s="21" t="s">
        <v>32</v>
      </c>
      <c r="G55" s="21" t="s">
        <v>31</v>
      </c>
      <c r="H55" s="21" t="s">
        <v>32</v>
      </c>
      <c r="I55" s="21" t="s">
        <v>31</v>
      </c>
      <c r="J55" s="21" t="s">
        <v>31</v>
      </c>
      <c r="K55" s="21" t="s">
        <v>32</v>
      </c>
      <c r="L55" s="21" t="s">
        <v>32</v>
      </c>
      <c r="M55" s="21" t="s">
        <v>32</v>
      </c>
      <c r="N55" s="21" t="s">
        <v>32</v>
      </c>
      <c r="O55" s="21" t="s">
        <v>32</v>
      </c>
      <c r="P55" s="21" t="s">
        <v>32</v>
      </c>
      <c r="Q55" s="21" t="s">
        <v>32</v>
      </c>
      <c r="R55" s="21" t="s">
        <v>32</v>
      </c>
      <c r="S55" s="21" t="s">
        <v>32</v>
      </c>
      <c r="T55" s="21" t="s">
        <v>32</v>
      </c>
      <c r="U55" s="21" t="s">
        <v>32</v>
      </c>
      <c r="V55" s="21" t="s">
        <v>32</v>
      </c>
      <c r="W55" s="21" t="s">
        <v>32</v>
      </c>
      <c r="X55" s="21" t="s">
        <v>32</v>
      </c>
      <c r="Y55" s="21" t="s">
        <v>32</v>
      </c>
      <c r="Z55" s="22"/>
      <c r="AA55" s="22"/>
      <c r="AB55" s="22"/>
      <c r="AC55" s="23">
        <f t="shared" si="1"/>
        <v>19</v>
      </c>
      <c r="AD55" s="23">
        <f t="shared" si="2"/>
        <v>3</v>
      </c>
      <c r="AE55" s="23">
        <f t="shared" si="3"/>
        <v>22</v>
      </c>
      <c r="AF55" s="24">
        <f t="shared" si="4"/>
        <v>86.36363636</v>
      </c>
      <c r="AG55" s="26"/>
    </row>
    <row r="56" ht="15.75" customHeight="1">
      <c r="A56" s="17">
        <v>46.0</v>
      </c>
      <c r="B56" s="18" t="s">
        <v>121</v>
      </c>
      <c r="C56" s="25" t="s">
        <v>122</v>
      </c>
      <c r="D56" s="20" t="s">
        <v>32</v>
      </c>
      <c r="E56" s="20" t="s">
        <v>32</v>
      </c>
      <c r="F56" s="21" t="s">
        <v>32</v>
      </c>
      <c r="G56" s="21" t="s">
        <v>32</v>
      </c>
      <c r="H56" s="21" t="s">
        <v>32</v>
      </c>
      <c r="I56" s="21" t="s">
        <v>32</v>
      </c>
      <c r="J56" s="21" t="s">
        <v>32</v>
      </c>
      <c r="K56" s="21" t="s">
        <v>32</v>
      </c>
      <c r="L56" s="21" t="s">
        <v>32</v>
      </c>
      <c r="M56" s="21" t="s">
        <v>32</v>
      </c>
      <c r="N56" s="21" t="s">
        <v>32</v>
      </c>
      <c r="O56" s="21" t="s">
        <v>31</v>
      </c>
      <c r="P56" s="21" t="s">
        <v>31</v>
      </c>
      <c r="Q56" s="21" t="s">
        <v>31</v>
      </c>
      <c r="R56" s="21" t="s">
        <v>31</v>
      </c>
      <c r="S56" s="21" t="s">
        <v>31</v>
      </c>
      <c r="T56" s="21" t="s">
        <v>32</v>
      </c>
      <c r="U56" s="21" t="s">
        <v>32</v>
      </c>
      <c r="V56" s="21" t="s">
        <v>32</v>
      </c>
      <c r="W56" s="21" t="s">
        <v>31</v>
      </c>
      <c r="X56" s="21" t="s">
        <v>31</v>
      </c>
      <c r="Y56" s="21" t="s">
        <v>31</v>
      </c>
      <c r="Z56" s="22"/>
      <c r="AA56" s="22"/>
      <c r="AB56" s="22"/>
      <c r="AC56" s="23">
        <f t="shared" si="1"/>
        <v>14</v>
      </c>
      <c r="AD56" s="23">
        <f t="shared" si="2"/>
        <v>8</v>
      </c>
      <c r="AE56" s="23">
        <f t="shared" si="3"/>
        <v>22</v>
      </c>
      <c r="AF56" s="24">
        <f t="shared" si="4"/>
        <v>63.63636364</v>
      </c>
      <c r="AG56" s="26"/>
    </row>
    <row r="57" ht="15.75" customHeight="1">
      <c r="A57" s="17">
        <v>47.0</v>
      </c>
      <c r="B57" s="18" t="s">
        <v>123</v>
      </c>
      <c r="C57" s="25" t="s">
        <v>124</v>
      </c>
      <c r="D57" s="20" t="s">
        <v>32</v>
      </c>
      <c r="E57" s="20" t="s">
        <v>32</v>
      </c>
      <c r="F57" s="21" t="s">
        <v>32</v>
      </c>
      <c r="G57" s="21" t="s">
        <v>32</v>
      </c>
      <c r="H57" s="21" t="s">
        <v>32</v>
      </c>
      <c r="I57" s="21" t="s">
        <v>32</v>
      </c>
      <c r="J57" s="21" t="s">
        <v>32</v>
      </c>
      <c r="K57" s="21" t="s">
        <v>32</v>
      </c>
      <c r="L57" s="21" t="s">
        <v>32</v>
      </c>
      <c r="M57" s="21" t="s">
        <v>32</v>
      </c>
      <c r="N57" s="21" t="s">
        <v>32</v>
      </c>
      <c r="O57" s="21" t="s">
        <v>32</v>
      </c>
      <c r="P57" s="21" t="s">
        <v>32</v>
      </c>
      <c r="Q57" s="21" t="s">
        <v>32</v>
      </c>
      <c r="R57" s="21" t="s">
        <v>31</v>
      </c>
      <c r="S57" s="21" t="s">
        <v>31</v>
      </c>
      <c r="T57" s="21" t="s">
        <v>31</v>
      </c>
      <c r="U57" s="21" t="s">
        <v>31</v>
      </c>
      <c r="V57" s="21" t="s">
        <v>31</v>
      </c>
      <c r="W57" s="21" t="s">
        <v>31</v>
      </c>
      <c r="X57" s="21" t="s">
        <v>31</v>
      </c>
      <c r="Y57" s="21" t="s">
        <v>31</v>
      </c>
      <c r="Z57" s="22"/>
      <c r="AA57" s="22"/>
      <c r="AB57" s="22"/>
      <c r="AC57" s="23">
        <f t="shared" si="1"/>
        <v>14</v>
      </c>
      <c r="AD57" s="23">
        <f t="shared" si="2"/>
        <v>8</v>
      </c>
      <c r="AE57" s="23">
        <f t="shared" si="3"/>
        <v>22</v>
      </c>
      <c r="AF57" s="24">
        <f t="shared" si="4"/>
        <v>63.63636364</v>
      </c>
      <c r="AG57" s="26"/>
    </row>
    <row r="58" ht="15.75" customHeight="1">
      <c r="A58" s="17">
        <v>48.0</v>
      </c>
      <c r="B58" s="18" t="s">
        <v>125</v>
      </c>
      <c r="C58" s="25" t="s">
        <v>126</v>
      </c>
      <c r="D58" s="20" t="s">
        <v>32</v>
      </c>
      <c r="E58" s="20" t="s">
        <v>32</v>
      </c>
      <c r="F58" s="21" t="s">
        <v>32</v>
      </c>
      <c r="G58" s="21" t="s">
        <v>32</v>
      </c>
      <c r="H58" s="21" t="s">
        <v>32</v>
      </c>
      <c r="I58" s="21" t="s">
        <v>32</v>
      </c>
      <c r="J58" s="21" t="s">
        <v>32</v>
      </c>
      <c r="K58" s="21" t="s">
        <v>32</v>
      </c>
      <c r="L58" s="21" t="s">
        <v>32</v>
      </c>
      <c r="M58" s="21" t="s">
        <v>32</v>
      </c>
      <c r="N58" s="21" t="s">
        <v>32</v>
      </c>
      <c r="O58" s="21" t="s">
        <v>32</v>
      </c>
      <c r="P58" s="21" t="s">
        <v>32</v>
      </c>
      <c r="Q58" s="21" t="s">
        <v>32</v>
      </c>
      <c r="R58" s="21" t="s">
        <v>32</v>
      </c>
      <c r="S58" s="21" t="s">
        <v>32</v>
      </c>
      <c r="T58" s="21" t="s">
        <v>32</v>
      </c>
      <c r="U58" s="21" t="s">
        <v>32</v>
      </c>
      <c r="V58" s="21" t="s">
        <v>32</v>
      </c>
      <c r="W58" s="21" t="s">
        <v>32</v>
      </c>
      <c r="X58" s="21" t="s">
        <v>32</v>
      </c>
      <c r="Y58" s="21" t="s">
        <v>32</v>
      </c>
      <c r="Z58" s="22"/>
      <c r="AA58" s="22"/>
      <c r="AB58" s="22"/>
      <c r="AC58" s="23">
        <f t="shared" si="1"/>
        <v>22</v>
      </c>
      <c r="AD58" s="23">
        <f t="shared" si="2"/>
        <v>0</v>
      </c>
      <c r="AE58" s="23">
        <f t="shared" si="3"/>
        <v>22</v>
      </c>
      <c r="AF58" s="24">
        <f t="shared" si="4"/>
        <v>100</v>
      </c>
      <c r="AG58" s="26"/>
    </row>
    <row r="59" ht="15.75" customHeight="1">
      <c r="A59" s="17">
        <v>49.0</v>
      </c>
      <c r="B59" s="18" t="s">
        <v>127</v>
      </c>
      <c r="C59" s="25" t="s">
        <v>128</v>
      </c>
      <c r="D59" s="20" t="s">
        <v>32</v>
      </c>
      <c r="E59" s="20" t="s">
        <v>32</v>
      </c>
      <c r="F59" s="21" t="s">
        <v>32</v>
      </c>
      <c r="G59" s="21" t="s">
        <v>32</v>
      </c>
      <c r="H59" s="21" t="s">
        <v>32</v>
      </c>
      <c r="I59" s="21" t="s">
        <v>32</v>
      </c>
      <c r="J59" s="21" t="s">
        <v>32</v>
      </c>
      <c r="K59" s="21" t="s">
        <v>31</v>
      </c>
      <c r="L59" s="21" t="s">
        <v>31</v>
      </c>
      <c r="M59" s="21" t="s">
        <v>31</v>
      </c>
      <c r="N59" s="21" t="s">
        <v>32</v>
      </c>
      <c r="O59" s="21" t="s">
        <v>31</v>
      </c>
      <c r="P59" s="21" t="s">
        <v>31</v>
      </c>
      <c r="Q59" s="21" t="s">
        <v>31</v>
      </c>
      <c r="R59" s="21" t="s">
        <v>32</v>
      </c>
      <c r="S59" s="21" t="s">
        <v>32</v>
      </c>
      <c r="T59" s="21" t="s">
        <v>31</v>
      </c>
      <c r="U59" s="21" t="s">
        <v>32</v>
      </c>
      <c r="V59" s="21" t="s">
        <v>32</v>
      </c>
      <c r="W59" s="21" t="s">
        <v>32</v>
      </c>
      <c r="X59" s="21" t="s">
        <v>32</v>
      </c>
      <c r="Y59" s="21" t="s">
        <v>32</v>
      </c>
      <c r="Z59" s="22"/>
      <c r="AA59" s="22"/>
      <c r="AB59" s="22"/>
      <c r="AC59" s="23">
        <f t="shared" si="1"/>
        <v>15</v>
      </c>
      <c r="AD59" s="23">
        <f t="shared" si="2"/>
        <v>7</v>
      </c>
      <c r="AE59" s="23">
        <f t="shared" si="3"/>
        <v>22</v>
      </c>
      <c r="AF59" s="24">
        <f t="shared" si="4"/>
        <v>68.18181818</v>
      </c>
      <c r="AG59" s="26"/>
    </row>
    <row r="60" ht="15.75" customHeight="1">
      <c r="A60" s="17">
        <v>50.0</v>
      </c>
      <c r="B60" s="18" t="s">
        <v>129</v>
      </c>
      <c r="C60" s="25" t="s">
        <v>130</v>
      </c>
      <c r="D60" s="20" t="s">
        <v>32</v>
      </c>
      <c r="E60" s="20" t="s">
        <v>32</v>
      </c>
      <c r="F60" s="21" t="s">
        <v>32</v>
      </c>
      <c r="G60" s="21" t="s">
        <v>32</v>
      </c>
      <c r="H60" s="21" t="s">
        <v>32</v>
      </c>
      <c r="I60" s="21" t="s">
        <v>31</v>
      </c>
      <c r="J60" s="21" t="s">
        <v>31</v>
      </c>
      <c r="K60" s="21" t="s">
        <v>32</v>
      </c>
      <c r="L60" s="21" t="s">
        <v>32</v>
      </c>
      <c r="M60" s="21" t="s">
        <v>32</v>
      </c>
      <c r="N60" s="21" t="s">
        <v>32</v>
      </c>
      <c r="O60" s="21" t="s">
        <v>32</v>
      </c>
      <c r="P60" s="21" t="s">
        <v>31</v>
      </c>
      <c r="Q60" s="21" t="s">
        <v>31</v>
      </c>
      <c r="R60" s="21" t="s">
        <v>32</v>
      </c>
      <c r="S60" s="21" t="s">
        <v>32</v>
      </c>
      <c r="T60" s="21" t="s">
        <v>32</v>
      </c>
      <c r="U60" s="21" t="s">
        <v>32</v>
      </c>
      <c r="V60" s="21" t="s">
        <v>32</v>
      </c>
      <c r="W60" s="21" t="s">
        <v>32</v>
      </c>
      <c r="X60" s="21" t="s">
        <v>32</v>
      </c>
      <c r="Y60" s="21" t="s">
        <v>32</v>
      </c>
      <c r="Z60" s="22"/>
      <c r="AA60" s="22"/>
      <c r="AB60" s="22"/>
      <c r="AC60" s="23">
        <f t="shared" si="1"/>
        <v>18</v>
      </c>
      <c r="AD60" s="23">
        <f t="shared" si="2"/>
        <v>4</v>
      </c>
      <c r="AE60" s="23">
        <f t="shared" si="3"/>
        <v>22</v>
      </c>
      <c r="AF60" s="24">
        <f t="shared" si="4"/>
        <v>81.81818182</v>
      </c>
      <c r="AG60" s="26"/>
    </row>
    <row r="61" ht="15.75" customHeight="1">
      <c r="A61" s="17">
        <v>51.0</v>
      </c>
      <c r="B61" s="18" t="s">
        <v>131</v>
      </c>
      <c r="C61" s="25" t="s">
        <v>132</v>
      </c>
      <c r="D61" s="20" t="s">
        <v>32</v>
      </c>
      <c r="E61" s="20" t="s">
        <v>32</v>
      </c>
      <c r="F61" s="21" t="s">
        <v>32</v>
      </c>
      <c r="G61" s="21" t="s">
        <v>32</v>
      </c>
      <c r="H61" s="21" t="s">
        <v>32</v>
      </c>
      <c r="I61" s="21" t="s">
        <v>32</v>
      </c>
      <c r="J61" s="21" t="s">
        <v>32</v>
      </c>
      <c r="K61" s="21" t="s">
        <v>32</v>
      </c>
      <c r="L61" s="21" t="s">
        <v>32</v>
      </c>
      <c r="M61" s="21" t="s">
        <v>32</v>
      </c>
      <c r="N61" s="21" t="s">
        <v>32</v>
      </c>
      <c r="O61" s="21" t="s">
        <v>32</v>
      </c>
      <c r="P61" s="21" t="s">
        <v>32</v>
      </c>
      <c r="Q61" s="21" t="s">
        <v>32</v>
      </c>
      <c r="R61" s="21" t="s">
        <v>32</v>
      </c>
      <c r="S61" s="21" t="s">
        <v>32</v>
      </c>
      <c r="T61" s="21" t="s">
        <v>32</v>
      </c>
      <c r="U61" s="21" t="s">
        <v>32</v>
      </c>
      <c r="V61" s="21" t="s">
        <v>32</v>
      </c>
      <c r="W61" s="21" t="s">
        <v>32</v>
      </c>
      <c r="X61" s="21" t="s">
        <v>32</v>
      </c>
      <c r="Y61" s="21" t="s">
        <v>32</v>
      </c>
      <c r="Z61" s="22"/>
      <c r="AA61" s="22"/>
      <c r="AB61" s="22"/>
      <c r="AC61" s="23">
        <f t="shared" si="1"/>
        <v>22</v>
      </c>
      <c r="AD61" s="23">
        <f t="shared" si="2"/>
        <v>0</v>
      </c>
      <c r="AE61" s="23">
        <f t="shared" si="3"/>
        <v>22</v>
      </c>
      <c r="AF61" s="24">
        <f t="shared" si="4"/>
        <v>100</v>
      </c>
      <c r="AG61" s="26"/>
    </row>
    <row r="62" ht="15.75" customHeight="1">
      <c r="A62" s="17">
        <v>52.0</v>
      </c>
      <c r="B62" s="18" t="s">
        <v>133</v>
      </c>
      <c r="C62" s="25" t="s">
        <v>134</v>
      </c>
      <c r="D62" s="20" t="s">
        <v>32</v>
      </c>
      <c r="E62" s="20" t="s">
        <v>32</v>
      </c>
      <c r="F62" s="21" t="s">
        <v>32</v>
      </c>
      <c r="G62" s="21" t="s">
        <v>32</v>
      </c>
      <c r="H62" s="21" t="s">
        <v>32</v>
      </c>
      <c r="I62" s="21" t="s">
        <v>32</v>
      </c>
      <c r="J62" s="21" t="s">
        <v>32</v>
      </c>
      <c r="K62" s="21" t="s">
        <v>31</v>
      </c>
      <c r="L62" s="21" t="s">
        <v>31</v>
      </c>
      <c r="M62" s="21" t="s">
        <v>31</v>
      </c>
      <c r="N62" s="21" t="s">
        <v>32</v>
      </c>
      <c r="O62" s="21" t="s">
        <v>32</v>
      </c>
      <c r="P62" s="21" t="s">
        <v>32</v>
      </c>
      <c r="Q62" s="21" t="s">
        <v>32</v>
      </c>
      <c r="R62" s="21" t="s">
        <v>32</v>
      </c>
      <c r="S62" s="21" t="s">
        <v>32</v>
      </c>
      <c r="T62" s="21" t="s">
        <v>32</v>
      </c>
      <c r="U62" s="21" t="s">
        <v>31</v>
      </c>
      <c r="V62" s="21" t="s">
        <v>31</v>
      </c>
      <c r="W62" s="21" t="s">
        <v>32</v>
      </c>
      <c r="X62" s="21" t="s">
        <v>32</v>
      </c>
      <c r="Y62" s="21" t="s">
        <v>32</v>
      </c>
      <c r="Z62" s="22"/>
      <c r="AA62" s="22"/>
      <c r="AB62" s="22"/>
      <c r="AC62" s="23">
        <f t="shared" si="1"/>
        <v>17</v>
      </c>
      <c r="AD62" s="23">
        <f t="shared" si="2"/>
        <v>5</v>
      </c>
      <c r="AE62" s="23">
        <f t="shared" si="3"/>
        <v>22</v>
      </c>
      <c r="AF62" s="24">
        <f t="shared" si="4"/>
        <v>77.27272727</v>
      </c>
      <c r="AG62" s="26"/>
    </row>
    <row r="63" ht="15.75" customHeight="1">
      <c r="A63" s="17">
        <v>53.0</v>
      </c>
      <c r="B63" s="18" t="s">
        <v>135</v>
      </c>
      <c r="C63" s="25" t="s">
        <v>136</v>
      </c>
      <c r="D63" s="20" t="s">
        <v>32</v>
      </c>
      <c r="E63" s="20" t="s">
        <v>32</v>
      </c>
      <c r="F63" s="21" t="s">
        <v>32</v>
      </c>
      <c r="G63" s="21" t="s">
        <v>32</v>
      </c>
      <c r="H63" s="21" t="s">
        <v>32</v>
      </c>
      <c r="I63" s="21" t="s">
        <v>32</v>
      </c>
      <c r="J63" s="21" t="s">
        <v>32</v>
      </c>
      <c r="K63" s="21" t="s">
        <v>32</v>
      </c>
      <c r="L63" s="21" t="s">
        <v>32</v>
      </c>
      <c r="M63" s="21" t="s">
        <v>32</v>
      </c>
      <c r="N63" s="21" t="s">
        <v>32</v>
      </c>
      <c r="O63" s="21" t="s">
        <v>32</v>
      </c>
      <c r="P63" s="21" t="s">
        <v>32</v>
      </c>
      <c r="Q63" s="21" t="s">
        <v>32</v>
      </c>
      <c r="R63" s="21" t="s">
        <v>32</v>
      </c>
      <c r="S63" s="21" t="s">
        <v>32</v>
      </c>
      <c r="T63" s="21" t="s">
        <v>31</v>
      </c>
      <c r="U63" s="21" t="s">
        <v>31</v>
      </c>
      <c r="V63" s="21" t="s">
        <v>31</v>
      </c>
      <c r="W63" s="21" t="s">
        <v>31</v>
      </c>
      <c r="X63" s="21" t="s">
        <v>31</v>
      </c>
      <c r="Y63" s="21" t="s">
        <v>31</v>
      </c>
      <c r="Z63" s="22"/>
      <c r="AA63" s="22"/>
      <c r="AB63" s="22"/>
      <c r="AC63" s="23">
        <f t="shared" si="1"/>
        <v>16</v>
      </c>
      <c r="AD63" s="23">
        <f t="shared" si="2"/>
        <v>6</v>
      </c>
      <c r="AE63" s="23">
        <f t="shared" si="3"/>
        <v>22</v>
      </c>
      <c r="AF63" s="24">
        <f t="shared" si="4"/>
        <v>72.72727273</v>
      </c>
      <c r="AG63" s="26"/>
    </row>
    <row r="64" ht="15.75" customHeight="1">
      <c r="A64" s="17">
        <v>54.0</v>
      </c>
      <c r="B64" s="18" t="s">
        <v>137</v>
      </c>
      <c r="C64" s="25" t="s">
        <v>138</v>
      </c>
      <c r="D64" s="20" t="s">
        <v>32</v>
      </c>
      <c r="E64" s="20" t="s">
        <v>32</v>
      </c>
      <c r="F64" s="21" t="s">
        <v>32</v>
      </c>
      <c r="G64" s="21" t="s">
        <v>32</v>
      </c>
      <c r="H64" s="21" t="s">
        <v>32</v>
      </c>
      <c r="I64" s="21" t="s">
        <v>32</v>
      </c>
      <c r="J64" s="21" t="s">
        <v>32</v>
      </c>
      <c r="K64" s="21" t="s">
        <v>32</v>
      </c>
      <c r="L64" s="21" t="s">
        <v>31</v>
      </c>
      <c r="M64" s="21" t="s">
        <v>31</v>
      </c>
      <c r="N64" s="21" t="s">
        <v>32</v>
      </c>
      <c r="O64" s="21" t="s">
        <v>32</v>
      </c>
      <c r="P64" s="21" t="s">
        <v>31</v>
      </c>
      <c r="Q64" s="21" t="s">
        <v>31</v>
      </c>
      <c r="R64" s="21" t="s">
        <v>32</v>
      </c>
      <c r="S64" s="21" t="s">
        <v>32</v>
      </c>
      <c r="T64" s="21" t="s">
        <v>32</v>
      </c>
      <c r="U64" s="21" t="s">
        <v>32</v>
      </c>
      <c r="V64" s="21" t="s">
        <v>32</v>
      </c>
      <c r="W64" s="21" t="s">
        <v>32</v>
      </c>
      <c r="X64" s="21" t="s">
        <v>32</v>
      </c>
      <c r="Y64" s="21" t="s">
        <v>32</v>
      </c>
      <c r="Z64" s="22"/>
      <c r="AA64" s="22"/>
      <c r="AB64" s="22"/>
      <c r="AC64" s="23">
        <f t="shared" si="1"/>
        <v>18</v>
      </c>
      <c r="AD64" s="23">
        <f t="shared" si="2"/>
        <v>4</v>
      </c>
      <c r="AE64" s="23">
        <f t="shared" si="3"/>
        <v>22</v>
      </c>
      <c r="AF64" s="24">
        <f t="shared" si="4"/>
        <v>81.81818182</v>
      </c>
      <c r="AG64" s="26"/>
    </row>
    <row r="65" ht="15.75" customHeight="1">
      <c r="A65" s="17">
        <v>55.0</v>
      </c>
      <c r="B65" s="18" t="s">
        <v>139</v>
      </c>
      <c r="C65" s="25" t="s">
        <v>140</v>
      </c>
      <c r="D65" s="20" t="s">
        <v>32</v>
      </c>
      <c r="E65" s="20" t="s">
        <v>32</v>
      </c>
      <c r="F65" s="21" t="s">
        <v>32</v>
      </c>
      <c r="G65" s="21" t="s">
        <v>32</v>
      </c>
      <c r="H65" s="21" t="s">
        <v>32</v>
      </c>
      <c r="I65" s="21" t="s">
        <v>32</v>
      </c>
      <c r="J65" s="21" t="s">
        <v>32</v>
      </c>
      <c r="K65" s="21" t="s">
        <v>32</v>
      </c>
      <c r="L65" s="21" t="s">
        <v>32</v>
      </c>
      <c r="M65" s="21" t="s">
        <v>32</v>
      </c>
      <c r="N65" s="21" t="s">
        <v>32</v>
      </c>
      <c r="O65" s="21" t="s">
        <v>32</v>
      </c>
      <c r="P65" s="21" t="s">
        <v>32</v>
      </c>
      <c r="Q65" s="21" t="s">
        <v>32</v>
      </c>
      <c r="R65" s="21" t="s">
        <v>31</v>
      </c>
      <c r="S65" s="21" t="s">
        <v>32</v>
      </c>
      <c r="T65" s="21" t="s">
        <v>32</v>
      </c>
      <c r="U65" s="21" t="s">
        <v>32</v>
      </c>
      <c r="V65" s="21" t="s">
        <v>32</v>
      </c>
      <c r="W65" s="21" t="s">
        <v>32</v>
      </c>
      <c r="X65" s="21" t="s">
        <v>32</v>
      </c>
      <c r="Y65" s="21" t="s">
        <v>32</v>
      </c>
      <c r="Z65" s="22"/>
      <c r="AA65" s="22"/>
      <c r="AB65" s="22"/>
      <c r="AC65" s="23">
        <f t="shared" si="1"/>
        <v>21</v>
      </c>
      <c r="AD65" s="23">
        <f t="shared" si="2"/>
        <v>1</v>
      </c>
      <c r="AE65" s="23">
        <f t="shared" si="3"/>
        <v>22</v>
      </c>
      <c r="AF65" s="24">
        <f t="shared" si="4"/>
        <v>95.45454545</v>
      </c>
      <c r="AG65" s="26"/>
    </row>
    <row r="66" ht="15.75" customHeight="1">
      <c r="A66" s="17">
        <v>56.0</v>
      </c>
      <c r="B66" s="18" t="s">
        <v>141</v>
      </c>
      <c r="C66" s="25" t="s">
        <v>142</v>
      </c>
      <c r="D66" s="20" t="s">
        <v>32</v>
      </c>
      <c r="E66" s="20" t="s">
        <v>32</v>
      </c>
      <c r="F66" s="21" t="s">
        <v>32</v>
      </c>
      <c r="G66" s="21" t="s">
        <v>32</v>
      </c>
      <c r="H66" s="21" t="s">
        <v>32</v>
      </c>
      <c r="I66" s="21" t="s">
        <v>31</v>
      </c>
      <c r="J66" s="21" t="s">
        <v>31</v>
      </c>
      <c r="K66" s="21" t="s">
        <v>32</v>
      </c>
      <c r="L66" s="21" t="s">
        <v>32</v>
      </c>
      <c r="M66" s="21" t="s">
        <v>32</v>
      </c>
      <c r="N66" s="21" t="s">
        <v>32</v>
      </c>
      <c r="O66" s="21" t="s">
        <v>32</v>
      </c>
      <c r="P66" s="21" t="s">
        <v>32</v>
      </c>
      <c r="Q66" s="21" t="s">
        <v>32</v>
      </c>
      <c r="R66" s="21" t="s">
        <v>32</v>
      </c>
      <c r="S66" s="21" t="s">
        <v>32</v>
      </c>
      <c r="T66" s="21" t="s">
        <v>32</v>
      </c>
      <c r="U66" s="21" t="s">
        <v>32</v>
      </c>
      <c r="V66" s="21" t="s">
        <v>32</v>
      </c>
      <c r="W66" s="21" t="s">
        <v>32</v>
      </c>
      <c r="X66" s="21" t="s">
        <v>32</v>
      </c>
      <c r="Y66" s="21" t="s">
        <v>32</v>
      </c>
      <c r="Z66" s="22"/>
      <c r="AA66" s="22"/>
      <c r="AB66" s="22"/>
      <c r="AC66" s="23">
        <f t="shared" si="1"/>
        <v>20</v>
      </c>
      <c r="AD66" s="23">
        <f t="shared" si="2"/>
        <v>2</v>
      </c>
      <c r="AE66" s="23">
        <f t="shared" si="3"/>
        <v>22</v>
      </c>
      <c r="AF66" s="24">
        <f t="shared" si="4"/>
        <v>90.90909091</v>
      </c>
      <c r="AG66" s="26"/>
    </row>
    <row r="67" ht="15.75" customHeight="1">
      <c r="A67" s="17">
        <v>57.0</v>
      </c>
      <c r="B67" s="18" t="s">
        <v>143</v>
      </c>
      <c r="C67" s="25" t="s">
        <v>144</v>
      </c>
      <c r="D67" s="20" t="s">
        <v>32</v>
      </c>
      <c r="E67" s="20" t="s">
        <v>32</v>
      </c>
      <c r="F67" s="21" t="s">
        <v>32</v>
      </c>
      <c r="G67" s="21" t="s">
        <v>32</v>
      </c>
      <c r="H67" s="21" t="s">
        <v>32</v>
      </c>
      <c r="I67" s="21" t="s">
        <v>31</v>
      </c>
      <c r="J67" s="21" t="s">
        <v>31</v>
      </c>
      <c r="K67" s="21" t="s">
        <v>32</v>
      </c>
      <c r="L67" s="21" t="s">
        <v>31</v>
      </c>
      <c r="M67" s="21" t="s">
        <v>31</v>
      </c>
      <c r="N67" s="21" t="s">
        <v>32</v>
      </c>
      <c r="O67" s="21" t="s">
        <v>32</v>
      </c>
      <c r="P67" s="21" t="s">
        <v>31</v>
      </c>
      <c r="Q67" s="21" t="s">
        <v>31</v>
      </c>
      <c r="R67" s="21" t="s">
        <v>32</v>
      </c>
      <c r="S67" s="21" t="s">
        <v>32</v>
      </c>
      <c r="T67" s="21" t="s">
        <v>32</v>
      </c>
      <c r="U67" s="21" t="s">
        <v>32</v>
      </c>
      <c r="V67" s="21" t="s">
        <v>32</v>
      </c>
      <c r="W67" s="21" t="s">
        <v>32</v>
      </c>
      <c r="X67" s="21" t="s">
        <v>32</v>
      </c>
      <c r="Y67" s="21" t="s">
        <v>32</v>
      </c>
      <c r="Z67" s="22"/>
      <c r="AA67" s="22"/>
      <c r="AB67" s="22"/>
      <c r="AC67" s="23">
        <f t="shared" si="1"/>
        <v>16</v>
      </c>
      <c r="AD67" s="23">
        <f t="shared" si="2"/>
        <v>6</v>
      </c>
      <c r="AE67" s="23">
        <f t="shared" si="3"/>
        <v>22</v>
      </c>
      <c r="AF67" s="24">
        <f t="shared" si="4"/>
        <v>72.72727273</v>
      </c>
      <c r="AG67" s="26"/>
    </row>
    <row r="68" ht="15.75" customHeight="1">
      <c r="A68" s="17">
        <v>58.0</v>
      </c>
      <c r="B68" s="18" t="s">
        <v>145</v>
      </c>
      <c r="C68" s="25" t="s">
        <v>146</v>
      </c>
      <c r="D68" s="20" t="s">
        <v>32</v>
      </c>
      <c r="E68" s="20" t="s">
        <v>32</v>
      </c>
      <c r="F68" s="21" t="s">
        <v>32</v>
      </c>
      <c r="G68" s="21" t="s">
        <v>32</v>
      </c>
      <c r="H68" s="21" t="s">
        <v>32</v>
      </c>
      <c r="I68" s="21" t="s">
        <v>32</v>
      </c>
      <c r="J68" s="21" t="s">
        <v>32</v>
      </c>
      <c r="K68" s="21" t="s">
        <v>31</v>
      </c>
      <c r="L68" s="21" t="s">
        <v>32</v>
      </c>
      <c r="M68" s="21" t="s">
        <v>32</v>
      </c>
      <c r="N68" s="21" t="s">
        <v>32</v>
      </c>
      <c r="O68" s="21" t="s">
        <v>32</v>
      </c>
      <c r="P68" s="21" t="s">
        <v>32</v>
      </c>
      <c r="Q68" s="21" t="s">
        <v>32</v>
      </c>
      <c r="R68" s="21" t="s">
        <v>32</v>
      </c>
      <c r="S68" s="21" t="s">
        <v>32</v>
      </c>
      <c r="T68" s="21" t="s">
        <v>32</v>
      </c>
      <c r="U68" s="21" t="s">
        <v>31</v>
      </c>
      <c r="V68" s="21" t="s">
        <v>31</v>
      </c>
      <c r="W68" s="21" t="s">
        <v>32</v>
      </c>
      <c r="X68" s="21" t="s">
        <v>32</v>
      </c>
      <c r="Y68" s="21" t="s">
        <v>32</v>
      </c>
      <c r="Z68" s="22"/>
      <c r="AA68" s="22"/>
      <c r="AB68" s="22"/>
      <c r="AC68" s="23">
        <f t="shared" si="1"/>
        <v>19</v>
      </c>
      <c r="AD68" s="23">
        <f t="shared" si="2"/>
        <v>3</v>
      </c>
      <c r="AE68" s="23">
        <f t="shared" si="3"/>
        <v>22</v>
      </c>
      <c r="AF68" s="24">
        <f t="shared" si="4"/>
        <v>86.36363636</v>
      </c>
      <c r="AG68" s="26"/>
    </row>
    <row r="69" ht="15.75" customHeight="1">
      <c r="A69" s="17">
        <v>59.0</v>
      </c>
      <c r="B69" s="18" t="s">
        <v>147</v>
      </c>
      <c r="C69" s="25" t="s">
        <v>148</v>
      </c>
      <c r="D69" s="20" t="s">
        <v>32</v>
      </c>
      <c r="E69" s="20" t="s">
        <v>32</v>
      </c>
      <c r="F69" s="21" t="s">
        <v>32</v>
      </c>
      <c r="G69" s="21" t="s">
        <v>32</v>
      </c>
      <c r="H69" s="21" t="s">
        <v>31</v>
      </c>
      <c r="I69" s="21" t="s">
        <v>32</v>
      </c>
      <c r="J69" s="21" t="s">
        <v>32</v>
      </c>
      <c r="K69" s="21" t="s">
        <v>31</v>
      </c>
      <c r="L69" s="21" t="s">
        <v>32</v>
      </c>
      <c r="M69" s="21" t="s">
        <v>32</v>
      </c>
      <c r="N69" s="21" t="s">
        <v>32</v>
      </c>
      <c r="O69" s="21" t="s">
        <v>32</v>
      </c>
      <c r="P69" s="21" t="s">
        <v>32</v>
      </c>
      <c r="Q69" s="21" t="s">
        <v>32</v>
      </c>
      <c r="R69" s="21" t="s">
        <v>32</v>
      </c>
      <c r="S69" s="21" t="s">
        <v>32</v>
      </c>
      <c r="T69" s="21" t="s">
        <v>32</v>
      </c>
      <c r="U69" s="21" t="s">
        <v>32</v>
      </c>
      <c r="V69" s="21" t="s">
        <v>32</v>
      </c>
      <c r="W69" s="21" t="s">
        <v>32</v>
      </c>
      <c r="X69" s="21" t="s">
        <v>32</v>
      </c>
      <c r="Y69" s="21" t="s">
        <v>32</v>
      </c>
      <c r="Z69" s="22"/>
      <c r="AA69" s="22"/>
      <c r="AB69" s="22"/>
      <c r="AC69" s="23">
        <f t="shared" si="1"/>
        <v>20</v>
      </c>
      <c r="AD69" s="23">
        <f t="shared" si="2"/>
        <v>2</v>
      </c>
      <c r="AE69" s="23">
        <f t="shared" si="3"/>
        <v>22</v>
      </c>
      <c r="AF69" s="24">
        <f t="shared" si="4"/>
        <v>90.90909091</v>
      </c>
      <c r="AG69" s="26"/>
    </row>
    <row r="70" ht="15.75" customHeight="1">
      <c r="A70" s="17">
        <v>60.0</v>
      </c>
      <c r="B70" s="18" t="s">
        <v>149</v>
      </c>
      <c r="C70" s="25" t="s">
        <v>150</v>
      </c>
      <c r="D70" s="20" t="s">
        <v>32</v>
      </c>
      <c r="E70" s="20" t="s">
        <v>32</v>
      </c>
      <c r="F70" s="21" t="s">
        <v>32</v>
      </c>
      <c r="G70" s="21" t="s">
        <v>32</v>
      </c>
      <c r="H70" s="21" t="s">
        <v>32</v>
      </c>
      <c r="I70" s="21" t="s">
        <v>32</v>
      </c>
      <c r="J70" s="21" t="s">
        <v>32</v>
      </c>
      <c r="K70" s="21" t="s">
        <v>31</v>
      </c>
      <c r="L70" s="21" t="s">
        <v>31</v>
      </c>
      <c r="M70" s="21" t="s">
        <v>31</v>
      </c>
      <c r="N70" s="21" t="s">
        <v>32</v>
      </c>
      <c r="O70" s="21" t="s">
        <v>31</v>
      </c>
      <c r="P70" s="21" t="s">
        <v>31</v>
      </c>
      <c r="Q70" s="21" t="s">
        <v>31</v>
      </c>
      <c r="R70" s="21" t="s">
        <v>32</v>
      </c>
      <c r="S70" s="21" t="s">
        <v>32</v>
      </c>
      <c r="T70" s="21" t="s">
        <v>32</v>
      </c>
      <c r="U70" s="21" t="s">
        <v>32</v>
      </c>
      <c r="V70" s="21" t="s">
        <v>32</v>
      </c>
      <c r="W70" s="21" t="s">
        <v>32</v>
      </c>
      <c r="X70" s="21" t="s">
        <v>32</v>
      </c>
      <c r="Y70" s="21" t="s">
        <v>32</v>
      </c>
      <c r="Z70" s="22"/>
      <c r="AA70" s="22"/>
      <c r="AB70" s="22"/>
      <c r="AC70" s="23">
        <f t="shared" si="1"/>
        <v>16</v>
      </c>
      <c r="AD70" s="23">
        <f t="shared" si="2"/>
        <v>6</v>
      </c>
      <c r="AE70" s="23">
        <f t="shared" si="3"/>
        <v>22</v>
      </c>
      <c r="AF70" s="24">
        <f t="shared" si="4"/>
        <v>72.72727273</v>
      </c>
      <c r="AG70" s="26"/>
    </row>
    <row r="71" ht="15.75" customHeight="1">
      <c r="A71" s="17">
        <v>61.0</v>
      </c>
      <c r="B71" s="18" t="s">
        <v>151</v>
      </c>
      <c r="C71" s="25" t="s">
        <v>152</v>
      </c>
      <c r="D71" s="20" t="s">
        <v>32</v>
      </c>
      <c r="E71" s="20" t="s">
        <v>32</v>
      </c>
      <c r="F71" s="21" t="s">
        <v>32</v>
      </c>
      <c r="G71" s="21" t="s">
        <v>32</v>
      </c>
      <c r="H71" s="21" t="s">
        <v>32</v>
      </c>
      <c r="I71" s="21" t="s">
        <v>32</v>
      </c>
      <c r="J71" s="21" t="s">
        <v>32</v>
      </c>
      <c r="K71" s="21" t="s">
        <v>32</v>
      </c>
      <c r="L71" s="21" t="s">
        <v>32</v>
      </c>
      <c r="M71" s="21" t="s">
        <v>32</v>
      </c>
      <c r="N71" s="21" t="s">
        <v>32</v>
      </c>
      <c r="O71" s="21" t="s">
        <v>31</v>
      </c>
      <c r="P71" s="21" t="s">
        <v>31</v>
      </c>
      <c r="Q71" s="21" t="s">
        <v>32</v>
      </c>
      <c r="R71" s="21" t="s">
        <v>32</v>
      </c>
      <c r="S71" s="21" t="s">
        <v>32</v>
      </c>
      <c r="T71" s="21" t="s">
        <v>32</v>
      </c>
      <c r="U71" s="21" t="s">
        <v>32</v>
      </c>
      <c r="V71" s="21" t="s">
        <v>32</v>
      </c>
      <c r="W71" s="21" t="s">
        <v>32</v>
      </c>
      <c r="X71" s="21" t="s">
        <v>32</v>
      </c>
      <c r="Y71" s="21" t="s">
        <v>32</v>
      </c>
      <c r="Z71" s="22"/>
      <c r="AA71" s="22"/>
      <c r="AB71" s="22"/>
      <c r="AC71" s="23">
        <f t="shared" si="1"/>
        <v>20</v>
      </c>
      <c r="AD71" s="23">
        <f t="shared" si="2"/>
        <v>2</v>
      </c>
      <c r="AE71" s="23">
        <f t="shared" si="3"/>
        <v>22</v>
      </c>
      <c r="AF71" s="24">
        <f t="shared" si="4"/>
        <v>90.90909091</v>
      </c>
      <c r="AG71" s="26"/>
    </row>
    <row r="72" ht="15.75" customHeight="1">
      <c r="A72" s="17">
        <v>62.0</v>
      </c>
      <c r="B72" s="18" t="s">
        <v>153</v>
      </c>
      <c r="C72" s="25" t="s">
        <v>154</v>
      </c>
      <c r="D72" s="20" t="s">
        <v>32</v>
      </c>
      <c r="E72" s="20" t="s">
        <v>32</v>
      </c>
      <c r="F72" s="21" t="s">
        <v>32</v>
      </c>
      <c r="G72" s="21" t="s">
        <v>31</v>
      </c>
      <c r="H72" s="21" t="s">
        <v>32</v>
      </c>
      <c r="I72" s="21" t="s">
        <v>31</v>
      </c>
      <c r="J72" s="21" t="s">
        <v>31</v>
      </c>
      <c r="K72" s="21" t="s">
        <v>32</v>
      </c>
      <c r="L72" s="21" t="s">
        <v>32</v>
      </c>
      <c r="M72" s="21" t="s">
        <v>32</v>
      </c>
      <c r="N72" s="21" t="s">
        <v>32</v>
      </c>
      <c r="O72" s="21" t="s">
        <v>32</v>
      </c>
      <c r="P72" s="21" t="s">
        <v>31</v>
      </c>
      <c r="Q72" s="21" t="s">
        <v>32</v>
      </c>
      <c r="R72" s="21" t="s">
        <v>32</v>
      </c>
      <c r="S72" s="21" t="s">
        <v>32</v>
      </c>
      <c r="T72" s="21" t="s">
        <v>32</v>
      </c>
      <c r="U72" s="21" t="s">
        <v>32</v>
      </c>
      <c r="V72" s="21" t="s">
        <v>32</v>
      </c>
      <c r="W72" s="21" t="s">
        <v>32</v>
      </c>
      <c r="X72" s="21" t="s">
        <v>32</v>
      </c>
      <c r="Y72" s="21" t="s">
        <v>32</v>
      </c>
      <c r="Z72" s="22"/>
      <c r="AA72" s="22"/>
      <c r="AB72" s="22"/>
      <c r="AC72" s="23">
        <f t="shared" si="1"/>
        <v>18</v>
      </c>
      <c r="AD72" s="23">
        <f t="shared" si="2"/>
        <v>4</v>
      </c>
      <c r="AE72" s="23">
        <f t="shared" si="3"/>
        <v>22</v>
      </c>
      <c r="AF72" s="24">
        <f t="shared" si="4"/>
        <v>81.81818182</v>
      </c>
      <c r="AG72" s="26"/>
    </row>
    <row r="73" ht="15.75" customHeight="1">
      <c r="A73" s="17">
        <v>63.0</v>
      </c>
      <c r="B73" s="18" t="s">
        <v>155</v>
      </c>
      <c r="C73" s="25" t="s">
        <v>156</v>
      </c>
      <c r="D73" s="20" t="s">
        <v>32</v>
      </c>
      <c r="E73" s="20" t="s">
        <v>32</v>
      </c>
      <c r="F73" s="21" t="s">
        <v>32</v>
      </c>
      <c r="G73" s="21" t="s">
        <v>31</v>
      </c>
      <c r="H73" s="21" t="s">
        <v>32</v>
      </c>
      <c r="I73" s="21" t="s">
        <v>31</v>
      </c>
      <c r="J73" s="21" t="s">
        <v>31</v>
      </c>
      <c r="K73" s="21" t="s">
        <v>32</v>
      </c>
      <c r="L73" s="21" t="s">
        <v>32</v>
      </c>
      <c r="M73" s="21" t="s">
        <v>32</v>
      </c>
      <c r="N73" s="21" t="s">
        <v>32</v>
      </c>
      <c r="O73" s="21" t="s">
        <v>32</v>
      </c>
      <c r="P73" s="21" t="s">
        <v>31</v>
      </c>
      <c r="Q73" s="21" t="s">
        <v>32</v>
      </c>
      <c r="R73" s="21" t="s">
        <v>32</v>
      </c>
      <c r="S73" s="21" t="s">
        <v>32</v>
      </c>
      <c r="T73" s="21" t="s">
        <v>32</v>
      </c>
      <c r="U73" s="21" t="s">
        <v>32</v>
      </c>
      <c r="V73" s="21" t="s">
        <v>32</v>
      </c>
      <c r="W73" s="21" t="s">
        <v>32</v>
      </c>
      <c r="X73" s="21" t="s">
        <v>32</v>
      </c>
      <c r="Y73" s="21" t="s">
        <v>32</v>
      </c>
      <c r="Z73" s="22"/>
      <c r="AA73" s="22"/>
      <c r="AB73" s="22"/>
      <c r="AC73" s="23">
        <f t="shared" si="1"/>
        <v>18</v>
      </c>
      <c r="AD73" s="23">
        <f t="shared" si="2"/>
        <v>4</v>
      </c>
      <c r="AE73" s="23">
        <f t="shared" si="3"/>
        <v>22</v>
      </c>
      <c r="AF73" s="24">
        <f t="shared" si="4"/>
        <v>81.81818182</v>
      </c>
      <c r="AG73" s="26"/>
    </row>
    <row r="74" ht="15.75" customHeight="1">
      <c r="A74" s="17">
        <v>64.0</v>
      </c>
      <c r="B74" s="18" t="s">
        <v>157</v>
      </c>
      <c r="C74" s="25" t="s">
        <v>158</v>
      </c>
      <c r="D74" s="20" t="s">
        <v>32</v>
      </c>
      <c r="E74" s="20" t="s">
        <v>32</v>
      </c>
      <c r="F74" s="21" t="s">
        <v>32</v>
      </c>
      <c r="G74" s="21" t="s">
        <v>32</v>
      </c>
      <c r="H74" s="21" t="s">
        <v>32</v>
      </c>
      <c r="I74" s="21" t="s">
        <v>32</v>
      </c>
      <c r="J74" s="21" t="s">
        <v>32</v>
      </c>
      <c r="K74" s="21" t="s">
        <v>31</v>
      </c>
      <c r="L74" s="21" t="s">
        <v>32</v>
      </c>
      <c r="M74" s="21" t="s">
        <v>32</v>
      </c>
      <c r="N74" s="21" t="s">
        <v>32</v>
      </c>
      <c r="O74" s="21" t="s">
        <v>31</v>
      </c>
      <c r="P74" s="21" t="s">
        <v>31</v>
      </c>
      <c r="Q74" s="21" t="s">
        <v>31</v>
      </c>
      <c r="R74" s="21" t="s">
        <v>32</v>
      </c>
      <c r="S74" s="21" t="s">
        <v>32</v>
      </c>
      <c r="T74" s="21" t="s">
        <v>32</v>
      </c>
      <c r="U74" s="21" t="s">
        <v>32</v>
      </c>
      <c r="V74" s="21" t="s">
        <v>32</v>
      </c>
      <c r="W74" s="21" t="s">
        <v>32</v>
      </c>
      <c r="X74" s="21" t="s">
        <v>32</v>
      </c>
      <c r="Y74" s="21" t="s">
        <v>32</v>
      </c>
      <c r="Z74" s="22"/>
      <c r="AA74" s="22"/>
      <c r="AB74" s="22"/>
      <c r="AC74" s="23">
        <f t="shared" si="1"/>
        <v>18</v>
      </c>
      <c r="AD74" s="23">
        <f t="shared" si="2"/>
        <v>4</v>
      </c>
      <c r="AE74" s="23">
        <f t="shared" si="3"/>
        <v>22</v>
      </c>
      <c r="AF74" s="24">
        <f t="shared" si="4"/>
        <v>81.81818182</v>
      </c>
      <c r="AG74" s="26"/>
    </row>
    <row r="75" ht="15.75" customHeight="1">
      <c r="A75" s="17">
        <v>65.0</v>
      </c>
      <c r="B75" s="18" t="s">
        <v>159</v>
      </c>
      <c r="C75" s="25" t="s">
        <v>160</v>
      </c>
      <c r="D75" s="20" t="s">
        <v>32</v>
      </c>
      <c r="E75" s="20" t="s">
        <v>32</v>
      </c>
      <c r="F75" s="21" t="s">
        <v>32</v>
      </c>
      <c r="G75" s="21" t="s">
        <v>32</v>
      </c>
      <c r="H75" s="21" t="s">
        <v>32</v>
      </c>
      <c r="I75" s="21" t="s">
        <v>32</v>
      </c>
      <c r="J75" s="21" t="s">
        <v>32</v>
      </c>
      <c r="K75" s="21" t="s">
        <v>31</v>
      </c>
      <c r="L75" s="21" t="s">
        <v>32</v>
      </c>
      <c r="M75" s="21" t="s">
        <v>32</v>
      </c>
      <c r="N75" s="21" t="s">
        <v>32</v>
      </c>
      <c r="O75" s="21" t="s">
        <v>32</v>
      </c>
      <c r="P75" s="21" t="s">
        <v>31</v>
      </c>
      <c r="Q75" s="21" t="s">
        <v>31</v>
      </c>
      <c r="R75" s="21" t="s">
        <v>32</v>
      </c>
      <c r="S75" s="21" t="s">
        <v>32</v>
      </c>
      <c r="T75" s="21" t="s">
        <v>32</v>
      </c>
      <c r="U75" s="21" t="s">
        <v>32</v>
      </c>
      <c r="V75" s="21" t="s">
        <v>32</v>
      </c>
      <c r="W75" s="21" t="s">
        <v>32</v>
      </c>
      <c r="X75" s="21" t="s">
        <v>32</v>
      </c>
      <c r="Y75" s="21" t="s">
        <v>32</v>
      </c>
      <c r="Z75" s="22"/>
      <c r="AA75" s="22"/>
      <c r="AB75" s="22"/>
      <c r="AC75" s="23">
        <f t="shared" si="1"/>
        <v>19</v>
      </c>
      <c r="AD75" s="23">
        <f t="shared" si="2"/>
        <v>3</v>
      </c>
      <c r="AE75" s="23">
        <f t="shared" si="3"/>
        <v>22</v>
      </c>
      <c r="AF75" s="24">
        <f t="shared" si="4"/>
        <v>86.36363636</v>
      </c>
      <c r="AG75" s="26"/>
    </row>
    <row r="76" ht="15.75" customHeight="1">
      <c r="A76" s="17">
        <v>66.0</v>
      </c>
      <c r="B76" s="18" t="s">
        <v>161</v>
      </c>
      <c r="C76" s="25" t="s">
        <v>162</v>
      </c>
      <c r="D76" s="20" t="s">
        <v>32</v>
      </c>
      <c r="E76" s="20" t="s">
        <v>32</v>
      </c>
      <c r="F76" s="21" t="s">
        <v>31</v>
      </c>
      <c r="G76" s="21" t="s">
        <v>31</v>
      </c>
      <c r="H76" s="21" t="s">
        <v>32</v>
      </c>
      <c r="I76" s="21" t="s">
        <v>32</v>
      </c>
      <c r="J76" s="21" t="s">
        <v>32</v>
      </c>
      <c r="K76" s="21" t="s">
        <v>32</v>
      </c>
      <c r="L76" s="21" t="s">
        <v>32</v>
      </c>
      <c r="M76" s="21" t="s">
        <v>32</v>
      </c>
      <c r="N76" s="21" t="s">
        <v>32</v>
      </c>
      <c r="O76" s="21" t="s">
        <v>32</v>
      </c>
      <c r="P76" s="21" t="s">
        <v>32</v>
      </c>
      <c r="Q76" s="21" t="s">
        <v>32</v>
      </c>
      <c r="R76" s="21" t="s">
        <v>32</v>
      </c>
      <c r="S76" s="21" t="s">
        <v>32</v>
      </c>
      <c r="T76" s="21" t="s">
        <v>32</v>
      </c>
      <c r="U76" s="21" t="s">
        <v>32</v>
      </c>
      <c r="V76" s="21" t="s">
        <v>32</v>
      </c>
      <c r="W76" s="21" t="s">
        <v>32</v>
      </c>
      <c r="X76" s="21" t="s">
        <v>32</v>
      </c>
      <c r="Y76" s="21" t="s">
        <v>32</v>
      </c>
      <c r="Z76" s="22"/>
      <c r="AA76" s="22"/>
      <c r="AB76" s="22"/>
      <c r="AC76" s="23">
        <f t="shared" si="1"/>
        <v>20</v>
      </c>
      <c r="AD76" s="23">
        <f t="shared" si="2"/>
        <v>2</v>
      </c>
      <c r="AE76" s="23">
        <f t="shared" si="3"/>
        <v>22</v>
      </c>
      <c r="AF76" s="24">
        <f t="shared" si="4"/>
        <v>90.90909091</v>
      </c>
      <c r="AG76" s="26"/>
    </row>
    <row r="77" ht="15.75" customHeight="1">
      <c r="A77" s="17">
        <v>67.0</v>
      </c>
      <c r="B77" s="18" t="s">
        <v>163</v>
      </c>
      <c r="C77" s="25" t="s">
        <v>164</v>
      </c>
      <c r="D77" s="20" t="s">
        <v>32</v>
      </c>
      <c r="E77" s="20" t="s">
        <v>32</v>
      </c>
      <c r="F77" s="21" t="s">
        <v>31</v>
      </c>
      <c r="G77" s="21" t="s">
        <v>32</v>
      </c>
      <c r="H77" s="21" t="s">
        <v>31</v>
      </c>
      <c r="I77" s="21" t="s">
        <v>32</v>
      </c>
      <c r="J77" s="21" t="s">
        <v>32</v>
      </c>
      <c r="K77" s="21" t="s">
        <v>32</v>
      </c>
      <c r="L77" s="21" t="s">
        <v>32</v>
      </c>
      <c r="M77" s="21" t="s">
        <v>32</v>
      </c>
      <c r="N77" s="21" t="s">
        <v>32</v>
      </c>
      <c r="O77" s="21" t="s">
        <v>32</v>
      </c>
      <c r="P77" s="21" t="s">
        <v>31</v>
      </c>
      <c r="Q77" s="21" t="s">
        <v>31</v>
      </c>
      <c r="R77" s="21" t="s">
        <v>32</v>
      </c>
      <c r="S77" s="21" t="s">
        <v>32</v>
      </c>
      <c r="T77" s="21" t="s">
        <v>32</v>
      </c>
      <c r="U77" s="21" t="s">
        <v>32</v>
      </c>
      <c r="V77" s="21" t="s">
        <v>32</v>
      </c>
      <c r="W77" s="21" t="s">
        <v>32</v>
      </c>
      <c r="X77" s="21" t="s">
        <v>32</v>
      </c>
      <c r="Y77" s="21" t="s">
        <v>32</v>
      </c>
      <c r="Z77" s="22"/>
      <c r="AA77" s="22"/>
      <c r="AB77" s="22"/>
      <c r="AC77" s="23">
        <f t="shared" si="1"/>
        <v>18</v>
      </c>
      <c r="AD77" s="23">
        <f t="shared" si="2"/>
        <v>4</v>
      </c>
      <c r="AE77" s="23">
        <f t="shared" si="3"/>
        <v>22</v>
      </c>
      <c r="AF77" s="24">
        <f t="shared" si="4"/>
        <v>81.81818182</v>
      </c>
      <c r="AG77" s="26"/>
    </row>
    <row r="78" ht="15.75" customHeight="1">
      <c r="A78" s="17">
        <v>68.0</v>
      </c>
      <c r="B78" s="18" t="s">
        <v>165</v>
      </c>
      <c r="C78" s="25" t="s">
        <v>166</v>
      </c>
      <c r="D78" s="20" t="s">
        <v>32</v>
      </c>
      <c r="E78" s="20" t="s">
        <v>32</v>
      </c>
      <c r="F78" s="21" t="s">
        <v>32</v>
      </c>
      <c r="G78" s="21" t="s">
        <v>32</v>
      </c>
      <c r="H78" s="21" t="s">
        <v>31</v>
      </c>
      <c r="I78" s="21" t="s">
        <v>32</v>
      </c>
      <c r="J78" s="21" t="s">
        <v>32</v>
      </c>
      <c r="K78" s="21" t="s">
        <v>31</v>
      </c>
      <c r="L78" s="21" t="s">
        <v>32</v>
      </c>
      <c r="M78" s="21" t="s">
        <v>32</v>
      </c>
      <c r="N78" s="21" t="s">
        <v>32</v>
      </c>
      <c r="O78" s="21" t="s">
        <v>31</v>
      </c>
      <c r="P78" s="21" t="s">
        <v>32</v>
      </c>
      <c r="Q78" s="21" t="s">
        <v>32</v>
      </c>
      <c r="R78" s="21" t="s">
        <v>32</v>
      </c>
      <c r="S78" s="21" t="s">
        <v>32</v>
      </c>
      <c r="T78" s="21" t="s">
        <v>32</v>
      </c>
      <c r="U78" s="21" t="s">
        <v>32</v>
      </c>
      <c r="V78" s="21" t="s">
        <v>32</v>
      </c>
      <c r="W78" s="21" t="s">
        <v>32</v>
      </c>
      <c r="X78" s="21" t="s">
        <v>32</v>
      </c>
      <c r="Y78" s="21" t="s">
        <v>32</v>
      </c>
      <c r="Z78" s="22"/>
      <c r="AA78" s="22"/>
      <c r="AB78" s="22"/>
      <c r="AC78" s="23">
        <f t="shared" si="1"/>
        <v>19</v>
      </c>
      <c r="AD78" s="23">
        <f t="shared" si="2"/>
        <v>3</v>
      </c>
      <c r="AE78" s="23">
        <f t="shared" si="3"/>
        <v>22</v>
      </c>
      <c r="AF78" s="24">
        <f t="shared" si="4"/>
        <v>86.36363636</v>
      </c>
      <c r="AG78" s="26"/>
    </row>
    <row r="79" ht="15.75" customHeight="1">
      <c r="A79" s="17">
        <v>69.0</v>
      </c>
      <c r="B79" s="27" t="s">
        <v>167</v>
      </c>
      <c r="C79" s="25" t="s">
        <v>168</v>
      </c>
      <c r="D79" s="20" t="s">
        <v>32</v>
      </c>
      <c r="E79" s="20" t="s">
        <v>32</v>
      </c>
      <c r="F79" s="21" t="s">
        <v>32</v>
      </c>
      <c r="G79" s="21" t="s">
        <v>32</v>
      </c>
      <c r="H79" s="21" t="s">
        <v>32</v>
      </c>
      <c r="I79" s="21" t="s">
        <v>31</v>
      </c>
      <c r="J79" s="21" t="s">
        <v>31</v>
      </c>
      <c r="K79" s="21" t="s">
        <v>32</v>
      </c>
      <c r="L79" s="21" t="s">
        <v>32</v>
      </c>
      <c r="M79" s="21" t="s">
        <v>32</v>
      </c>
      <c r="N79" s="21" t="s">
        <v>32</v>
      </c>
      <c r="O79" s="21" t="s">
        <v>32</v>
      </c>
      <c r="P79" s="21" t="s">
        <v>32</v>
      </c>
      <c r="Q79" s="21" t="s">
        <v>32</v>
      </c>
      <c r="R79" s="21" t="s">
        <v>32</v>
      </c>
      <c r="S79" s="21" t="s">
        <v>32</v>
      </c>
      <c r="T79" s="21" t="s">
        <v>32</v>
      </c>
      <c r="U79" s="21" t="s">
        <v>32</v>
      </c>
      <c r="V79" s="21" t="s">
        <v>32</v>
      </c>
      <c r="W79" s="21" t="s">
        <v>32</v>
      </c>
      <c r="X79" s="21" t="s">
        <v>32</v>
      </c>
      <c r="Y79" s="21" t="s">
        <v>32</v>
      </c>
      <c r="Z79" s="22"/>
      <c r="AA79" s="22"/>
      <c r="AB79" s="22"/>
      <c r="AC79" s="23">
        <f t="shared" si="1"/>
        <v>20</v>
      </c>
      <c r="AD79" s="23">
        <f t="shared" si="2"/>
        <v>2</v>
      </c>
      <c r="AE79" s="23">
        <f t="shared" si="3"/>
        <v>22</v>
      </c>
      <c r="AF79" s="24">
        <f t="shared" si="4"/>
        <v>90.90909091</v>
      </c>
      <c r="AG79" s="26"/>
    </row>
    <row r="80" ht="15.75" customHeight="1">
      <c r="A80" s="17">
        <v>70.0</v>
      </c>
      <c r="B80" s="28" t="s">
        <v>169</v>
      </c>
      <c r="C80" s="25" t="s">
        <v>170</v>
      </c>
      <c r="D80" s="20" t="s">
        <v>32</v>
      </c>
      <c r="E80" s="20" t="s">
        <v>32</v>
      </c>
      <c r="F80" s="21" t="s">
        <v>32</v>
      </c>
      <c r="G80" s="21" t="s">
        <v>32</v>
      </c>
      <c r="H80" s="21" t="s">
        <v>31</v>
      </c>
      <c r="I80" s="21" t="s">
        <v>31</v>
      </c>
      <c r="J80" s="21" t="s">
        <v>31</v>
      </c>
      <c r="K80" s="21" t="s">
        <v>32</v>
      </c>
      <c r="L80" s="21" t="s">
        <v>32</v>
      </c>
      <c r="M80" s="21" t="s">
        <v>32</v>
      </c>
      <c r="N80" s="21" t="s">
        <v>32</v>
      </c>
      <c r="O80" s="21" t="s">
        <v>32</v>
      </c>
      <c r="P80" s="21" t="s">
        <v>32</v>
      </c>
      <c r="Q80" s="21" t="s">
        <v>32</v>
      </c>
      <c r="R80" s="21" t="s">
        <v>31</v>
      </c>
      <c r="S80" s="21" t="s">
        <v>32</v>
      </c>
      <c r="T80" s="21" t="s">
        <v>32</v>
      </c>
      <c r="U80" s="21" t="s">
        <v>32</v>
      </c>
      <c r="V80" s="21" t="s">
        <v>32</v>
      </c>
      <c r="W80" s="21" t="s">
        <v>32</v>
      </c>
      <c r="X80" s="21" t="s">
        <v>32</v>
      </c>
      <c r="Y80" s="21" t="s">
        <v>32</v>
      </c>
      <c r="Z80" s="22"/>
      <c r="AA80" s="22"/>
      <c r="AB80" s="22"/>
      <c r="AC80" s="23">
        <f t="shared" si="1"/>
        <v>18</v>
      </c>
      <c r="AD80" s="23">
        <f t="shared" si="2"/>
        <v>4</v>
      </c>
      <c r="AE80" s="23">
        <f t="shared" si="3"/>
        <v>22</v>
      </c>
      <c r="AF80" s="24">
        <f t="shared" si="4"/>
        <v>81.81818182</v>
      </c>
      <c r="AG80" s="26"/>
    </row>
    <row r="81" ht="15.75" customHeight="1">
      <c r="A81" s="17">
        <v>71.0</v>
      </c>
      <c r="B81" s="29" t="s">
        <v>171</v>
      </c>
      <c r="C81" s="25" t="s">
        <v>172</v>
      </c>
      <c r="D81" s="20" t="s">
        <v>32</v>
      </c>
      <c r="E81" s="20" t="s">
        <v>32</v>
      </c>
      <c r="F81" s="30" t="s">
        <v>32</v>
      </c>
      <c r="G81" s="30" t="s">
        <v>32</v>
      </c>
      <c r="H81" s="30" t="s">
        <v>32</v>
      </c>
      <c r="I81" s="30" t="s">
        <v>32</v>
      </c>
      <c r="J81" s="30" t="s">
        <v>32</v>
      </c>
      <c r="K81" s="30" t="s">
        <v>32</v>
      </c>
      <c r="L81" s="30" t="s">
        <v>31</v>
      </c>
      <c r="M81" s="30" t="s">
        <v>31</v>
      </c>
      <c r="N81" s="30" t="s">
        <v>32</v>
      </c>
      <c r="O81" s="21" t="s">
        <v>32</v>
      </c>
      <c r="P81" s="21" t="s">
        <v>31</v>
      </c>
      <c r="Q81" s="21" t="s">
        <v>31</v>
      </c>
      <c r="R81" s="21" t="s">
        <v>32</v>
      </c>
      <c r="S81" s="21" t="s">
        <v>32</v>
      </c>
      <c r="T81" s="21" t="s">
        <v>32</v>
      </c>
      <c r="U81" s="21" t="s">
        <v>32</v>
      </c>
      <c r="V81" s="21" t="s">
        <v>32</v>
      </c>
      <c r="W81" s="21" t="s">
        <v>31</v>
      </c>
      <c r="X81" s="21" t="s">
        <v>31</v>
      </c>
      <c r="Y81" s="21" t="s">
        <v>31</v>
      </c>
      <c r="Z81" s="22"/>
      <c r="AA81" s="22"/>
      <c r="AB81" s="22"/>
      <c r="AC81" s="23">
        <f t="shared" si="1"/>
        <v>15</v>
      </c>
      <c r="AD81" s="23">
        <f t="shared" si="2"/>
        <v>7</v>
      </c>
      <c r="AE81" s="23">
        <f t="shared" si="3"/>
        <v>22</v>
      </c>
      <c r="AF81" s="24">
        <f t="shared" si="4"/>
        <v>68.18181818</v>
      </c>
      <c r="AG81" s="26"/>
    </row>
    <row r="82" ht="15.75" customHeight="1">
      <c r="A82" s="17">
        <v>72.0</v>
      </c>
      <c r="B82" s="18" t="s">
        <v>173</v>
      </c>
      <c r="C82" s="25" t="s">
        <v>174</v>
      </c>
      <c r="D82" s="20" t="s">
        <v>32</v>
      </c>
      <c r="E82" s="20" t="s">
        <v>32</v>
      </c>
      <c r="F82" s="30" t="s">
        <v>32</v>
      </c>
      <c r="G82" s="30" t="s">
        <v>32</v>
      </c>
      <c r="H82" s="30" t="s">
        <v>32</v>
      </c>
      <c r="I82" s="30" t="s">
        <v>32</v>
      </c>
      <c r="J82" s="30" t="s">
        <v>32</v>
      </c>
      <c r="K82" s="30" t="s">
        <v>31</v>
      </c>
      <c r="L82" s="30" t="s">
        <v>32</v>
      </c>
      <c r="M82" s="30" t="s">
        <v>32</v>
      </c>
      <c r="N82" s="30" t="s">
        <v>31</v>
      </c>
      <c r="O82" s="21" t="s">
        <v>32</v>
      </c>
      <c r="P82" s="21" t="s">
        <v>32</v>
      </c>
      <c r="Q82" s="21" t="s">
        <v>32</v>
      </c>
      <c r="R82" s="21" t="s">
        <v>32</v>
      </c>
      <c r="S82" s="21" t="s">
        <v>32</v>
      </c>
      <c r="T82" s="21" t="s">
        <v>32</v>
      </c>
      <c r="U82" s="21" t="s">
        <v>31</v>
      </c>
      <c r="V82" s="21" t="s">
        <v>31</v>
      </c>
      <c r="W82" s="21" t="s">
        <v>32</v>
      </c>
      <c r="X82" s="21" t="s">
        <v>32</v>
      </c>
      <c r="Y82" s="21" t="s">
        <v>32</v>
      </c>
      <c r="Z82" s="22"/>
      <c r="AA82" s="22"/>
      <c r="AB82" s="22"/>
      <c r="AC82" s="23">
        <f t="shared" si="1"/>
        <v>18</v>
      </c>
      <c r="AD82" s="23">
        <f t="shared" si="2"/>
        <v>4</v>
      </c>
      <c r="AE82" s="23">
        <f t="shared" si="3"/>
        <v>22</v>
      </c>
      <c r="AF82" s="24">
        <f t="shared" si="4"/>
        <v>81.81818182</v>
      </c>
      <c r="AG82" s="26"/>
    </row>
    <row r="83" ht="15.75" customHeight="1">
      <c r="A83" s="17">
        <v>73.0</v>
      </c>
      <c r="B83" s="18" t="s">
        <v>175</v>
      </c>
      <c r="C83" s="25" t="s">
        <v>176</v>
      </c>
      <c r="D83" s="20" t="s">
        <v>32</v>
      </c>
      <c r="E83" s="20" t="s">
        <v>32</v>
      </c>
      <c r="F83" s="20"/>
      <c r="G83" s="20"/>
      <c r="H83" s="20"/>
      <c r="I83" s="20"/>
      <c r="J83" s="20"/>
      <c r="K83" s="20"/>
      <c r="L83" s="20"/>
      <c r="M83" s="20"/>
      <c r="N83" s="20"/>
      <c r="O83" s="22"/>
      <c r="P83" s="20"/>
      <c r="Q83" s="20"/>
      <c r="R83" s="20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3">
        <f t="shared" si="1"/>
        <v>2</v>
      </c>
      <c r="AD83" s="23">
        <f t="shared" si="2"/>
        <v>0</v>
      </c>
      <c r="AE83" s="23">
        <f t="shared" si="3"/>
        <v>2</v>
      </c>
      <c r="AF83" s="24">
        <f t="shared" si="4"/>
        <v>100</v>
      </c>
      <c r="AG83" s="26"/>
    </row>
    <row r="84" ht="15.75" customHeight="1">
      <c r="A84" s="17">
        <v>74.0</v>
      </c>
      <c r="B84" s="18" t="s">
        <v>177</v>
      </c>
      <c r="C84" s="25" t="s">
        <v>178</v>
      </c>
      <c r="D84" s="20" t="s">
        <v>32</v>
      </c>
      <c r="E84" s="20" t="s">
        <v>32</v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2"/>
      <c r="U84" s="22"/>
      <c r="V84" s="22"/>
      <c r="W84" s="22"/>
      <c r="X84" s="22"/>
      <c r="Y84" s="22"/>
      <c r="Z84" s="22"/>
      <c r="AA84" s="22"/>
      <c r="AB84" s="22"/>
      <c r="AC84" s="23">
        <f t="shared" si="1"/>
        <v>2</v>
      </c>
      <c r="AD84" s="23">
        <f t="shared" si="2"/>
        <v>0</v>
      </c>
      <c r="AE84" s="23">
        <f t="shared" si="3"/>
        <v>2</v>
      </c>
      <c r="AF84" s="24">
        <f t="shared" si="4"/>
        <v>100</v>
      </c>
      <c r="AG84" s="26"/>
    </row>
    <row r="85" ht="15.75" customHeight="1">
      <c r="A85" s="17"/>
      <c r="B85" s="18"/>
      <c r="C85" s="25"/>
      <c r="D85" s="20"/>
      <c r="E85" s="20"/>
      <c r="F85" s="22"/>
      <c r="G85" s="22"/>
      <c r="H85" s="20"/>
      <c r="I85" s="22"/>
      <c r="J85" s="31"/>
      <c r="K85" s="31"/>
      <c r="L85" s="22"/>
      <c r="M85" s="20"/>
      <c r="N85" s="22"/>
      <c r="O85" s="22"/>
      <c r="P85" s="20"/>
      <c r="Q85" s="22"/>
      <c r="R85" s="22"/>
      <c r="S85" s="20"/>
      <c r="T85" s="20"/>
      <c r="U85" s="22"/>
      <c r="V85" s="22"/>
      <c r="W85" s="22"/>
      <c r="X85" s="22"/>
      <c r="Y85" s="22"/>
      <c r="Z85" s="22"/>
      <c r="AA85" s="22"/>
      <c r="AB85" s="22"/>
      <c r="AC85" s="23"/>
      <c r="AD85" s="23"/>
      <c r="AE85" s="23"/>
      <c r="AF85" s="32"/>
      <c r="AG85" s="26"/>
    </row>
    <row r="86" ht="15.75" customHeight="1">
      <c r="A86" s="17"/>
      <c r="B86" s="18"/>
      <c r="C86" s="25"/>
      <c r="D86" s="20"/>
      <c r="E86" s="20"/>
      <c r="F86" s="22"/>
      <c r="G86" s="22"/>
      <c r="H86" s="20"/>
      <c r="I86" s="22"/>
      <c r="J86" s="31"/>
      <c r="K86" s="33"/>
      <c r="L86" s="22"/>
      <c r="M86" s="20"/>
      <c r="N86" s="20"/>
      <c r="O86" s="20"/>
      <c r="P86" s="20"/>
      <c r="Q86" s="22"/>
      <c r="R86" s="22"/>
      <c r="S86" s="20"/>
      <c r="T86" s="20"/>
      <c r="U86" s="22"/>
      <c r="V86" s="22"/>
      <c r="W86" s="22"/>
      <c r="X86" s="22"/>
      <c r="Y86" s="22"/>
      <c r="Z86" s="22"/>
      <c r="AA86" s="22"/>
      <c r="AB86" s="22"/>
      <c r="AC86" s="23"/>
      <c r="AD86" s="23"/>
      <c r="AE86" s="23"/>
      <c r="AF86" s="32"/>
      <c r="AG86" s="26"/>
    </row>
    <row r="87" ht="15.75" customHeight="1">
      <c r="B87" s="34"/>
      <c r="C87" s="34"/>
      <c r="K87" s="7"/>
    </row>
    <row r="88" ht="15.75" customHeight="1">
      <c r="B88" s="34"/>
      <c r="C88" s="35" t="s">
        <v>179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>
        <f t="shared" ref="T88:U88" si="5">COUNTIF(T11:T87,"P") + COUNTIF(T11:T87, "1")</f>
        <v>60</v>
      </c>
      <c r="U88" s="36">
        <f t="shared" si="5"/>
        <v>60</v>
      </c>
      <c r="V88" s="36"/>
      <c r="W88" s="36">
        <f t="shared" ref="W88:AB88" si="6">COUNTIF(W11:W87,"P") + COUNTIF(W11:W87, "1")</f>
        <v>66</v>
      </c>
      <c r="X88" s="36">
        <f t="shared" si="6"/>
        <v>66</v>
      </c>
      <c r="Y88" s="36">
        <f t="shared" si="6"/>
        <v>66</v>
      </c>
      <c r="Z88" s="36">
        <f t="shared" si="6"/>
        <v>0</v>
      </c>
      <c r="AA88" s="36">
        <f t="shared" si="6"/>
        <v>0</v>
      </c>
      <c r="AB88" s="36">
        <f t="shared" si="6"/>
        <v>0</v>
      </c>
    </row>
    <row r="89" ht="15.75" customHeight="1">
      <c r="B89" s="34"/>
      <c r="C89" s="37" t="s">
        <v>180</v>
      </c>
      <c r="D89" s="38">
        <f t="shared" ref="D89:U89" si="7">COUNTIF(D11:D87,"A") + COUNTIF(D11:D87, "1")</f>
        <v>6</v>
      </c>
      <c r="E89" s="38">
        <f t="shared" si="7"/>
        <v>1</v>
      </c>
      <c r="F89" s="38">
        <f t="shared" si="7"/>
        <v>11</v>
      </c>
      <c r="G89" s="38">
        <f t="shared" si="7"/>
        <v>13</v>
      </c>
      <c r="H89" s="38">
        <f t="shared" si="7"/>
        <v>11</v>
      </c>
      <c r="I89" s="38">
        <f t="shared" si="7"/>
        <v>25</v>
      </c>
      <c r="J89" s="38">
        <f t="shared" si="7"/>
        <v>25</v>
      </c>
      <c r="K89" s="38">
        <f t="shared" si="7"/>
        <v>26</v>
      </c>
      <c r="L89" s="38">
        <f t="shared" si="7"/>
        <v>15</v>
      </c>
      <c r="M89" s="38">
        <f t="shared" si="7"/>
        <v>15</v>
      </c>
      <c r="N89" s="38">
        <f t="shared" si="7"/>
        <v>5</v>
      </c>
      <c r="O89" s="38">
        <f t="shared" si="7"/>
        <v>20</v>
      </c>
      <c r="P89" s="38">
        <f t="shared" si="7"/>
        <v>27</v>
      </c>
      <c r="Q89" s="38">
        <f t="shared" si="7"/>
        <v>24</v>
      </c>
      <c r="R89" s="38">
        <f t="shared" si="7"/>
        <v>12</v>
      </c>
      <c r="S89" s="38">
        <f t="shared" si="7"/>
        <v>11</v>
      </c>
      <c r="T89" s="38">
        <f t="shared" si="7"/>
        <v>12</v>
      </c>
      <c r="U89" s="38">
        <f t="shared" si="7"/>
        <v>12</v>
      </c>
      <c r="V89" s="38"/>
      <c r="W89" s="38">
        <f t="shared" ref="W89:AB89" si="8">COUNTIF(W11:W87,"A") + COUNTIF(W11:W87, "1")</f>
        <v>6</v>
      </c>
      <c r="X89" s="38">
        <f t="shared" si="8"/>
        <v>6</v>
      </c>
      <c r="Y89" s="38">
        <f t="shared" si="8"/>
        <v>6</v>
      </c>
      <c r="Z89" s="38">
        <f t="shared" si="8"/>
        <v>0</v>
      </c>
      <c r="AA89" s="38">
        <f t="shared" si="8"/>
        <v>0</v>
      </c>
      <c r="AB89" s="38">
        <f t="shared" si="8"/>
        <v>0</v>
      </c>
    </row>
    <row r="90" ht="15.75" customHeight="1">
      <c r="B90" s="34"/>
      <c r="C90" s="34"/>
      <c r="K90" s="7"/>
    </row>
    <row r="91" ht="15.75" customHeight="1">
      <c r="B91" s="34"/>
      <c r="C91" s="34"/>
      <c r="K91" s="7"/>
    </row>
    <row r="92" ht="15.75" customHeight="1">
      <c r="B92" s="34"/>
      <c r="C92" s="34"/>
      <c r="K92" s="7"/>
    </row>
    <row r="93" ht="15.75" customHeight="1">
      <c r="C93" s="6"/>
      <c r="K93" s="7"/>
    </row>
    <row r="94" ht="15.75" customHeight="1">
      <c r="C94" s="6"/>
      <c r="K94" s="7"/>
    </row>
    <row r="95" ht="15.75" customHeight="1">
      <c r="C95" s="6"/>
      <c r="K95" s="7"/>
    </row>
    <row r="96" ht="15.75" customHeight="1">
      <c r="C96" s="6"/>
      <c r="K96" s="7"/>
    </row>
    <row r="97" ht="15.75" customHeight="1">
      <c r="C97" s="6"/>
      <c r="K97" s="7"/>
    </row>
    <row r="98" ht="15.75" customHeight="1">
      <c r="C98" s="6"/>
      <c r="K98" s="7"/>
    </row>
    <row r="99" ht="15.75" customHeight="1">
      <c r="C99" s="6"/>
      <c r="K99" s="7"/>
    </row>
    <row r="100" ht="15.75" customHeight="1">
      <c r="C100" s="6"/>
      <c r="K100" s="7"/>
    </row>
    <row r="101" ht="15.75" customHeight="1">
      <c r="C101" s="6"/>
      <c r="K101" s="7"/>
    </row>
    <row r="102" ht="15.75" customHeight="1">
      <c r="C102" s="6"/>
      <c r="K102" s="7"/>
    </row>
    <row r="103" ht="15.75" customHeight="1">
      <c r="C103" s="6"/>
      <c r="K103" s="7"/>
    </row>
    <row r="104" ht="15.75" customHeight="1">
      <c r="C104" s="6"/>
      <c r="K104" s="7"/>
    </row>
    <row r="105" ht="15.75" customHeight="1">
      <c r="C105" s="6"/>
      <c r="K105" s="7"/>
    </row>
    <row r="106" ht="15.75" customHeight="1">
      <c r="C106" s="6"/>
      <c r="K106" s="7"/>
    </row>
    <row r="107" ht="15.75" customHeight="1">
      <c r="C107" s="6"/>
      <c r="K107" s="7"/>
    </row>
    <row r="108" ht="15.75" customHeight="1">
      <c r="C108" s="6"/>
      <c r="K108" s="7"/>
    </row>
    <row r="109" ht="15.75" customHeight="1">
      <c r="C109" s="6"/>
      <c r="K109" s="7"/>
    </row>
    <row r="110" ht="15.75" customHeight="1">
      <c r="C110" s="6"/>
      <c r="K110" s="7"/>
    </row>
    <row r="111" ht="15.75" customHeight="1">
      <c r="C111" s="6"/>
      <c r="K111" s="7"/>
    </row>
    <row r="112" ht="15.75" customHeight="1">
      <c r="C112" s="6"/>
      <c r="K112" s="7"/>
    </row>
    <row r="113" ht="15.75" customHeight="1">
      <c r="C113" s="6"/>
      <c r="K113" s="7"/>
    </row>
    <row r="114" ht="15.75" customHeight="1">
      <c r="C114" s="6"/>
      <c r="K114" s="7"/>
    </row>
    <row r="115" ht="15.75" customHeight="1">
      <c r="C115" s="6"/>
      <c r="K115" s="7"/>
    </row>
    <row r="116" ht="15.75" customHeight="1">
      <c r="C116" s="6"/>
      <c r="K116" s="7"/>
    </row>
    <row r="117" ht="15.75" customHeight="1">
      <c r="C117" s="6"/>
      <c r="K117" s="7"/>
    </row>
    <row r="118" ht="15.75" customHeight="1">
      <c r="C118" s="6"/>
      <c r="K118" s="7"/>
    </row>
    <row r="119" ht="15.75" customHeight="1">
      <c r="C119" s="6"/>
      <c r="K119" s="7"/>
    </row>
    <row r="120" ht="15.75" customHeight="1">
      <c r="C120" s="6"/>
      <c r="K120" s="7"/>
    </row>
    <row r="121" ht="15.75" customHeight="1">
      <c r="C121" s="6"/>
      <c r="K121" s="7"/>
    </row>
    <row r="122" ht="15.75" customHeight="1">
      <c r="C122" s="6"/>
      <c r="K122" s="7"/>
    </row>
    <row r="123" ht="15.75" customHeight="1">
      <c r="C123" s="6"/>
      <c r="K123" s="7"/>
    </row>
    <row r="124" ht="15.75" customHeight="1">
      <c r="C124" s="6"/>
      <c r="K124" s="7"/>
    </row>
    <row r="125" ht="15.75" customHeight="1">
      <c r="C125" s="6"/>
      <c r="K125" s="7"/>
    </row>
    <row r="126" ht="15.75" customHeight="1">
      <c r="C126" s="6"/>
      <c r="K126" s="7"/>
    </row>
    <row r="127" ht="15.75" customHeight="1">
      <c r="C127" s="6"/>
      <c r="K127" s="7"/>
    </row>
    <row r="128" ht="15.75" customHeight="1">
      <c r="C128" s="6"/>
      <c r="K128" s="7"/>
    </row>
    <row r="129" ht="15.75" customHeight="1">
      <c r="C129" s="6"/>
      <c r="K129" s="7"/>
    </row>
    <row r="130" ht="15.75" customHeight="1">
      <c r="C130" s="6"/>
      <c r="K130" s="7"/>
    </row>
    <row r="131" ht="15.75" customHeight="1">
      <c r="C131" s="6"/>
      <c r="K131" s="7"/>
    </row>
    <row r="132" ht="15.75" customHeight="1">
      <c r="C132" s="6"/>
      <c r="K132" s="7"/>
    </row>
    <row r="133" ht="15.75" customHeight="1">
      <c r="C133" s="6"/>
      <c r="K133" s="7"/>
    </row>
    <row r="134" ht="15.75" customHeight="1">
      <c r="C134" s="6"/>
      <c r="K134" s="7"/>
    </row>
    <row r="135" ht="15.75" customHeight="1">
      <c r="C135" s="6"/>
      <c r="K135" s="7"/>
    </row>
    <row r="136" ht="15.75" customHeight="1">
      <c r="C136" s="6"/>
      <c r="K136" s="7"/>
    </row>
    <row r="137" ht="15.75" customHeight="1">
      <c r="C137" s="6"/>
      <c r="K137" s="7"/>
    </row>
    <row r="138" ht="15.75" customHeight="1">
      <c r="C138" s="6"/>
      <c r="K138" s="7"/>
    </row>
    <row r="139" ht="15.75" customHeight="1">
      <c r="C139" s="6"/>
      <c r="K139" s="7"/>
    </row>
    <row r="140" ht="15.75" customHeight="1">
      <c r="C140" s="6"/>
      <c r="K140" s="7"/>
    </row>
    <row r="141" ht="15.75" customHeight="1">
      <c r="C141" s="6"/>
      <c r="K141" s="7"/>
    </row>
    <row r="142" ht="15.75" customHeight="1">
      <c r="C142" s="6"/>
      <c r="K142" s="7"/>
    </row>
    <row r="143" ht="15.75" customHeight="1">
      <c r="C143" s="6"/>
      <c r="K143" s="7"/>
    </row>
    <row r="144" ht="15.75" customHeight="1">
      <c r="C144" s="6"/>
      <c r="K144" s="7"/>
    </row>
    <row r="145" ht="15.75" customHeight="1">
      <c r="C145" s="6"/>
      <c r="K145" s="7"/>
    </row>
    <row r="146" ht="15.75" customHeight="1">
      <c r="C146" s="6"/>
      <c r="K146" s="7"/>
    </row>
    <row r="147" ht="15.75" customHeight="1">
      <c r="C147" s="6"/>
      <c r="K147" s="7"/>
    </row>
    <row r="148" ht="15.75" customHeight="1">
      <c r="C148" s="6"/>
      <c r="K148" s="7"/>
    </row>
    <row r="149" ht="15.75" customHeight="1">
      <c r="C149" s="6"/>
      <c r="K149" s="7"/>
    </row>
    <row r="150" ht="15.75" customHeight="1">
      <c r="C150" s="6"/>
      <c r="K150" s="7"/>
    </row>
    <row r="151" ht="15.75" customHeight="1">
      <c r="C151" s="6"/>
      <c r="K151" s="7"/>
    </row>
    <row r="152" ht="15.75" customHeight="1">
      <c r="C152" s="6"/>
      <c r="K152" s="7"/>
    </row>
    <row r="153" ht="15.75" customHeight="1">
      <c r="C153" s="6"/>
      <c r="K153" s="7"/>
    </row>
    <row r="154" ht="15.75" customHeight="1">
      <c r="C154" s="6"/>
      <c r="K154" s="7"/>
    </row>
    <row r="155" ht="15.75" customHeight="1">
      <c r="C155" s="6"/>
      <c r="K155" s="7"/>
    </row>
    <row r="156" ht="15.75" customHeight="1">
      <c r="C156" s="6"/>
      <c r="K156" s="7"/>
    </row>
    <row r="157" ht="15.75" customHeight="1">
      <c r="C157" s="6"/>
      <c r="K157" s="7"/>
    </row>
    <row r="158" ht="15.75" customHeight="1">
      <c r="C158" s="6"/>
      <c r="K158" s="7"/>
    </row>
    <row r="159" ht="15.75" customHeight="1">
      <c r="C159" s="6"/>
      <c r="K159" s="7"/>
    </row>
    <row r="160" ht="15.75" customHeight="1">
      <c r="C160" s="6"/>
      <c r="K160" s="7"/>
    </row>
    <row r="161" ht="15.75" customHeight="1">
      <c r="C161" s="6"/>
      <c r="K161" s="7"/>
    </row>
    <row r="162" ht="15.75" customHeight="1">
      <c r="C162" s="6"/>
      <c r="K162" s="7"/>
    </row>
    <row r="163" ht="15.75" customHeight="1">
      <c r="C163" s="6"/>
      <c r="K163" s="7"/>
    </row>
    <row r="164" ht="15.75" customHeight="1">
      <c r="C164" s="6"/>
      <c r="K164" s="7"/>
    </row>
    <row r="165" ht="15.75" customHeight="1">
      <c r="C165" s="6"/>
      <c r="K165" s="7"/>
    </row>
    <row r="166" ht="15.75" customHeight="1">
      <c r="C166" s="6"/>
      <c r="K166" s="7"/>
    </row>
    <row r="167" ht="15.75" customHeight="1">
      <c r="C167" s="6"/>
      <c r="K167" s="7"/>
    </row>
    <row r="168" ht="15.75" customHeight="1">
      <c r="C168" s="6"/>
      <c r="K168" s="7"/>
    </row>
    <row r="169" ht="15.75" customHeight="1">
      <c r="C169" s="6"/>
      <c r="K169" s="7"/>
    </row>
    <row r="170" ht="15.75" customHeight="1">
      <c r="C170" s="6"/>
      <c r="K170" s="7"/>
    </row>
    <row r="171" ht="15.75" customHeight="1">
      <c r="C171" s="6"/>
      <c r="K171" s="7"/>
    </row>
    <row r="172" ht="15.75" customHeight="1">
      <c r="C172" s="6"/>
      <c r="K172" s="7"/>
    </row>
    <row r="173" ht="15.75" customHeight="1">
      <c r="C173" s="6"/>
      <c r="K173" s="7"/>
    </row>
    <row r="174" ht="15.75" customHeight="1">
      <c r="C174" s="6"/>
      <c r="K174" s="7"/>
    </row>
    <row r="175" ht="15.75" customHeight="1">
      <c r="C175" s="6"/>
      <c r="K175" s="7"/>
    </row>
    <row r="176" ht="15.75" customHeight="1">
      <c r="C176" s="6"/>
      <c r="K176" s="7"/>
    </row>
    <row r="177" ht="15.75" customHeight="1">
      <c r="C177" s="6"/>
      <c r="K177" s="7"/>
    </row>
    <row r="178" ht="15.75" customHeight="1">
      <c r="C178" s="6"/>
      <c r="K178" s="7"/>
    </row>
    <row r="179" ht="15.75" customHeight="1">
      <c r="C179" s="6"/>
      <c r="K179" s="7"/>
    </row>
    <row r="180" ht="15.75" customHeight="1">
      <c r="C180" s="6"/>
      <c r="K180" s="7"/>
    </row>
    <row r="181" ht="15.75" customHeight="1">
      <c r="C181" s="6"/>
      <c r="K181" s="7"/>
    </row>
    <row r="182" ht="15.75" customHeight="1">
      <c r="C182" s="6"/>
      <c r="K182" s="7"/>
    </row>
    <row r="183" ht="15.75" customHeight="1">
      <c r="C183" s="6"/>
      <c r="K183" s="7"/>
    </row>
    <row r="184" ht="15.75" customHeight="1">
      <c r="C184" s="6"/>
      <c r="K184" s="7"/>
    </row>
    <row r="185" ht="15.75" customHeight="1">
      <c r="C185" s="6"/>
      <c r="K185" s="7"/>
    </row>
    <row r="186" ht="15.75" customHeight="1">
      <c r="C186" s="6"/>
      <c r="K186" s="7"/>
    </row>
    <row r="187" ht="15.75" customHeight="1">
      <c r="C187" s="6"/>
      <c r="K187" s="7"/>
    </row>
    <row r="188" ht="15.75" customHeight="1">
      <c r="C188" s="6"/>
      <c r="K188" s="7"/>
    </row>
    <row r="189" ht="15.75" customHeight="1">
      <c r="C189" s="6"/>
      <c r="K189" s="7"/>
    </row>
    <row r="190" ht="15.75" customHeight="1">
      <c r="C190" s="6"/>
      <c r="K190" s="7"/>
    </row>
    <row r="191" ht="15.75" customHeight="1">
      <c r="C191" s="6"/>
      <c r="K191" s="7"/>
    </row>
    <row r="192" ht="15.75" customHeight="1">
      <c r="C192" s="6"/>
      <c r="K192" s="7"/>
    </row>
    <row r="193" ht="15.75" customHeight="1">
      <c r="C193" s="6"/>
      <c r="K193" s="7"/>
    </row>
    <row r="194" ht="15.75" customHeight="1">
      <c r="C194" s="6"/>
      <c r="K194" s="7"/>
    </row>
    <row r="195" ht="15.75" customHeight="1">
      <c r="C195" s="6"/>
      <c r="K195" s="7"/>
    </row>
    <row r="196" ht="15.75" customHeight="1">
      <c r="C196" s="6"/>
      <c r="K196" s="7"/>
    </row>
    <row r="197" ht="15.75" customHeight="1">
      <c r="C197" s="6"/>
      <c r="K197" s="7"/>
    </row>
    <row r="198" ht="15.75" customHeight="1">
      <c r="C198" s="6"/>
      <c r="K198" s="7"/>
    </row>
    <row r="199" ht="15.75" customHeight="1">
      <c r="C199" s="6"/>
      <c r="K199" s="7"/>
    </row>
    <row r="200" ht="15.75" customHeight="1">
      <c r="C200" s="6"/>
      <c r="K200" s="7"/>
    </row>
    <row r="201" ht="15.75" customHeight="1">
      <c r="C201" s="6"/>
      <c r="K201" s="7"/>
    </row>
    <row r="202" ht="15.75" customHeight="1">
      <c r="C202" s="6"/>
      <c r="K202" s="7"/>
    </row>
    <row r="203" ht="15.75" customHeight="1">
      <c r="C203" s="6"/>
      <c r="K203" s="7"/>
    </row>
    <row r="204" ht="15.75" customHeight="1">
      <c r="C204" s="6"/>
      <c r="K204" s="7"/>
    </row>
    <row r="205" ht="15.75" customHeight="1">
      <c r="C205" s="6"/>
      <c r="K205" s="7"/>
    </row>
    <row r="206" ht="15.75" customHeight="1">
      <c r="C206" s="6"/>
      <c r="K206" s="7"/>
    </row>
    <row r="207" ht="15.75" customHeight="1">
      <c r="C207" s="6"/>
      <c r="K207" s="7"/>
    </row>
    <row r="208" ht="15.75" customHeight="1">
      <c r="C208" s="6"/>
      <c r="K208" s="7"/>
    </row>
    <row r="209" ht="15.75" customHeight="1">
      <c r="C209" s="6"/>
      <c r="K209" s="7"/>
    </row>
    <row r="210" ht="15.75" customHeight="1">
      <c r="C210" s="6"/>
      <c r="K210" s="7"/>
    </row>
    <row r="211" ht="15.75" customHeight="1">
      <c r="C211" s="6"/>
      <c r="K211" s="7"/>
    </row>
    <row r="212" ht="15.75" customHeight="1">
      <c r="C212" s="6"/>
      <c r="K212" s="7"/>
    </row>
    <row r="213" ht="15.75" customHeight="1">
      <c r="C213" s="6"/>
      <c r="K213" s="7"/>
    </row>
    <row r="214" ht="15.75" customHeight="1">
      <c r="C214" s="6"/>
      <c r="K214" s="7"/>
    </row>
    <row r="215" ht="15.75" customHeight="1">
      <c r="C215" s="6"/>
      <c r="K215" s="7"/>
    </row>
    <row r="216" ht="15.75" customHeight="1">
      <c r="C216" s="6"/>
      <c r="K216" s="7"/>
    </row>
    <row r="217" ht="15.75" customHeight="1">
      <c r="C217" s="6"/>
      <c r="K217" s="7"/>
    </row>
    <row r="218" ht="15.75" customHeight="1">
      <c r="C218" s="6"/>
      <c r="K218" s="7"/>
    </row>
    <row r="219" ht="15.75" customHeight="1">
      <c r="C219" s="6"/>
      <c r="K219" s="7"/>
    </row>
    <row r="220" ht="15.75" customHeight="1">
      <c r="C220" s="6"/>
      <c r="K220" s="7"/>
    </row>
    <row r="221" ht="15.75" customHeight="1">
      <c r="C221" s="6"/>
      <c r="K221" s="7"/>
    </row>
    <row r="222" ht="15.75" customHeight="1">
      <c r="C222" s="6"/>
      <c r="K222" s="7"/>
    </row>
    <row r="223" ht="15.75" customHeight="1">
      <c r="C223" s="6"/>
      <c r="K223" s="7"/>
    </row>
    <row r="224" ht="15.75" customHeight="1">
      <c r="C224" s="6"/>
      <c r="K224" s="7"/>
    </row>
    <row r="225" ht="15.75" customHeight="1">
      <c r="C225" s="6"/>
      <c r="K225" s="7"/>
    </row>
    <row r="226" ht="15.75" customHeight="1">
      <c r="C226" s="6"/>
      <c r="K226" s="7"/>
    </row>
    <row r="227" ht="15.75" customHeight="1">
      <c r="C227" s="6"/>
      <c r="K227" s="7"/>
    </row>
    <row r="228" ht="15.75" customHeight="1">
      <c r="C228" s="6"/>
      <c r="K228" s="7"/>
    </row>
    <row r="229" ht="15.75" customHeight="1">
      <c r="C229" s="6"/>
      <c r="K229" s="7"/>
    </row>
    <row r="230" ht="15.75" customHeight="1">
      <c r="C230" s="6"/>
      <c r="K230" s="7"/>
    </row>
    <row r="231" ht="15.75" customHeight="1">
      <c r="C231" s="6"/>
      <c r="K231" s="7"/>
    </row>
    <row r="232" ht="15.75" customHeight="1">
      <c r="C232" s="6"/>
      <c r="K232" s="7"/>
    </row>
    <row r="233" ht="15.75" customHeight="1">
      <c r="C233" s="6"/>
      <c r="K233" s="7"/>
    </row>
    <row r="234" ht="15.75" customHeight="1">
      <c r="C234" s="6"/>
      <c r="K234" s="7"/>
    </row>
    <row r="235" ht="15.75" customHeight="1">
      <c r="C235" s="6"/>
      <c r="K235" s="7"/>
    </row>
    <row r="236" ht="15.75" customHeight="1">
      <c r="C236" s="6"/>
      <c r="K236" s="7"/>
    </row>
    <row r="237" ht="15.75" customHeight="1">
      <c r="C237" s="6"/>
      <c r="K237" s="7"/>
    </row>
    <row r="238" ht="15.75" customHeight="1">
      <c r="C238" s="6"/>
      <c r="K238" s="7"/>
    </row>
    <row r="239" ht="15.75" customHeight="1">
      <c r="C239" s="6"/>
      <c r="K239" s="7"/>
    </row>
    <row r="240" ht="15.75" customHeight="1">
      <c r="C240" s="6"/>
      <c r="K240" s="7"/>
    </row>
    <row r="241" ht="15.75" customHeight="1">
      <c r="C241" s="6"/>
      <c r="K241" s="7"/>
    </row>
    <row r="242" ht="15.75" customHeight="1">
      <c r="C242" s="6"/>
      <c r="K242" s="7"/>
    </row>
    <row r="243" ht="15.75" customHeight="1">
      <c r="C243" s="6"/>
      <c r="K243" s="7"/>
    </row>
    <row r="244" ht="15.75" customHeight="1">
      <c r="C244" s="6"/>
      <c r="K244" s="7"/>
    </row>
    <row r="245" ht="15.75" customHeight="1">
      <c r="C245" s="6"/>
      <c r="K245" s="7"/>
    </row>
    <row r="246" ht="15.75" customHeight="1">
      <c r="C246" s="6"/>
      <c r="K246" s="7"/>
    </row>
    <row r="247" ht="15.75" customHeight="1">
      <c r="C247" s="6"/>
      <c r="K247" s="7"/>
    </row>
    <row r="248" ht="15.75" customHeight="1">
      <c r="C248" s="6"/>
      <c r="K248" s="7"/>
    </row>
    <row r="249" ht="15.75" customHeight="1">
      <c r="C249" s="6"/>
      <c r="K249" s="7"/>
    </row>
    <row r="250" ht="15.75" customHeight="1">
      <c r="C250" s="6"/>
      <c r="K250" s="7"/>
    </row>
    <row r="251" ht="15.75" customHeight="1">
      <c r="C251" s="6"/>
      <c r="K251" s="7"/>
    </row>
    <row r="252" ht="15.75" customHeight="1">
      <c r="C252" s="6"/>
      <c r="K252" s="7"/>
    </row>
    <row r="253" ht="15.75" customHeight="1">
      <c r="C253" s="6"/>
      <c r="K253" s="7"/>
    </row>
    <row r="254" ht="15.75" customHeight="1">
      <c r="C254" s="6"/>
      <c r="K254" s="7"/>
    </row>
    <row r="255" ht="15.75" customHeight="1">
      <c r="C255" s="6"/>
      <c r="K255" s="7"/>
    </row>
    <row r="256" ht="15.75" customHeight="1">
      <c r="C256" s="6"/>
      <c r="K256" s="7"/>
    </row>
    <row r="257" ht="15.75" customHeight="1">
      <c r="C257" s="6"/>
      <c r="K257" s="7"/>
    </row>
    <row r="258" ht="15.75" customHeight="1">
      <c r="C258" s="6"/>
      <c r="K258" s="7"/>
    </row>
    <row r="259" ht="15.75" customHeight="1">
      <c r="C259" s="6"/>
      <c r="K259" s="7"/>
    </row>
    <row r="260" ht="15.75" customHeight="1">
      <c r="C260" s="6"/>
      <c r="K260" s="7"/>
    </row>
    <row r="261" ht="15.75" customHeight="1">
      <c r="C261" s="6"/>
      <c r="K261" s="7"/>
    </row>
    <row r="262" ht="15.75" customHeight="1">
      <c r="C262" s="6"/>
      <c r="K262" s="7"/>
    </row>
    <row r="263" ht="15.75" customHeight="1">
      <c r="C263" s="6"/>
      <c r="K263" s="7"/>
    </row>
    <row r="264" ht="15.75" customHeight="1">
      <c r="C264" s="6"/>
      <c r="K264" s="7"/>
    </row>
    <row r="265" ht="15.75" customHeight="1">
      <c r="C265" s="6"/>
      <c r="K265" s="7"/>
    </row>
    <row r="266" ht="15.75" customHeight="1">
      <c r="C266" s="6"/>
      <c r="K266" s="7"/>
    </row>
    <row r="267" ht="15.75" customHeight="1">
      <c r="C267" s="6"/>
      <c r="K267" s="7"/>
    </row>
    <row r="268" ht="15.75" customHeight="1">
      <c r="C268" s="6"/>
      <c r="K268" s="7"/>
    </row>
    <row r="269" ht="15.75" customHeight="1">
      <c r="C269" s="6"/>
      <c r="K269" s="7"/>
    </row>
    <row r="270" ht="15.75" customHeight="1">
      <c r="C270" s="6"/>
      <c r="K270" s="7"/>
    </row>
    <row r="271" ht="15.75" customHeight="1">
      <c r="C271" s="6"/>
      <c r="K271" s="7"/>
    </row>
    <row r="272" ht="15.75" customHeight="1">
      <c r="C272" s="6"/>
      <c r="K272" s="7"/>
    </row>
    <row r="273" ht="15.75" customHeight="1">
      <c r="C273" s="6"/>
      <c r="K273" s="7"/>
    </row>
    <row r="274" ht="15.75" customHeight="1">
      <c r="C274" s="6"/>
      <c r="K274" s="7"/>
    </row>
    <row r="275" ht="15.75" customHeight="1">
      <c r="C275" s="6"/>
      <c r="K275" s="7"/>
    </row>
    <row r="276" ht="15.75" customHeight="1">
      <c r="C276" s="6"/>
      <c r="K276" s="7"/>
    </row>
    <row r="277" ht="15.75" customHeight="1">
      <c r="C277" s="6"/>
      <c r="K277" s="7"/>
    </row>
    <row r="278" ht="15.75" customHeight="1">
      <c r="C278" s="6"/>
      <c r="K278" s="7"/>
    </row>
    <row r="279" ht="15.75" customHeight="1">
      <c r="C279" s="6"/>
      <c r="K279" s="7"/>
    </row>
    <row r="280" ht="15.75" customHeight="1">
      <c r="C280" s="6"/>
      <c r="K280" s="7"/>
    </row>
    <row r="281" ht="15.75" customHeight="1">
      <c r="C281" s="6"/>
      <c r="K281" s="7"/>
    </row>
    <row r="282" ht="15.75" customHeight="1">
      <c r="C282" s="6"/>
      <c r="K282" s="7"/>
    </row>
    <row r="283" ht="15.75" customHeight="1">
      <c r="C283" s="6"/>
      <c r="K283" s="7"/>
    </row>
    <row r="284" ht="15.75" customHeight="1">
      <c r="C284" s="6"/>
      <c r="K284" s="7"/>
    </row>
    <row r="285" ht="15.75" customHeight="1">
      <c r="C285" s="6"/>
      <c r="K285" s="7"/>
    </row>
    <row r="286" ht="15.75" customHeight="1">
      <c r="C286" s="6"/>
      <c r="K286" s="7"/>
    </row>
    <row r="287" ht="15.75" customHeight="1">
      <c r="C287" s="6"/>
      <c r="K287" s="7"/>
    </row>
    <row r="288" ht="15.75" customHeight="1">
      <c r="C288" s="6"/>
      <c r="K288" s="7"/>
    </row>
    <row r="289" ht="15.75" customHeight="1">
      <c r="C289" s="6"/>
      <c r="K289" s="7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I8:O8"/>
    <mergeCell ref="P8:AB8"/>
    <mergeCell ref="A1:AD1"/>
    <mergeCell ref="A2:AD2"/>
    <mergeCell ref="A3:AD3"/>
    <mergeCell ref="A4:AD4"/>
    <mergeCell ref="A5:AD5"/>
    <mergeCell ref="A6:AD6"/>
    <mergeCell ref="E8:H8"/>
  </mergeCells>
  <conditionalFormatting sqref="D11:AB86 AG42:AG86">
    <cfRule type="containsText" dxfId="0" priority="1" operator="containsText" text="A">
      <formula>NOT(ISERROR(SEARCH(("A"),(D11))))</formula>
    </cfRule>
  </conditionalFormatting>
  <conditionalFormatting sqref="D11:AB86 AG42:AG86">
    <cfRule type="containsText" dxfId="1" priority="2" operator="containsText" text="P">
      <formula>NOT(ISERROR(SEARCH(("P"),(D11))))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0"/>
    <col customWidth="1" min="3" max="3" width="37.43"/>
    <col customWidth="1" min="4" max="5" width="4.0"/>
    <col customWidth="1" min="6" max="8" width="5.0"/>
    <col customWidth="1" min="9" max="9" width="4.71"/>
    <col customWidth="1" min="10" max="10" width="5.43"/>
    <col customWidth="1" min="11" max="13" width="5.86"/>
    <col customWidth="1" min="14" max="14" width="5.71"/>
    <col customWidth="1" min="15" max="15" width="6.43"/>
    <col customWidth="1" min="16" max="16" width="6.14"/>
    <col customWidth="1" min="17" max="18" width="5.86"/>
    <col customWidth="1" min="19" max="19" width="5.71"/>
    <col customWidth="1" min="20" max="22" width="5.29"/>
    <col customWidth="1" min="23" max="23" width="5.14"/>
    <col customWidth="1" min="24" max="24" width="5.43"/>
    <col customWidth="1" min="25" max="25" width="4.86"/>
    <col customWidth="1" min="26" max="27" width="7.0"/>
    <col customWidth="1" min="28" max="28" width="6.71"/>
    <col customWidth="1" min="29" max="29" width="12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>
      <c r="A3" s="1" t="s">
        <v>181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3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3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3"/>
    </row>
    <row r="7">
      <c r="C7" s="6"/>
      <c r="D7" s="4"/>
      <c r="E7" s="4"/>
      <c r="F7" s="5"/>
      <c r="G7" s="5"/>
      <c r="H7" s="5"/>
      <c r="P7" s="7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5"/>
    </row>
    <row r="8">
      <c r="C8" s="6"/>
      <c r="D8" s="10"/>
      <c r="E8" s="2"/>
      <c r="F8" s="2"/>
      <c r="G8" s="2"/>
      <c r="H8" s="2"/>
      <c r="I8" s="3"/>
      <c r="J8" s="10"/>
      <c r="K8" s="2"/>
      <c r="L8" s="2"/>
      <c r="M8" s="3"/>
      <c r="N8" s="9"/>
      <c r="O8" s="2"/>
      <c r="P8" s="2"/>
      <c r="Q8" s="2"/>
      <c r="R8" s="2"/>
      <c r="S8" s="2"/>
      <c r="T8" s="2"/>
      <c r="U8" s="10"/>
      <c r="V8" s="2"/>
      <c r="W8" s="2"/>
      <c r="X8" s="2"/>
      <c r="Y8" s="3"/>
      <c r="Z8" s="8" t="s">
        <v>10</v>
      </c>
      <c r="AA8" s="8" t="s">
        <v>11</v>
      </c>
      <c r="AB8" s="8" t="s">
        <v>12</v>
      </c>
      <c r="AC8" s="8" t="s">
        <v>182</v>
      </c>
    </row>
    <row r="9">
      <c r="C9" s="6"/>
      <c r="D9" s="39"/>
      <c r="E9" s="3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C10" s="6"/>
      <c r="D10" s="40">
        <v>1.0</v>
      </c>
      <c r="E10" s="11" t="s">
        <v>14</v>
      </c>
      <c r="F10" s="11" t="s">
        <v>14</v>
      </c>
      <c r="G10" s="11" t="s">
        <v>15</v>
      </c>
      <c r="H10" s="11" t="s">
        <v>16</v>
      </c>
      <c r="I10" s="11" t="s">
        <v>16</v>
      </c>
      <c r="J10" s="11" t="s">
        <v>17</v>
      </c>
      <c r="K10" s="11" t="s">
        <v>18</v>
      </c>
      <c r="L10" s="11" t="s">
        <v>18</v>
      </c>
      <c r="M10" s="11" t="s">
        <v>19</v>
      </c>
      <c r="N10" s="11" t="s">
        <v>19</v>
      </c>
      <c r="O10" s="11" t="s">
        <v>20</v>
      </c>
      <c r="P10" s="11" t="s">
        <v>20</v>
      </c>
      <c r="Q10" s="11" t="s">
        <v>21</v>
      </c>
      <c r="R10" s="11" t="s">
        <v>21</v>
      </c>
      <c r="S10" s="11" t="s">
        <v>22</v>
      </c>
      <c r="T10" s="11" t="s">
        <v>23</v>
      </c>
      <c r="U10" s="11" t="s">
        <v>23</v>
      </c>
      <c r="V10" s="11" t="s">
        <v>25</v>
      </c>
      <c r="W10" s="11" t="s">
        <v>25</v>
      </c>
      <c r="X10" s="11" t="s">
        <v>25</v>
      </c>
      <c r="Y10" s="40"/>
      <c r="Z10" s="8"/>
      <c r="AA10" s="8"/>
      <c r="AB10" s="8"/>
      <c r="AC10" s="8"/>
    </row>
    <row r="11">
      <c r="A11" s="41" t="s">
        <v>26</v>
      </c>
      <c r="B11" s="41" t="s">
        <v>27</v>
      </c>
      <c r="C11" s="41" t="s">
        <v>28</v>
      </c>
      <c r="D11" s="41">
        <v>1.0</v>
      </c>
      <c r="E11" s="41">
        <v>3.0</v>
      </c>
      <c r="F11" s="41">
        <v>4.0</v>
      </c>
      <c r="G11" s="41">
        <v>5.0</v>
      </c>
      <c r="H11" s="41">
        <v>6.0</v>
      </c>
      <c r="I11" s="41">
        <v>7.0</v>
      </c>
      <c r="J11" s="41">
        <v>8.0</v>
      </c>
      <c r="K11" s="41">
        <v>9.0</v>
      </c>
      <c r="L11" s="41">
        <v>10.0</v>
      </c>
      <c r="M11" s="41">
        <v>11.0</v>
      </c>
      <c r="N11" s="41">
        <v>12.0</v>
      </c>
      <c r="O11" s="41">
        <v>13.0</v>
      </c>
      <c r="P11" s="41">
        <v>14.0</v>
      </c>
      <c r="Q11" s="41">
        <v>15.0</v>
      </c>
      <c r="R11" s="41">
        <v>16.0</v>
      </c>
      <c r="S11" s="41">
        <v>17.0</v>
      </c>
      <c r="T11" s="41">
        <v>18.0</v>
      </c>
      <c r="U11" s="41">
        <v>19.0</v>
      </c>
      <c r="V11" s="41">
        <v>20.0</v>
      </c>
      <c r="W11" s="41">
        <v>21.0</v>
      </c>
      <c r="X11" s="41">
        <v>22.0</v>
      </c>
      <c r="Y11" s="41"/>
      <c r="Z11" s="15"/>
      <c r="AA11" s="15"/>
      <c r="AB11" s="15"/>
      <c r="AC11" s="16"/>
    </row>
    <row r="12">
      <c r="A12" s="17">
        <v>1.0</v>
      </c>
      <c r="B12" s="42" t="s">
        <v>183</v>
      </c>
      <c r="C12" s="19" t="s">
        <v>184</v>
      </c>
      <c r="D12" s="22" t="s">
        <v>32</v>
      </c>
      <c r="E12" s="21" t="s">
        <v>32</v>
      </c>
      <c r="F12" s="21" t="s">
        <v>32</v>
      </c>
      <c r="G12" s="21" t="s">
        <v>32</v>
      </c>
      <c r="H12" s="21" t="s">
        <v>31</v>
      </c>
      <c r="I12" s="21" t="s">
        <v>31</v>
      </c>
      <c r="J12" s="21" t="s">
        <v>32</v>
      </c>
      <c r="K12" s="21" t="s">
        <v>31</v>
      </c>
      <c r="L12" s="21" t="s">
        <v>31</v>
      </c>
      <c r="M12" s="21" t="s">
        <v>32</v>
      </c>
      <c r="N12" s="21" t="s">
        <v>32</v>
      </c>
      <c r="O12" s="21" t="s">
        <v>32</v>
      </c>
      <c r="P12" s="21" t="s">
        <v>32</v>
      </c>
      <c r="Q12" s="21" t="s">
        <v>31</v>
      </c>
      <c r="R12" s="21" t="s">
        <v>31</v>
      </c>
      <c r="S12" s="21" t="s">
        <v>32</v>
      </c>
      <c r="T12" s="21" t="s">
        <v>32</v>
      </c>
      <c r="U12" s="21" t="s">
        <v>32</v>
      </c>
      <c r="V12" s="21" t="s">
        <v>32</v>
      </c>
      <c r="W12" s="21" t="s">
        <v>32</v>
      </c>
      <c r="X12" s="43" t="s">
        <v>32</v>
      </c>
      <c r="Y12" s="20"/>
      <c r="Z12" s="23">
        <f t="shared" ref="Z12:Z69" si="1">COUNTIF(D12:Y12,"P") + COUNTIF(D12:Y12, "1")</f>
        <v>15</v>
      </c>
      <c r="AA12" s="23">
        <f t="shared" ref="AA12:AA69" si="2">COUNTIF(D12:Y12,"A") + COUNTIF(D12:Y12,"0")</f>
        <v>6</v>
      </c>
      <c r="AB12" s="23">
        <f t="shared" ref="AB12:AB69" si="3">SUM(Z12:AA12)</f>
        <v>21</v>
      </c>
      <c r="AC12" s="24">
        <f t="shared" ref="AC12:AC69" si="4">(Z12/AB12)*100</f>
        <v>71.42857143</v>
      </c>
    </row>
    <row r="13">
      <c r="A13" s="17">
        <v>2.0</v>
      </c>
      <c r="B13" s="18" t="s">
        <v>185</v>
      </c>
      <c r="C13" s="25" t="s">
        <v>186</v>
      </c>
      <c r="D13" s="22" t="s">
        <v>32</v>
      </c>
      <c r="E13" s="21" t="s">
        <v>32</v>
      </c>
      <c r="F13" s="21" t="s">
        <v>32</v>
      </c>
      <c r="G13" s="21" t="s">
        <v>32</v>
      </c>
      <c r="H13" s="21" t="s">
        <v>31</v>
      </c>
      <c r="I13" s="21" t="s">
        <v>31</v>
      </c>
      <c r="J13" s="21" t="s">
        <v>31</v>
      </c>
      <c r="K13" s="21" t="s">
        <v>31</v>
      </c>
      <c r="L13" s="21" t="s">
        <v>31</v>
      </c>
      <c r="M13" s="21" t="s">
        <v>32</v>
      </c>
      <c r="N13" s="21" t="s">
        <v>32</v>
      </c>
      <c r="O13" s="21" t="s">
        <v>32</v>
      </c>
      <c r="P13" s="21" t="s">
        <v>32</v>
      </c>
      <c r="Q13" s="21" t="s">
        <v>32</v>
      </c>
      <c r="R13" s="21" t="s">
        <v>32</v>
      </c>
      <c r="S13" s="21" t="s">
        <v>32</v>
      </c>
      <c r="T13" s="21" t="s">
        <v>32</v>
      </c>
      <c r="U13" s="21" t="s">
        <v>32</v>
      </c>
      <c r="V13" s="21" t="s">
        <v>32</v>
      </c>
      <c r="W13" s="21" t="s">
        <v>32</v>
      </c>
      <c r="X13" s="21" t="s">
        <v>32</v>
      </c>
      <c r="Y13" s="20"/>
      <c r="Z13" s="23">
        <f t="shared" si="1"/>
        <v>16</v>
      </c>
      <c r="AA13" s="23">
        <f t="shared" si="2"/>
        <v>5</v>
      </c>
      <c r="AB13" s="23">
        <f t="shared" si="3"/>
        <v>21</v>
      </c>
      <c r="AC13" s="24">
        <f t="shared" si="4"/>
        <v>76.19047619</v>
      </c>
    </row>
    <row r="14">
      <c r="A14" s="17">
        <v>3.0</v>
      </c>
      <c r="B14" s="18" t="s">
        <v>187</v>
      </c>
      <c r="C14" s="25" t="s">
        <v>188</v>
      </c>
      <c r="D14" s="22" t="s">
        <v>32</v>
      </c>
      <c r="E14" s="21" t="s">
        <v>32</v>
      </c>
      <c r="F14" s="21" t="s">
        <v>32</v>
      </c>
      <c r="G14" s="21" t="s">
        <v>32</v>
      </c>
      <c r="H14" s="21" t="s">
        <v>31</v>
      </c>
      <c r="I14" s="21" t="s">
        <v>31</v>
      </c>
      <c r="J14" s="21" t="s">
        <v>32</v>
      </c>
      <c r="K14" s="21" t="s">
        <v>32</v>
      </c>
      <c r="L14" s="21" t="s">
        <v>32</v>
      </c>
      <c r="M14" s="21" t="s">
        <v>32</v>
      </c>
      <c r="N14" s="21" t="s">
        <v>32</v>
      </c>
      <c r="O14" s="21" t="s">
        <v>32</v>
      </c>
      <c r="P14" s="21" t="s">
        <v>32</v>
      </c>
      <c r="Q14" s="21" t="s">
        <v>32</v>
      </c>
      <c r="R14" s="21" t="s">
        <v>32</v>
      </c>
      <c r="S14" s="21" t="s">
        <v>32</v>
      </c>
      <c r="T14" s="21" t="s">
        <v>32</v>
      </c>
      <c r="U14" s="21" t="s">
        <v>32</v>
      </c>
      <c r="V14" s="21" t="s">
        <v>32</v>
      </c>
      <c r="W14" s="21" t="s">
        <v>32</v>
      </c>
      <c r="X14" s="21" t="s">
        <v>32</v>
      </c>
      <c r="Y14" s="20"/>
      <c r="Z14" s="23">
        <f t="shared" si="1"/>
        <v>19</v>
      </c>
      <c r="AA14" s="23">
        <f t="shared" si="2"/>
        <v>2</v>
      </c>
      <c r="AB14" s="23">
        <f t="shared" si="3"/>
        <v>21</v>
      </c>
      <c r="AC14" s="24">
        <f t="shared" si="4"/>
        <v>90.47619048</v>
      </c>
    </row>
    <row r="15">
      <c r="A15" s="17">
        <v>4.0</v>
      </c>
      <c r="B15" s="18" t="s">
        <v>189</v>
      </c>
      <c r="C15" s="25" t="s">
        <v>190</v>
      </c>
      <c r="D15" s="22" t="s">
        <v>31</v>
      </c>
      <c r="E15" s="21" t="s">
        <v>32</v>
      </c>
      <c r="F15" s="21" t="s">
        <v>31</v>
      </c>
      <c r="G15" s="21" t="s">
        <v>31</v>
      </c>
      <c r="H15" s="21" t="s">
        <v>31</v>
      </c>
      <c r="I15" s="21" t="s">
        <v>31</v>
      </c>
      <c r="J15" s="21" t="s">
        <v>32</v>
      </c>
      <c r="K15" s="21" t="s">
        <v>32</v>
      </c>
      <c r="L15" s="21" t="s">
        <v>32</v>
      </c>
      <c r="M15" s="21" t="s">
        <v>31</v>
      </c>
      <c r="N15" s="21" t="s">
        <v>31</v>
      </c>
      <c r="O15" s="21" t="s">
        <v>32</v>
      </c>
      <c r="P15" s="21" t="s">
        <v>32</v>
      </c>
      <c r="Q15" s="21" t="s">
        <v>32</v>
      </c>
      <c r="R15" s="21" t="s">
        <v>32</v>
      </c>
      <c r="S15" s="21" t="s">
        <v>32</v>
      </c>
      <c r="T15" s="21" t="s">
        <v>32</v>
      </c>
      <c r="U15" s="21" t="s">
        <v>32</v>
      </c>
      <c r="V15" s="21" t="s">
        <v>32</v>
      </c>
      <c r="W15" s="21" t="s">
        <v>32</v>
      </c>
      <c r="X15" s="21" t="s">
        <v>32</v>
      </c>
      <c r="Y15" s="20"/>
      <c r="Z15" s="23">
        <f t="shared" si="1"/>
        <v>14</v>
      </c>
      <c r="AA15" s="23">
        <f t="shared" si="2"/>
        <v>7</v>
      </c>
      <c r="AB15" s="23">
        <f t="shared" si="3"/>
        <v>21</v>
      </c>
      <c r="AC15" s="24">
        <f t="shared" si="4"/>
        <v>66.66666667</v>
      </c>
    </row>
    <row r="16">
      <c r="A16" s="17">
        <v>5.0</v>
      </c>
      <c r="B16" s="18" t="s">
        <v>191</v>
      </c>
      <c r="C16" s="25" t="s">
        <v>192</v>
      </c>
      <c r="D16" s="22" t="s">
        <v>31</v>
      </c>
      <c r="E16" s="21" t="s">
        <v>32</v>
      </c>
      <c r="F16" s="21" t="s">
        <v>32</v>
      </c>
      <c r="G16" s="21" t="s">
        <v>31</v>
      </c>
      <c r="H16" s="21" t="s">
        <v>32</v>
      </c>
      <c r="I16" s="21" t="s">
        <v>32</v>
      </c>
      <c r="J16" s="21" t="s">
        <v>32</v>
      </c>
      <c r="K16" s="21" t="s">
        <v>31</v>
      </c>
      <c r="L16" s="21" t="s">
        <v>31</v>
      </c>
      <c r="M16" s="21" t="s">
        <v>32</v>
      </c>
      <c r="N16" s="21" t="s">
        <v>32</v>
      </c>
      <c r="O16" s="21" t="s">
        <v>32</v>
      </c>
      <c r="P16" s="21" t="s">
        <v>32</v>
      </c>
      <c r="Q16" s="21" t="s">
        <v>31</v>
      </c>
      <c r="R16" s="21" t="s">
        <v>31</v>
      </c>
      <c r="S16" s="21" t="s">
        <v>32</v>
      </c>
      <c r="T16" s="21" t="s">
        <v>32</v>
      </c>
      <c r="U16" s="21" t="s">
        <v>32</v>
      </c>
      <c r="V16" s="21" t="s">
        <v>32</v>
      </c>
      <c r="W16" s="21" t="s">
        <v>32</v>
      </c>
      <c r="X16" s="21" t="s">
        <v>32</v>
      </c>
      <c r="Y16" s="20"/>
      <c r="Z16" s="23">
        <f t="shared" si="1"/>
        <v>15</v>
      </c>
      <c r="AA16" s="23">
        <f t="shared" si="2"/>
        <v>6</v>
      </c>
      <c r="AB16" s="23">
        <f t="shared" si="3"/>
        <v>21</v>
      </c>
      <c r="AC16" s="24">
        <f t="shared" si="4"/>
        <v>71.42857143</v>
      </c>
    </row>
    <row r="17">
      <c r="A17" s="17">
        <v>6.0</v>
      </c>
      <c r="B17" s="18" t="s">
        <v>193</v>
      </c>
      <c r="C17" s="25" t="s">
        <v>194</v>
      </c>
      <c r="D17" s="22" t="s">
        <v>32</v>
      </c>
      <c r="E17" s="21" t="s">
        <v>32</v>
      </c>
      <c r="F17" s="21" t="s">
        <v>32</v>
      </c>
      <c r="G17" s="21" t="s">
        <v>32</v>
      </c>
      <c r="H17" s="21" t="s">
        <v>31</v>
      </c>
      <c r="I17" s="21" t="s">
        <v>31</v>
      </c>
      <c r="J17" s="21" t="s">
        <v>32</v>
      </c>
      <c r="K17" s="21" t="s">
        <v>32</v>
      </c>
      <c r="L17" s="21" t="s">
        <v>32</v>
      </c>
      <c r="M17" s="21" t="s">
        <v>32</v>
      </c>
      <c r="N17" s="21" t="s">
        <v>32</v>
      </c>
      <c r="O17" s="21" t="s">
        <v>32</v>
      </c>
      <c r="P17" s="21" t="s">
        <v>32</v>
      </c>
      <c r="Q17" s="21" t="s">
        <v>31</v>
      </c>
      <c r="R17" s="21" t="s">
        <v>31</v>
      </c>
      <c r="S17" s="21" t="s">
        <v>32</v>
      </c>
      <c r="T17" s="21" t="s">
        <v>31</v>
      </c>
      <c r="U17" s="21" t="s">
        <v>31</v>
      </c>
      <c r="V17" s="21" t="s">
        <v>32</v>
      </c>
      <c r="W17" s="21" t="s">
        <v>32</v>
      </c>
      <c r="X17" s="21" t="s">
        <v>32</v>
      </c>
      <c r="Y17" s="20"/>
      <c r="Z17" s="23">
        <f t="shared" si="1"/>
        <v>15</v>
      </c>
      <c r="AA17" s="23">
        <f t="shared" si="2"/>
        <v>6</v>
      </c>
      <c r="AB17" s="23">
        <f t="shared" si="3"/>
        <v>21</v>
      </c>
      <c r="AC17" s="24">
        <f t="shared" si="4"/>
        <v>71.42857143</v>
      </c>
    </row>
    <row r="18">
      <c r="A18" s="17">
        <v>7.0</v>
      </c>
      <c r="B18" s="18" t="s">
        <v>195</v>
      </c>
      <c r="C18" s="25" t="s">
        <v>196</v>
      </c>
      <c r="D18" s="22" t="s">
        <v>32</v>
      </c>
      <c r="E18" s="21" t="s">
        <v>32</v>
      </c>
      <c r="F18" s="21" t="s">
        <v>32</v>
      </c>
      <c r="G18" s="21" t="s">
        <v>32</v>
      </c>
      <c r="H18" s="21" t="s">
        <v>32</v>
      </c>
      <c r="I18" s="21" t="s">
        <v>32</v>
      </c>
      <c r="J18" s="21" t="s">
        <v>32</v>
      </c>
      <c r="K18" s="21" t="s">
        <v>31</v>
      </c>
      <c r="L18" s="21" t="s">
        <v>32</v>
      </c>
      <c r="M18" s="21" t="s">
        <v>31</v>
      </c>
      <c r="N18" s="21" t="s">
        <v>31</v>
      </c>
      <c r="O18" s="21" t="s">
        <v>32</v>
      </c>
      <c r="P18" s="21" t="s">
        <v>32</v>
      </c>
      <c r="Q18" s="21" t="s">
        <v>32</v>
      </c>
      <c r="R18" s="21" t="s">
        <v>32</v>
      </c>
      <c r="S18" s="21" t="s">
        <v>32</v>
      </c>
      <c r="T18" s="21" t="s">
        <v>32</v>
      </c>
      <c r="U18" s="21" t="s">
        <v>32</v>
      </c>
      <c r="V18" s="21" t="s">
        <v>31</v>
      </c>
      <c r="W18" s="21" t="s">
        <v>31</v>
      </c>
      <c r="X18" s="21" t="s">
        <v>31</v>
      </c>
      <c r="Y18" s="20"/>
      <c r="Z18" s="23">
        <f t="shared" si="1"/>
        <v>15</v>
      </c>
      <c r="AA18" s="23">
        <f t="shared" si="2"/>
        <v>6</v>
      </c>
      <c r="AB18" s="23">
        <f t="shared" si="3"/>
        <v>21</v>
      </c>
      <c r="AC18" s="24">
        <f t="shared" si="4"/>
        <v>71.42857143</v>
      </c>
    </row>
    <row r="19">
      <c r="A19" s="17">
        <v>8.0</v>
      </c>
      <c r="B19" s="18" t="s">
        <v>197</v>
      </c>
      <c r="C19" s="25" t="s">
        <v>198</v>
      </c>
      <c r="D19" s="22" t="s">
        <v>32</v>
      </c>
      <c r="E19" s="21" t="s">
        <v>31</v>
      </c>
      <c r="F19" s="21" t="s">
        <v>31</v>
      </c>
      <c r="G19" s="21" t="s">
        <v>31</v>
      </c>
      <c r="H19" s="21" t="s">
        <v>31</v>
      </c>
      <c r="I19" s="21" t="s">
        <v>31</v>
      </c>
      <c r="J19" s="21" t="s">
        <v>32</v>
      </c>
      <c r="K19" s="21" t="s">
        <v>32</v>
      </c>
      <c r="L19" s="21" t="s">
        <v>32</v>
      </c>
      <c r="M19" s="21" t="s">
        <v>32</v>
      </c>
      <c r="N19" s="21" t="s">
        <v>32</v>
      </c>
      <c r="O19" s="21" t="s">
        <v>32</v>
      </c>
      <c r="P19" s="21" t="s">
        <v>32</v>
      </c>
      <c r="Q19" s="21" t="s">
        <v>32</v>
      </c>
      <c r="R19" s="21" t="s">
        <v>32</v>
      </c>
      <c r="S19" s="21" t="s">
        <v>32</v>
      </c>
      <c r="T19" s="21" t="s">
        <v>32</v>
      </c>
      <c r="U19" s="21" t="s">
        <v>32</v>
      </c>
      <c r="V19" s="21" t="s">
        <v>32</v>
      </c>
      <c r="W19" s="21" t="s">
        <v>32</v>
      </c>
      <c r="X19" s="21" t="s">
        <v>32</v>
      </c>
      <c r="Y19" s="22"/>
      <c r="Z19" s="23">
        <f t="shared" si="1"/>
        <v>16</v>
      </c>
      <c r="AA19" s="23">
        <f t="shared" si="2"/>
        <v>5</v>
      </c>
      <c r="AB19" s="23">
        <f t="shared" si="3"/>
        <v>21</v>
      </c>
      <c r="AC19" s="24">
        <f t="shared" si="4"/>
        <v>76.19047619</v>
      </c>
    </row>
    <row r="20">
      <c r="A20" s="17">
        <v>9.0</v>
      </c>
      <c r="B20" s="18" t="s">
        <v>199</v>
      </c>
      <c r="C20" s="25" t="s">
        <v>200</v>
      </c>
      <c r="D20" s="22" t="s">
        <v>32</v>
      </c>
      <c r="E20" s="21" t="s">
        <v>32</v>
      </c>
      <c r="F20" s="21" t="s">
        <v>32</v>
      </c>
      <c r="G20" s="21" t="s">
        <v>31</v>
      </c>
      <c r="H20" s="21" t="s">
        <v>32</v>
      </c>
      <c r="I20" s="21" t="s">
        <v>32</v>
      </c>
      <c r="J20" s="21" t="s">
        <v>32</v>
      </c>
      <c r="K20" s="21" t="s">
        <v>31</v>
      </c>
      <c r="L20" s="21" t="s">
        <v>31</v>
      </c>
      <c r="M20" s="21" t="s">
        <v>31</v>
      </c>
      <c r="N20" s="21" t="s">
        <v>32</v>
      </c>
      <c r="O20" s="21" t="s">
        <v>32</v>
      </c>
      <c r="P20" s="21" t="s">
        <v>32</v>
      </c>
      <c r="Q20" s="21" t="s">
        <v>31</v>
      </c>
      <c r="R20" s="21" t="s">
        <v>31</v>
      </c>
      <c r="S20" s="21" t="s">
        <v>32</v>
      </c>
      <c r="T20" s="21" t="s">
        <v>32</v>
      </c>
      <c r="U20" s="21" t="s">
        <v>32</v>
      </c>
      <c r="V20" s="21" t="s">
        <v>32</v>
      </c>
      <c r="W20" s="21" t="s">
        <v>32</v>
      </c>
      <c r="X20" s="21" t="s">
        <v>32</v>
      </c>
      <c r="Y20" s="20"/>
      <c r="Z20" s="23">
        <f t="shared" si="1"/>
        <v>15</v>
      </c>
      <c r="AA20" s="23">
        <f t="shared" si="2"/>
        <v>6</v>
      </c>
      <c r="AB20" s="23">
        <f t="shared" si="3"/>
        <v>21</v>
      </c>
      <c r="AC20" s="24">
        <f t="shared" si="4"/>
        <v>71.42857143</v>
      </c>
    </row>
    <row r="21" ht="15.75" customHeight="1">
      <c r="A21" s="17">
        <v>10.0</v>
      </c>
      <c r="B21" s="18" t="s">
        <v>201</v>
      </c>
      <c r="C21" s="25" t="s">
        <v>202</v>
      </c>
      <c r="D21" s="22" t="s">
        <v>32</v>
      </c>
      <c r="E21" s="21" t="s">
        <v>32</v>
      </c>
      <c r="F21" s="21" t="s">
        <v>32</v>
      </c>
      <c r="G21" s="21" t="s">
        <v>32</v>
      </c>
      <c r="H21" s="21" t="s">
        <v>32</v>
      </c>
      <c r="I21" s="21" t="s">
        <v>32</v>
      </c>
      <c r="J21" s="21" t="s">
        <v>32</v>
      </c>
      <c r="K21" s="21" t="s">
        <v>31</v>
      </c>
      <c r="L21" s="21" t="s">
        <v>31</v>
      </c>
      <c r="M21" s="21" t="s">
        <v>32</v>
      </c>
      <c r="N21" s="21" t="s">
        <v>32</v>
      </c>
      <c r="O21" s="21" t="s">
        <v>31</v>
      </c>
      <c r="P21" s="21" t="s">
        <v>31</v>
      </c>
      <c r="Q21" s="21" t="s">
        <v>32</v>
      </c>
      <c r="R21" s="21" t="s">
        <v>32</v>
      </c>
      <c r="S21" s="21" t="s">
        <v>32</v>
      </c>
      <c r="T21" s="21" t="s">
        <v>31</v>
      </c>
      <c r="U21" s="21" t="s">
        <v>31</v>
      </c>
      <c r="V21" s="21" t="s">
        <v>32</v>
      </c>
      <c r="W21" s="21" t="s">
        <v>32</v>
      </c>
      <c r="X21" s="21" t="s">
        <v>32</v>
      </c>
      <c r="Y21" s="20"/>
      <c r="Z21" s="23">
        <f t="shared" si="1"/>
        <v>15</v>
      </c>
      <c r="AA21" s="23">
        <f t="shared" si="2"/>
        <v>6</v>
      </c>
      <c r="AB21" s="23">
        <f t="shared" si="3"/>
        <v>21</v>
      </c>
      <c r="AC21" s="24">
        <f t="shared" si="4"/>
        <v>71.42857143</v>
      </c>
    </row>
    <row r="22" ht="15.75" customHeight="1">
      <c r="A22" s="17">
        <v>11.0</v>
      </c>
      <c r="B22" s="18" t="s">
        <v>203</v>
      </c>
      <c r="C22" s="25" t="s">
        <v>204</v>
      </c>
      <c r="D22" s="22" t="s">
        <v>32</v>
      </c>
      <c r="E22" s="21" t="s">
        <v>32</v>
      </c>
      <c r="F22" s="21" t="s">
        <v>32</v>
      </c>
      <c r="G22" s="21" t="s">
        <v>32</v>
      </c>
      <c r="H22" s="21" t="s">
        <v>32</v>
      </c>
      <c r="I22" s="21" t="s">
        <v>32</v>
      </c>
      <c r="J22" s="21" t="s">
        <v>32</v>
      </c>
      <c r="K22" s="21" t="s">
        <v>31</v>
      </c>
      <c r="L22" s="21" t="s">
        <v>32</v>
      </c>
      <c r="M22" s="21" t="s">
        <v>31</v>
      </c>
      <c r="N22" s="21" t="s">
        <v>32</v>
      </c>
      <c r="O22" s="21" t="s">
        <v>32</v>
      </c>
      <c r="P22" s="44"/>
      <c r="Q22" s="21" t="s">
        <v>32</v>
      </c>
      <c r="R22" s="21" t="s">
        <v>32</v>
      </c>
      <c r="S22" s="21" t="s">
        <v>32</v>
      </c>
      <c r="T22" s="21" t="s">
        <v>32</v>
      </c>
      <c r="U22" s="21" t="s">
        <v>32</v>
      </c>
      <c r="V22" s="21" t="s">
        <v>32</v>
      </c>
      <c r="W22" s="21" t="s">
        <v>32</v>
      </c>
      <c r="X22" s="21" t="s">
        <v>32</v>
      </c>
      <c r="Y22" s="20"/>
      <c r="Z22" s="23">
        <f t="shared" si="1"/>
        <v>18</v>
      </c>
      <c r="AA22" s="23">
        <f t="shared" si="2"/>
        <v>2</v>
      </c>
      <c r="AB22" s="23">
        <f t="shared" si="3"/>
        <v>20</v>
      </c>
      <c r="AC22" s="24">
        <f t="shared" si="4"/>
        <v>90</v>
      </c>
    </row>
    <row r="23" ht="15.75" customHeight="1">
      <c r="A23" s="17">
        <v>12.0</v>
      </c>
      <c r="B23" s="18" t="s">
        <v>205</v>
      </c>
      <c r="C23" s="25" t="s">
        <v>206</v>
      </c>
      <c r="D23" s="22" t="s">
        <v>32</v>
      </c>
      <c r="E23" s="21" t="s">
        <v>31</v>
      </c>
      <c r="F23" s="21" t="s">
        <v>32</v>
      </c>
      <c r="G23" s="21" t="s">
        <v>32</v>
      </c>
      <c r="H23" s="21" t="s">
        <v>31</v>
      </c>
      <c r="I23" s="21" t="s">
        <v>31</v>
      </c>
      <c r="J23" s="21" t="s">
        <v>32</v>
      </c>
      <c r="K23" s="21" t="s">
        <v>31</v>
      </c>
      <c r="L23" s="21" t="s">
        <v>31</v>
      </c>
      <c r="M23" s="21" t="s">
        <v>32</v>
      </c>
      <c r="N23" s="21" t="s">
        <v>31</v>
      </c>
      <c r="O23" s="21" t="s">
        <v>31</v>
      </c>
      <c r="P23" s="21" t="s">
        <v>31</v>
      </c>
      <c r="Q23" s="21" t="s">
        <v>31</v>
      </c>
      <c r="R23" s="21" t="s">
        <v>31</v>
      </c>
      <c r="S23" s="21" t="s">
        <v>32</v>
      </c>
      <c r="T23" s="21" t="s">
        <v>32</v>
      </c>
      <c r="U23" s="21" t="s">
        <v>32</v>
      </c>
      <c r="V23" s="21" t="s">
        <v>32</v>
      </c>
      <c r="W23" s="21" t="s">
        <v>32</v>
      </c>
      <c r="X23" s="21" t="s">
        <v>32</v>
      </c>
      <c r="Y23" s="20"/>
      <c r="Z23" s="23">
        <f t="shared" si="1"/>
        <v>11</v>
      </c>
      <c r="AA23" s="23">
        <f t="shared" si="2"/>
        <v>10</v>
      </c>
      <c r="AB23" s="23">
        <f t="shared" si="3"/>
        <v>21</v>
      </c>
      <c r="AC23" s="24">
        <f t="shared" si="4"/>
        <v>52.38095238</v>
      </c>
    </row>
    <row r="24" ht="15.75" customHeight="1">
      <c r="A24" s="17">
        <v>13.0</v>
      </c>
      <c r="B24" s="18" t="s">
        <v>207</v>
      </c>
      <c r="C24" s="25" t="s">
        <v>208</v>
      </c>
      <c r="D24" s="22" t="s">
        <v>32</v>
      </c>
      <c r="E24" s="21" t="s">
        <v>32</v>
      </c>
      <c r="F24" s="21" t="s">
        <v>32</v>
      </c>
      <c r="G24" s="21" t="s">
        <v>32</v>
      </c>
      <c r="H24" s="21" t="s">
        <v>31</v>
      </c>
      <c r="I24" s="21" t="s">
        <v>31</v>
      </c>
      <c r="J24" s="21" t="s">
        <v>32</v>
      </c>
      <c r="K24" s="21" t="s">
        <v>32</v>
      </c>
      <c r="L24" s="21" t="s">
        <v>32</v>
      </c>
      <c r="M24" s="21" t="s">
        <v>32</v>
      </c>
      <c r="N24" s="21" t="s">
        <v>32</v>
      </c>
      <c r="O24" s="21" t="s">
        <v>32</v>
      </c>
      <c r="P24" s="21" t="s">
        <v>32</v>
      </c>
      <c r="Q24" s="21" t="s">
        <v>32</v>
      </c>
      <c r="R24" s="21" t="s">
        <v>32</v>
      </c>
      <c r="S24" s="21" t="s">
        <v>32</v>
      </c>
      <c r="T24" s="21" t="s">
        <v>32</v>
      </c>
      <c r="U24" s="21" t="s">
        <v>32</v>
      </c>
      <c r="V24" s="21" t="s">
        <v>32</v>
      </c>
      <c r="W24" s="21" t="s">
        <v>32</v>
      </c>
      <c r="X24" s="21" t="s">
        <v>32</v>
      </c>
      <c r="Y24" s="20"/>
      <c r="Z24" s="23">
        <f t="shared" si="1"/>
        <v>19</v>
      </c>
      <c r="AA24" s="23">
        <f t="shared" si="2"/>
        <v>2</v>
      </c>
      <c r="AB24" s="23">
        <f t="shared" si="3"/>
        <v>21</v>
      </c>
      <c r="AC24" s="24">
        <f t="shared" si="4"/>
        <v>90.47619048</v>
      </c>
    </row>
    <row r="25" ht="15.75" customHeight="1">
      <c r="A25" s="17">
        <v>14.0</v>
      </c>
      <c r="B25" s="18" t="s">
        <v>209</v>
      </c>
      <c r="C25" s="25" t="s">
        <v>210</v>
      </c>
      <c r="D25" s="22" t="s">
        <v>32</v>
      </c>
      <c r="E25" s="21" t="s">
        <v>32</v>
      </c>
      <c r="F25" s="21" t="s">
        <v>32</v>
      </c>
      <c r="G25" s="21" t="s">
        <v>32</v>
      </c>
      <c r="H25" s="21" t="s">
        <v>31</v>
      </c>
      <c r="I25" s="21" t="s">
        <v>31</v>
      </c>
      <c r="J25" s="21" t="s">
        <v>32</v>
      </c>
      <c r="K25" s="21" t="s">
        <v>31</v>
      </c>
      <c r="L25" s="21" t="s">
        <v>31</v>
      </c>
      <c r="M25" s="21" t="s">
        <v>32</v>
      </c>
      <c r="N25" s="21" t="s">
        <v>32</v>
      </c>
      <c r="O25" s="21" t="s">
        <v>32</v>
      </c>
      <c r="P25" s="21" t="s">
        <v>32</v>
      </c>
      <c r="Q25" s="21" t="s">
        <v>32</v>
      </c>
      <c r="R25" s="21" t="s">
        <v>32</v>
      </c>
      <c r="S25" s="21" t="s">
        <v>32</v>
      </c>
      <c r="T25" s="21" t="s">
        <v>32</v>
      </c>
      <c r="U25" s="21" t="s">
        <v>32</v>
      </c>
      <c r="V25" s="21" t="s">
        <v>32</v>
      </c>
      <c r="W25" s="21" t="s">
        <v>32</v>
      </c>
      <c r="X25" s="21" t="s">
        <v>32</v>
      </c>
      <c r="Y25" s="20"/>
      <c r="Z25" s="23">
        <f t="shared" si="1"/>
        <v>17</v>
      </c>
      <c r="AA25" s="23">
        <f t="shared" si="2"/>
        <v>4</v>
      </c>
      <c r="AB25" s="23">
        <f t="shared" si="3"/>
        <v>21</v>
      </c>
      <c r="AC25" s="24">
        <f t="shared" si="4"/>
        <v>80.95238095</v>
      </c>
    </row>
    <row r="26" ht="15.75" customHeight="1">
      <c r="A26" s="17">
        <v>15.0</v>
      </c>
      <c r="B26" s="18" t="s">
        <v>211</v>
      </c>
      <c r="C26" s="25" t="s">
        <v>212</v>
      </c>
      <c r="D26" s="22" t="s">
        <v>32</v>
      </c>
      <c r="E26" s="21" t="s">
        <v>32</v>
      </c>
      <c r="F26" s="21" t="s">
        <v>32</v>
      </c>
      <c r="G26" s="21" t="s">
        <v>32</v>
      </c>
      <c r="H26" s="21" t="s">
        <v>31</v>
      </c>
      <c r="I26" s="21" t="s">
        <v>31</v>
      </c>
      <c r="J26" s="21" t="s">
        <v>32</v>
      </c>
      <c r="K26" s="21" t="s">
        <v>32</v>
      </c>
      <c r="L26" s="21" t="s">
        <v>32</v>
      </c>
      <c r="M26" s="21" t="s">
        <v>32</v>
      </c>
      <c r="N26" s="21" t="s">
        <v>32</v>
      </c>
      <c r="O26" s="21" t="s">
        <v>31</v>
      </c>
      <c r="P26" s="21" t="s">
        <v>31</v>
      </c>
      <c r="Q26" s="21" t="s">
        <v>31</v>
      </c>
      <c r="R26" s="21" t="s">
        <v>31</v>
      </c>
      <c r="S26" s="21" t="s">
        <v>32</v>
      </c>
      <c r="T26" s="21" t="s">
        <v>31</v>
      </c>
      <c r="U26" s="21" t="s">
        <v>32</v>
      </c>
      <c r="V26" s="21" t="s">
        <v>31</v>
      </c>
      <c r="W26" s="21" t="s">
        <v>31</v>
      </c>
      <c r="X26" s="21" t="s">
        <v>31</v>
      </c>
      <c r="Y26" s="20"/>
      <c r="Z26" s="23">
        <f t="shared" si="1"/>
        <v>11</v>
      </c>
      <c r="AA26" s="23">
        <f t="shared" si="2"/>
        <v>10</v>
      </c>
      <c r="AB26" s="23">
        <f t="shared" si="3"/>
        <v>21</v>
      </c>
      <c r="AC26" s="24">
        <f t="shared" si="4"/>
        <v>52.38095238</v>
      </c>
    </row>
    <row r="27" ht="15.75" customHeight="1">
      <c r="A27" s="17">
        <v>16.0</v>
      </c>
      <c r="B27" s="18" t="s">
        <v>213</v>
      </c>
      <c r="C27" s="25" t="s">
        <v>214</v>
      </c>
      <c r="D27" s="22" t="s">
        <v>31</v>
      </c>
      <c r="E27" s="21" t="s">
        <v>32</v>
      </c>
      <c r="F27" s="21" t="s">
        <v>32</v>
      </c>
      <c r="G27" s="21" t="s">
        <v>32</v>
      </c>
      <c r="H27" s="21" t="s">
        <v>31</v>
      </c>
      <c r="I27" s="21" t="s">
        <v>31</v>
      </c>
      <c r="J27" s="21" t="s">
        <v>32</v>
      </c>
      <c r="K27" s="21" t="s">
        <v>32</v>
      </c>
      <c r="L27" s="21" t="s">
        <v>32</v>
      </c>
      <c r="M27" s="21" t="s">
        <v>32</v>
      </c>
      <c r="N27" s="21" t="s">
        <v>32</v>
      </c>
      <c r="O27" s="21" t="s">
        <v>32</v>
      </c>
      <c r="P27" s="21" t="s">
        <v>32</v>
      </c>
      <c r="Q27" s="21" t="s">
        <v>32</v>
      </c>
      <c r="R27" s="21" t="s">
        <v>32</v>
      </c>
      <c r="S27" s="21" t="s">
        <v>32</v>
      </c>
      <c r="T27" s="21" t="s">
        <v>32</v>
      </c>
      <c r="U27" s="21" t="s">
        <v>32</v>
      </c>
      <c r="V27" s="21" t="s">
        <v>32</v>
      </c>
      <c r="W27" s="21" t="s">
        <v>32</v>
      </c>
      <c r="X27" s="21" t="s">
        <v>32</v>
      </c>
      <c r="Y27" s="20"/>
      <c r="Z27" s="23">
        <f t="shared" si="1"/>
        <v>18</v>
      </c>
      <c r="AA27" s="23">
        <f t="shared" si="2"/>
        <v>3</v>
      </c>
      <c r="AB27" s="23">
        <f t="shared" si="3"/>
        <v>21</v>
      </c>
      <c r="AC27" s="24">
        <f t="shared" si="4"/>
        <v>85.71428571</v>
      </c>
    </row>
    <row r="28" ht="15.75" customHeight="1">
      <c r="A28" s="17">
        <v>17.0</v>
      </c>
      <c r="B28" s="18" t="s">
        <v>215</v>
      </c>
      <c r="C28" s="25" t="s">
        <v>216</v>
      </c>
      <c r="D28" s="22" t="s">
        <v>32</v>
      </c>
      <c r="E28" s="21" t="s">
        <v>31</v>
      </c>
      <c r="F28" s="21" t="s">
        <v>31</v>
      </c>
      <c r="G28" s="21" t="s">
        <v>32</v>
      </c>
      <c r="H28" s="21" t="s">
        <v>31</v>
      </c>
      <c r="I28" s="21" t="s">
        <v>31</v>
      </c>
      <c r="J28" s="21" t="s">
        <v>32</v>
      </c>
      <c r="K28" s="21" t="s">
        <v>32</v>
      </c>
      <c r="L28" s="21" t="s">
        <v>32</v>
      </c>
      <c r="M28" s="21" t="s">
        <v>32</v>
      </c>
      <c r="N28" s="21" t="s">
        <v>32</v>
      </c>
      <c r="O28" s="21" t="s">
        <v>32</v>
      </c>
      <c r="P28" s="21" t="s">
        <v>32</v>
      </c>
      <c r="Q28" s="21" t="s">
        <v>32</v>
      </c>
      <c r="R28" s="21" t="s">
        <v>32</v>
      </c>
      <c r="S28" s="21" t="s">
        <v>32</v>
      </c>
      <c r="T28" s="21" t="s">
        <v>32</v>
      </c>
      <c r="U28" s="21" t="s">
        <v>32</v>
      </c>
      <c r="V28" s="21" t="s">
        <v>32</v>
      </c>
      <c r="W28" s="21" t="s">
        <v>32</v>
      </c>
      <c r="X28" s="21" t="s">
        <v>32</v>
      </c>
      <c r="Y28" s="22"/>
      <c r="Z28" s="23">
        <f t="shared" si="1"/>
        <v>17</v>
      </c>
      <c r="AA28" s="23">
        <f t="shared" si="2"/>
        <v>4</v>
      </c>
      <c r="AB28" s="23">
        <f t="shared" si="3"/>
        <v>21</v>
      </c>
      <c r="AC28" s="24">
        <f t="shared" si="4"/>
        <v>80.95238095</v>
      </c>
    </row>
    <row r="29" ht="15.75" customHeight="1">
      <c r="A29" s="17">
        <v>18.0</v>
      </c>
      <c r="B29" s="18" t="s">
        <v>217</v>
      </c>
      <c r="C29" s="25" t="s">
        <v>218</v>
      </c>
      <c r="D29" s="22" t="s">
        <v>32</v>
      </c>
      <c r="E29" s="21" t="s">
        <v>31</v>
      </c>
      <c r="F29" s="21" t="s">
        <v>31</v>
      </c>
      <c r="G29" s="21" t="s">
        <v>32</v>
      </c>
      <c r="H29" s="21" t="s">
        <v>32</v>
      </c>
      <c r="I29" s="21" t="s">
        <v>32</v>
      </c>
      <c r="J29" s="21" t="s">
        <v>32</v>
      </c>
      <c r="K29" s="21" t="s">
        <v>31</v>
      </c>
      <c r="L29" s="21" t="s">
        <v>32</v>
      </c>
      <c r="M29" s="21" t="s">
        <v>31</v>
      </c>
      <c r="N29" s="21" t="s">
        <v>32</v>
      </c>
      <c r="O29" s="21" t="s">
        <v>32</v>
      </c>
      <c r="P29" s="21" t="s">
        <v>32</v>
      </c>
      <c r="Q29" s="21" t="s">
        <v>31</v>
      </c>
      <c r="R29" s="21" t="s">
        <v>31</v>
      </c>
      <c r="S29" s="21" t="s">
        <v>32</v>
      </c>
      <c r="T29" s="21" t="s">
        <v>32</v>
      </c>
      <c r="U29" s="21" t="s">
        <v>32</v>
      </c>
      <c r="V29" s="21" t="s">
        <v>32</v>
      </c>
      <c r="W29" s="21" t="s">
        <v>32</v>
      </c>
      <c r="X29" s="21" t="s">
        <v>32</v>
      </c>
      <c r="Y29" s="20"/>
      <c r="Z29" s="23">
        <f t="shared" si="1"/>
        <v>15</v>
      </c>
      <c r="AA29" s="23">
        <f t="shared" si="2"/>
        <v>6</v>
      </c>
      <c r="AB29" s="23">
        <f t="shared" si="3"/>
        <v>21</v>
      </c>
      <c r="AC29" s="24">
        <f t="shared" si="4"/>
        <v>71.42857143</v>
      </c>
    </row>
    <row r="30" ht="15.75" customHeight="1">
      <c r="A30" s="17">
        <v>19.0</v>
      </c>
      <c r="B30" s="18" t="s">
        <v>219</v>
      </c>
      <c r="C30" s="25" t="s">
        <v>220</v>
      </c>
      <c r="D30" s="22" t="s">
        <v>31</v>
      </c>
      <c r="E30" s="21" t="s">
        <v>32</v>
      </c>
      <c r="F30" s="21" t="s">
        <v>32</v>
      </c>
      <c r="G30" s="21" t="s">
        <v>32</v>
      </c>
      <c r="H30" s="21" t="s">
        <v>32</v>
      </c>
      <c r="I30" s="21" t="s">
        <v>32</v>
      </c>
      <c r="J30" s="21" t="s">
        <v>32</v>
      </c>
      <c r="K30" s="21" t="s">
        <v>31</v>
      </c>
      <c r="L30" s="21" t="s">
        <v>32</v>
      </c>
      <c r="M30" s="21" t="s">
        <v>31</v>
      </c>
      <c r="N30" s="21" t="s">
        <v>32</v>
      </c>
      <c r="O30" s="21" t="s">
        <v>32</v>
      </c>
      <c r="P30" s="21" t="s">
        <v>32</v>
      </c>
      <c r="Q30" s="21" t="s">
        <v>32</v>
      </c>
      <c r="R30" s="21" t="s">
        <v>32</v>
      </c>
      <c r="S30" s="21" t="s">
        <v>31</v>
      </c>
      <c r="T30" s="21" t="s">
        <v>32</v>
      </c>
      <c r="U30" s="21" t="s">
        <v>32</v>
      </c>
      <c r="V30" s="21" t="s">
        <v>31</v>
      </c>
      <c r="W30" s="21" t="s">
        <v>31</v>
      </c>
      <c r="X30" s="21" t="s">
        <v>31</v>
      </c>
      <c r="Y30" s="20"/>
      <c r="Z30" s="23">
        <f t="shared" si="1"/>
        <v>14</v>
      </c>
      <c r="AA30" s="23">
        <f t="shared" si="2"/>
        <v>7</v>
      </c>
      <c r="AB30" s="23">
        <f t="shared" si="3"/>
        <v>21</v>
      </c>
      <c r="AC30" s="24">
        <f t="shared" si="4"/>
        <v>66.66666667</v>
      </c>
    </row>
    <row r="31" ht="15.75" customHeight="1">
      <c r="A31" s="17">
        <v>20.0</v>
      </c>
      <c r="B31" s="18" t="s">
        <v>221</v>
      </c>
      <c r="C31" s="25" t="s">
        <v>222</v>
      </c>
      <c r="D31" s="22" t="s">
        <v>32</v>
      </c>
      <c r="E31" s="21" t="s">
        <v>32</v>
      </c>
      <c r="F31" s="21" t="s">
        <v>32</v>
      </c>
      <c r="G31" s="21" t="s">
        <v>32</v>
      </c>
      <c r="H31" s="21" t="s">
        <v>31</v>
      </c>
      <c r="I31" s="21" t="s">
        <v>31</v>
      </c>
      <c r="J31" s="21" t="s">
        <v>32</v>
      </c>
      <c r="K31" s="21" t="s">
        <v>32</v>
      </c>
      <c r="L31" s="21" t="s">
        <v>32</v>
      </c>
      <c r="M31" s="21" t="s">
        <v>32</v>
      </c>
      <c r="N31" s="21" t="s">
        <v>32</v>
      </c>
      <c r="O31" s="21" t="s">
        <v>32</v>
      </c>
      <c r="P31" s="21" t="s">
        <v>32</v>
      </c>
      <c r="Q31" s="21" t="s">
        <v>32</v>
      </c>
      <c r="R31" s="21" t="s">
        <v>32</v>
      </c>
      <c r="S31" s="21" t="s">
        <v>32</v>
      </c>
      <c r="T31" s="21" t="s">
        <v>32</v>
      </c>
      <c r="U31" s="21" t="s">
        <v>32</v>
      </c>
      <c r="V31" s="21" t="s">
        <v>32</v>
      </c>
      <c r="W31" s="21" t="s">
        <v>32</v>
      </c>
      <c r="X31" s="21" t="s">
        <v>32</v>
      </c>
      <c r="Y31" s="20"/>
      <c r="Z31" s="23">
        <f t="shared" si="1"/>
        <v>19</v>
      </c>
      <c r="AA31" s="23">
        <f t="shared" si="2"/>
        <v>2</v>
      </c>
      <c r="AB31" s="23">
        <f t="shared" si="3"/>
        <v>21</v>
      </c>
      <c r="AC31" s="24">
        <f t="shared" si="4"/>
        <v>90.47619048</v>
      </c>
    </row>
    <row r="32" ht="15.75" customHeight="1">
      <c r="A32" s="17">
        <v>21.0</v>
      </c>
      <c r="B32" s="18" t="s">
        <v>223</v>
      </c>
      <c r="C32" s="25" t="s">
        <v>224</v>
      </c>
      <c r="D32" s="22" t="s">
        <v>32</v>
      </c>
      <c r="E32" s="21" t="s">
        <v>32</v>
      </c>
      <c r="F32" s="21" t="s">
        <v>32</v>
      </c>
      <c r="G32" s="21" t="s">
        <v>32</v>
      </c>
      <c r="H32" s="21" t="s">
        <v>31</v>
      </c>
      <c r="I32" s="21" t="s">
        <v>31</v>
      </c>
      <c r="J32" s="21" t="s">
        <v>32</v>
      </c>
      <c r="K32" s="21" t="s">
        <v>31</v>
      </c>
      <c r="L32" s="21" t="s">
        <v>31</v>
      </c>
      <c r="M32" s="21" t="s">
        <v>31</v>
      </c>
      <c r="N32" s="21" t="s">
        <v>32</v>
      </c>
      <c r="O32" s="21" t="s">
        <v>31</v>
      </c>
      <c r="P32" s="21" t="s">
        <v>31</v>
      </c>
      <c r="Q32" s="21" t="s">
        <v>31</v>
      </c>
      <c r="R32" s="21" t="s">
        <v>31</v>
      </c>
      <c r="S32" s="21" t="s">
        <v>32</v>
      </c>
      <c r="T32" s="21" t="s">
        <v>32</v>
      </c>
      <c r="U32" s="21" t="s">
        <v>32</v>
      </c>
      <c r="V32" s="21" t="s">
        <v>32</v>
      </c>
      <c r="W32" s="21" t="s">
        <v>32</v>
      </c>
      <c r="X32" s="21" t="s">
        <v>32</v>
      </c>
      <c r="Y32" s="20"/>
      <c r="Z32" s="23">
        <f t="shared" si="1"/>
        <v>12</v>
      </c>
      <c r="AA32" s="23">
        <f t="shared" si="2"/>
        <v>9</v>
      </c>
      <c r="AB32" s="23">
        <f t="shared" si="3"/>
        <v>21</v>
      </c>
      <c r="AC32" s="24">
        <f t="shared" si="4"/>
        <v>57.14285714</v>
      </c>
    </row>
    <row r="33" ht="15.75" customHeight="1">
      <c r="A33" s="17">
        <v>22.0</v>
      </c>
      <c r="B33" s="18" t="s">
        <v>225</v>
      </c>
      <c r="C33" s="25" t="s">
        <v>226</v>
      </c>
      <c r="D33" s="22" t="s">
        <v>31</v>
      </c>
      <c r="E33" s="21" t="s">
        <v>31</v>
      </c>
      <c r="F33" s="21" t="s">
        <v>31</v>
      </c>
      <c r="G33" s="21" t="s">
        <v>32</v>
      </c>
      <c r="H33" s="21" t="s">
        <v>31</v>
      </c>
      <c r="I33" s="21" t="s">
        <v>31</v>
      </c>
      <c r="J33" s="21" t="s">
        <v>32</v>
      </c>
      <c r="K33" s="21" t="s">
        <v>32</v>
      </c>
      <c r="L33" s="21" t="s">
        <v>32</v>
      </c>
      <c r="M33" s="21" t="s">
        <v>32</v>
      </c>
      <c r="N33" s="21" t="s">
        <v>32</v>
      </c>
      <c r="O33" s="21" t="s">
        <v>32</v>
      </c>
      <c r="P33" s="21" t="s">
        <v>32</v>
      </c>
      <c r="Q33" s="21" t="s">
        <v>32</v>
      </c>
      <c r="R33" s="21" t="s">
        <v>32</v>
      </c>
      <c r="S33" s="21" t="s">
        <v>32</v>
      </c>
      <c r="T33" s="21" t="s">
        <v>32</v>
      </c>
      <c r="U33" s="21" t="s">
        <v>32</v>
      </c>
      <c r="V33" s="21" t="s">
        <v>32</v>
      </c>
      <c r="W33" s="21" t="s">
        <v>32</v>
      </c>
      <c r="X33" s="21" t="s">
        <v>32</v>
      </c>
      <c r="Y33" s="22"/>
      <c r="Z33" s="23">
        <f t="shared" si="1"/>
        <v>16</v>
      </c>
      <c r="AA33" s="23">
        <f t="shared" si="2"/>
        <v>5</v>
      </c>
      <c r="AB33" s="23">
        <f t="shared" si="3"/>
        <v>21</v>
      </c>
      <c r="AC33" s="24">
        <f t="shared" si="4"/>
        <v>76.19047619</v>
      </c>
    </row>
    <row r="34" ht="15.75" customHeight="1">
      <c r="A34" s="17">
        <v>23.0</v>
      </c>
      <c r="B34" s="18" t="s">
        <v>227</v>
      </c>
      <c r="C34" s="25" t="s">
        <v>228</v>
      </c>
      <c r="D34" s="22" t="s">
        <v>32</v>
      </c>
      <c r="E34" s="21" t="s">
        <v>32</v>
      </c>
      <c r="F34" s="21" t="s">
        <v>32</v>
      </c>
      <c r="G34" s="21" t="s">
        <v>32</v>
      </c>
      <c r="H34" s="21" t="s">
        <v>31</v>
      </c>
      <c r="I34" s="21" t="s">
        <v>31</v>
      </c>
      <c r="J34" s="21" t="s">
        <v>32</v>
      </c>
      <c r="K34" s="21" t="s">
        <v>32</v>
      </c>
      <c r="L34" s="21" t="s">
        <v>32</v>
      </c>
      <c r="M34" s="21" t="s">
        <v>32</v>
      </c>
      <c r="N34" s="21" t="s">
        <v>32</v>
      </c>
      <c r="O34" s="21" t="s">
        <v>32</v>
      </c>
      <c r="P34" s="21" t="s">
        <v>32</v>
      </c>
      <c r="Q34" s="21" t="s">
        <v>31</v>
      </c>
      <c r="R34" s="21" t="s">
        <v>31</v>
      </c>
      <c r="S34" s="21" t="s">
        <v>31</v>
      </c>
      <c r="T34" s="21" t="s">
        <v>32</v>
      </c>
      <c r="U34" s="21" t="s">
        <v>32</v>
      </c>
      <c r="V34" s="21" t="s">
        <v>32</v>
      </c>
      <c r="W34" s="21" t="s">
        <v>32</v>
      </c>
      <c r="X34" s="21" t="s">
        <v>32</v>
      </c>
      <c r="Y34" s="20"/>
      <c r="Z34" s="23">
        <f t="shared" si="1"/>
        <v>16</v>
      </c>
      <c r="AA34" s="23">
        <f t="shared" si="2"/>
        <v>5</v>
      </c>
      <c r="AB34" s="23">
        <f t="shared" si="3"/>
        <v>21</v>
      </c>
      <c r="AC34" s="24">
        <f t="shared" si="4"/>
        <v>76.19047619</v>
      </c>
    </row>
    <row r="35" ht="15.75" customHeight="1">
      <c r="A35" s="17">
        <v>24.0</v>
      </c>
      <c r="B35" s="18" t="s">
        <v>229</v>
      </c>
      <c r="C35" s="25" t="s">
        <v>230</v>
      </c>
      <c r="D35" s="22" t="s">
        <v>31</v>
      </c>
      <c r="E35" s="21" t="s">
        <v>32</v>
      </c>
      <c r="F35" s="21" t="s">
        <v>32</v>
      </c>
      <c r="G35" s="21" t="s">
        <v>32</v>
      </c>
      <c r="H35" s="21" t="s">
        <v>31</v>
      </c>
      <c r="I35" s="21" t="s">
        <v>31</v>
      </c>
      <c r="J35" s="21" t="s">
        <v>32</v>
      </c>
      <c r="K35" s="21" t="s">
        <v>32</v>
      </c>
      <c r="L35" s="21" t="s">
        <v>32</v>
      </c>
      <c r="M35" s="21" t="s">
        <v>32</v>
      </c>
      <c r="N35" s="21" t="s">
        <v>32</v>
      </c>
      <c r="O35" s="21" t="s">
        <v>32</v>
      </c>
      <c r="P35" s="21" t="s">
        <v>32</v>
      </c>
      <c r="Q35" s="21" t="s">
        <v>32</v>
      </c>
      <c r="R35" s="21" t="s">
        <v>32</v>
      </c>
      <c r="S35" s="21" t="s">
        <v>32</v>
      </c>
      <c r="T35" s="21" t="s">
        <v>32</v>
      </c>
      <c r="U35" s="21" t="s">
        <v>32</v>
      </c>
      <c r="V35" s="21" t="s">
        <v>32</v>
      </c>
      <c r="W35" s="21" t="s">
        <v>32</v>
      </c>
      <c r="X35" s="21" t="s">
        <v>32</v>
      </c>
      <c r="Y35" s="20"/>
      <c r="Z35" s="23">
        <f t="shared" si="1"/>
        <v>18</v>
      </c>
      <c r="AA35" s="23">
        <f t="shared" si="2"/>
        <v>3</v>
      </c>
      <c r="AB35" s="23">
        <f t="shared" si="3"/>
        <v>21</v>
      </c>
      <c r="AC35" s="24">
        <f t="shared" si="4"/>
        <v>85.71428571</v>
      </c>
    </row>
    <row r="36" ht="15.75" customHeight="1">
      <c r="A36" s="17">
        <v>25.0</v>
      </c>
      <c r="B36" s="18" t="s">
        <v>231</v>
      </c>
      <c r="C36" s="25" t="s">
        <v>232</v>
      </c>
      <c r="D36" s="22" t="s">
        <v>32</v>
      </c>
      <c r="E36" s="21" t="s">
        <v>32</v>
      </c>
      <c r="F36" s="21" t="s">
        <v>31</v>
      </c>
      <c r="G36" s="21" t="s">
        <v>32</v>
      </c>
      <c r="H36" s="21" t="s">
        <v>32</v>
      </c>
      <c r="I36" s="21" t="s">
        <v>32</v>
      </c>
      <c r="J36" s="21" t="s">
        <v>32</v>
      </c>
      <c r="K36" s="21" t="s">
        <v>31</v>
      </c>
      <c r="L36" s="21" t="s">
        <v>31</v>
      </c>
      <c r="M36" s="21" t="s">
        <v>32</v>
      </c>
      <c r="N36" s="21" t="s">
        <v>32</v>
      </c>
      <c r="O36" s="21" t="s">
        <v>32</v>
      </c>
      <c r="P36" s="21" t="s">
        <v>32</v>
      </c>
      <c r="Q36" s="21" t="s">
        <v>32</v>
      </c>
      <c r="R36" s="21" t="s">
        <v>32</v>
      </c>
      <c r="S36" s="21" t="s">
        <v>32</v>
      </c>
      <c r="T36" s="21" t="s">
        <v>32</v>
      </c>
      <c r="U36" s="21" t="s">
        <v>32</v>
      </c>
      <c r="V36" s="21" t="s">
        <v>32</v>
      </c>
      <c r="W36" s="21" t="s">
        <v>32</v>
      </c>
      <c r="X36" s="21" t="s">
        <v>32</v>
      </c>
      <c r="Y36" s="20"/>
      <c r="Z36" s="23">
        <f t="shared" si="1"/>
        <v>18</v>
      </c>
      <c r="AA36" s="23">
        <f t="shared" si="2"/>
        <v>3</v>
      </c>
      <c r="AB36" s="23">
        <f t="shared" si="3"/>
        <v>21</v>
      </c>
      <c r="AC36" s="24">
        <f t="shared" si="4"/>
        <v>85.71428571</v>
      </c>
    </row>
    <row r="37" ht="15.75" customHeight="1">
      <c r="A37" s="17">
        <v>26.0</v>
      </c>
      <c r="B37" s="18" t="s">
        <v>233</v>
      </c>
      <c r="C37" s="25" t="s">
        <v>234</v>
      </c>
      <c r="D37" s="22" t="s">
        <v>32</v>
      </c>
      <c r="E37" s="21" t="s">
        <v>32</v>
      </c>
      <c r="F37" s="21" t="s">
        <v>32</v>
      </c>
      <c r="G37" s="21" t="s">
        <v>32</v>
      </c>
      <c r="H37" s="21" t="s">
        <v>31</v>
      </c>
      <c r="I37" s="21" t="s">
        <v>31</v>
      </c>
      <c r="J37" s="21" t="s">
        <v>31</v>
      </c>
      <c r="K37" s="21" t="s">
        <v>32</v>
      </c>
      <c r="L37" s="21" t="s">
        <v>32</v>
      </c>
      <c r="M37" s="21" t="s">
        <v>32</v>
      </c>
      <c r="N37" s="21" t="s">
        <v>32</v>
      </c>
      <c r="O37" s="21" t="s">
        <v>32</v>
      </c>
      <c r="P37" s="21" t="s">
        <v>32</v>
      </c>
      <c r="Q37" s="21" t="s">
        <v>31</v>
      </c>
      <c r="R37" s="21" t="s">
        <v>31</v>
      </c>
      <c r="S37" s="21" t="s">
        <v>31</v>
      </c>
      <c r="T37" s="21" t="s">
        <v>31</v>
      </c>
      <c r="U37" s="21" t="s">
        <v>31</v>
      </c>
      <c r="V37" s="21" t="s">
        <v>32</v>
      </c>
      <c r="W37" s="21" t="s">
        <v>32</v>
      </c>
      <c r="X37" s="21" t="s">
        <v>32</v>
      </c>
      <c r="Y37" s="20"/>
      <c r="Z37" s="23">
        <f t="shared" si="1"/>
        <v>13</v>
      </c>
      <c r="AA37" s="23">
        <f t="shared" si="2"/>
        <v>8</v>
      </c>
      <c r="AB37" s="23">
        <f t="shared" si="3"/>
        <v>21</v>
      </c>
      <c r="AC37" s="24">
        <f t="shared" si="4"/>
        <v>61.9047619</v>
      </c>
    </row>
    <row r="38" ht="15.75" customHeight="1">
      <c r="A38" s="17">
        <v>27.0</v>
      </c>
      <c r="B38" s="18" t="s">
        <v>235</v>
      </c>
      <c r="C38" s="25" t="s">
        <v>236</v>
      </c>
      <c r="D38" s="22" t="s">
        <v>31</v>
      </c>
      <c r="E38" s="21" t="s">
        <v>32</v>
      </c>
      <c r="F38" s="21" t="s">
        <v>32</v>
      </c>
      <c r="G38" s="21" t="s">
        <v>31</v>
      </c>
      <c r="H38" s="21" t="s">
        <v>32</v>
      </c>
      <c r="I38" s="21" t="s">
        <v>32</v>
      </c>
      <c r="J38" s="21" t="s">
        <v>32</v>
      </c>
      <c r="K38" s="21" t="s">
        <v>31</v>
      </c>
      <c r="L38" s="21" t="s">
        <v>31</v>
      </c>
      <c r="M38" s="21" t="s">
        <v>32</v>
      </c>
      <c r="N38" s="21" t="s">
        <v>32</v>
      </c>
      <c r="O38" s="21" t="s">
        <v>32</v>
      </c>
      <c r="P38" s="21" t="s">
        <v>32</v>
      </c>
      <c r="Q38" s="21" t="s">
        <v>32</v>
      </c>
      <c r="R38" s="21" t="s">
        <v>32</v>
      </c>
      <c r="S38" s="21" t="s">
        <v>32</v>
      </c>
      <c r="T38" s="21" t="s">
        <v>32</v>
      </c>
      <c r="U38" s="21" t="s">
        <v>32</v>
      </c>
      <c r="V38" s="21" t="s">
        <v>32</v>
      </c>
      <c r="W38" s="21" t="s">
        <v>32</v>
      </c>
      <c r="X38" s="21" t="s">
        <v>32</v>
      </c>
      <c r="Y38" s="20"/>
      <c r="Z38" s="23">
        <f t="shared" si="1"/>
        <v>17</v>
      </c>
      <c r="AA38" s="23">
        <f t="shared" si="2"/>
        <v>4</v>
      </c>
      <c r="AB38" s="23">
        <f t="shared" si="3"/>
        <v>21</v>
      </c>
      <c r="AC38" s="24">
        <f t="shared" si="4"/>
        <v>80.95238095</v>
      </c>
    </row>
    <row r="39" ht="15.75" customHeight="1">
      <c r="A39" s="17">
        <v>28.0</v>
      </c>
      <c r="B39" s="18" t="s">
        <v>237</v>
      </c>
      <c r="C39" s="25" t="s">
        <v>238</v>
      </c>
      <c r="D39" s="22" t="s">
        <v>32</v>
      </c>
      <c r="E39" s="21" t="s">
        <v>32</v>
      </c>
      <c r="F39" s="21" t="s">
        <v>32</v>
      </c>
      <c r="G39" s="21" t="s">
        <v>32</v>
      </c>
      <c r="H39" s="21" t="s">
        <v>31</v>
      </c>
      <c r="I39" s="21" t="s">
        <v>31</v>
      </c>
      <c r="J39" s="21" t="s">
        <v>32</v>
      </c>
      <c r="K39" s="21" t="s">
        <v>32</v>
      </c>
      <c r="L39" s="21" t="s">
        <v>32</v>
      </c>
      <c r="M39" s="21" t="s">
        <v>32</v>
      </c>
      <c r="N39" s="21" t="s">
        <v>32</v>
      </c>
      <c r="O39" s="21" t="s">
        <v>32</v>
      </c>
      <c r="P39" s="21" t="s">
        <v>32</v>
      </c>
      <c r="Q39" s="21" t="s">
        <v>32</v>
      </c>
      <c r="R39" s="21" t="s">
        <v>32</v>
      </c>
      <c r="S39" s="21" t="s">
        <v>32</v>
      </c>
      <c r="T39" s="21" t="s">
        <v>32</v>
      </c>
      <c r="U39" s="21" t="s">
        <v>32</v>
      </c>
      <c r="V39" s="21" t="s">
        <v>32</v>
      </c>
      <c r="W39" s="21" t="s">
        <v>32</v>
      </c>
      <c r="X39" s="21" t="s">
        <v>32</v>
      </c>
      <c r="Y39" s="22"/>
      <c r="Z39" s="23">
        <f t="shared" si="1"/>
        <v>19</v>
      </c>
      <c r="AA39" s="23">
        <f t="shared" si="2"/>
        <v>2</v>
      </c>
      <c r="AB39" s="23">
        <f t="shared" si="3"/>
        <v>21</v>
      </c>
      <c r="AC39" s="24">
        <f t="shared" si="4"/>
        <v>90.47619048</v>
      </c>
    </row>
    <row r="40" ht="15.75" customHeight="1">
      <c r="A40" s="17">
        <v>29.0</v>
      </c>
      <c r="B40" s="18" t="s">
        <v>239</v>
      </c>
      <c r="C40" s="25" t="s">
        <v>240</v>
      </c>
      <c r="D40" s="22" t="s">
        <v>32</v>
      </c>
      <c r="E40" s="21" t="s">
        <v>32</v>
      </c>
      <c r="F40" s="21" t="s">
        <v>32</v>
      </c>
      <c r="G40" s="21" t="s">
        <v>31</v>
      </c>
      <c r="H40" s="21" t="s">
        <v>31</v>
      </c>
      <c r="I40" s="21" t="s">
        <v>31</v>
      </c>
      <c r="J40" s="21" t="s">
        <v>32</v>
      </c>
      <c r="K40" s="21" t="s">
        <v>32</v>
      </c>
      <c r="L40" s="21" t="s">
        <v>32</v>
      </c>
      <c r="M40" s="21" t="s">
        <v>32</v>
      </c>
      <c r="N40" s="21" t="s">
        <v>32</v>
      </c>
      <c r="O40" s="21" t="s">
        <v>32</v>
      </c>
      <c r="P40" s="21" t="s">
        <v>32</v>
      </c>
      <c r="Q40" s="21" t="s">
        <v>32</v>
      </c>
      <c r="R40" s="21" t="s">
        <v>32</v>
      </c>
      <c r="S40" s="21" t="s">
        <v>32</v>
      </c>
      <c r="T40" s="21" t="s">
        <v>32</v>
      </c>
      <c r="U40" s="21" t="s">
        <v>32</v>
      </c>
      <c r="V40" s="21" t="s">
        <v>32</v>
      </c>
      <c r="W40" s="21" t="s">
        <v>32</v>
      </c>
      <c r="X40" s="21" t="s">
        <v>32</v>
      </c>
      <c r="Y40" s="20"/>
      <c r="Z40" s="23">
        <f t="shared" si="1"/>
        <v>18</v>
      </c>
      <c r="AA40" s="23">
        <f t="shared" si="2"/>
        <v>3</v>
      </c>
      <c r="AB40" s="23">
        <f t="shared" si="3"/>
        <v>21</v>
      </c>
      <c r="AC40" s="24">
        <f t="shared" si="4"/>
        <v>85.71428571</v>
      </c>
    </row>
    <row r="41" ht="15.75" customHeight="1">
      <c r="A41" s="17">
        <v>30.0</v>
      </c>
      <c r="B41" s="18" t="s">
        <v>241</v>
      </c>
      <c r="C41" s="25" t="s">
        <v>242</v>
      </c>
      <c r="D41" s="22" t="s">
        <v>31</v>
      </c>
      <c r="E41" s="21" t="s">
        <v>32</v>
      </c>
      <c r="F41" s="21" t="s">
        <v>32</v>
      </c>
      <c r="G41" s="21" t="s">
        <v>32</v>
      </c>
      <c r="H41" s="21" t="s">
        <v>31</v>
      </c>
      <c r="I41" s="21" t="s">
        <v>31</v>
      </c>
      <c r="J41" s="21" t="s">
        <v>32</v>
      </c>
      <c r="K41" s="21" t="s">
        <v>32</v>
      </c>
      <c r="L41" s="21" t="s">
        <v>32</v>
      </c>
      <c r="M41" s="21" t="s">
        <v>32</v>
      </c>
      <c r="N41" s="21" t="s">
        <v>32</v>
      </c>
      <c r="O41" s="21" t="s">
        <v>32</v>
      </c>
      <c r="P41" s="21" t="s">
        <v>32</v>
      </c>
      <c r="Q41" s="21" t="s">
        <v>31</v>
      </c>
      <c r="R41" s="21" t="s">
        <v>31</v>
      </c>
      <c r="S41" s="21" t="s">
        <v>32</v>
      </c>
      <c r="T41" s="21" t="s">
        <v>32</v>
      </c>
      <c r="U41" s="21" t="s">
        <v>32</v>
      </c>
      <c r="V41" s="21" t="s">
        <v>32</v>
      </c>
      <c r="W41" s="21" t="s">
        <v>32</v>
      </c>
      <c r="X41" s="21" t="s">
        <v>32</v>
      </c>
      <c r="Y41" s="22"/>
      <c r="Z41" s="23">
        <f t="shared" si="1"/>
        <v>16</v>
      </c>
      <c r="AA41" s="23">
        <f t="shared" si="2"/>
        <v>5</v>
      </c>
      <c r="AB41" s="23">
        <f t="shared" si="3"/>
        <v>21</v>
      </c>
      <c r="AC41" s="24">
        <f t="shared" si="4"/>
        <v>76.19047619</v>
      </c>
    </row>
    <row r="42" ht="15.75" customHeight="1">
      <c r="A42" s="17">
        <v>31.0</v>
      </c>
      <c r="B42" s="18" t="s">
        <v>243</v>
      </c>
      <c r="C42" s="25" t="s">
        <v>244</v>
      </c>
      <c r="D42" s="22" t="s">
        <v>32</v>
      </c>
      <c r="E42" s="21" t="s">
        <v>31</v>
      </c>
      <c r="F42" s="21" t="s">
        <v>31</v>
      </c>
      <c r="G42" s="21" t="s">
        <v>32</v>
      </c>
      <c r="H42" s="21" t="s">
        <v>31</v>
      </c>
      <c r="I42" s="21" t="s">
        <v>31</v>
      </c>
      <c r="J42" s="21" t="s">
        <v>32</v>
      </c>
      <c r="K42" s="21" t="s">
        <v>32</v>
      </c>
      <c r="L42" s="21" t="s">
        <v>32</v>
      </c>
      <c r="M42" s="21" t="s">
        <v>31</v>
      </c>
      <c r="N42" s="21" t="s">
        <v>32</v>
      </c>
      <c r="O42" s="21" t="s">
        <v>32</v>
      </c>
      <c r="P42" s="21" t="s">
        <v>32</v>
      </c>
      <c r="Q42" s="21" t="s">
        <v>31</v>
      </c>
      <c r="R42" s="21" t="s">
        <v>31</v>
      </c>
      <c r="S42" s="21" t="s">
        <v>32</v>
      </c>
      <c r="T42" s="21" t="s">
        <v>32</v>
      </c>
      <c r="U42" s="21" t="s">
        <v>32</v>
      </c>
      <c r="V42" s="21" t="s">
        <v>32</v>
      </c>
      <c r="W42" s="21" t="s">
        <v>32</v>
      </c>
      <c r="X42" s="21" t="s">
        <v>32</v>
      </c>
      <c r="Y42" s="20"/>
      <c r="Z42" s="23">
        <f t="shared" si="1"/>
        <v>14</v>
      </c>
      <c r="AA42" s="23">
        <f t="shared" si="2"/>
        <v>7</v>
      </c>
      <c r="AB42" s="23">
        <f t="shared" si="3"/>
        <v>21</v>
      </c>
      <c r="AC42" s="24">
        <f t="shared" si="4"/>
        <v>66.66666667</v>
      </c>
    </row>
    <row r="43" ht="15.75" customHeight="1">
      <c r="A43" s="17">
        <v>32.0</v>
      </c>
      <c r="B43" s="18" t="s">
        <v>245</v>
      </c>
      <c r="C43" s="25" t="s">
        <v>246</v>
      </c>
      <c r="D43" s="22" t="s">
        <v>32</v>
      </c>
      <c r="E43" s="21" t="s">
        <v>32</v>
      </c>
      <c r="F43" s="21" t="s">
        <v>32</v>
      </c>
      <c r="G43" s="21" t="s">
        <v>32</v>
      </c>
      <c r="H43" s="21" t="s">
        <v>31</v>
      </c>
      <c r="I43" s="21" t="s">
        <v>31</v>
      </c>
      <c r="J43" s="21" t="s">
        <v>32</v>
      </c>
      <c r="K43" s="21" t="s">
        <v>32</v>
      </c>
      <c r="L43" s="21" t="s">
        <v>32</v>
      </c>
      <c r="M43" s="21" t="s">
        <v>32</v>
      </c>
      <c r="N43" s="21" t="s">
        <v>32</v>
      </c>
      <c r="O43" s="21" t="s">
        <v>32</v>
      </c>
      <c r="P43" s="21" t="s">
        <v>32</v>
      </c>
      <c r="Q43" s="21" t="s">
        <v>32</v>
      </c>
      <c r="R43" s="21" t="s">
        <v>32</v>
      </c>
      <c r="S43" s="21" t="s">
        <v>31</v>
      </c>
      <c r="T43" s="21" t="s">
        <v>31</v>
      </c>
      <c r="U43" s="21" t="s">
        <v>31</v>
      </c>
      <c r="V43" s="21" t="s">
        <v>32</v>
      </c>
      <c r="W43" s="21" t="s">
        <v>32</v>
      </c>
      <c r="X43" s="21" t="s">
        <v>32</v>
      </c>
      <c r="Y43" s="20"/>
      <c r="Z43" s="23">
        <f t="shared" si="1"/>
        <v>16</v>
      </c>
      <c r="AA43" s="23">
        <f t="shared" si="2"/>
        <v>5</v>
      </c>
      <c r="AB43" s="23">
        <f t="shared" si="3"/>
        <v>21</v>
      </c>
      <c r="AC43" s="24">
        <f t="shared" si="4"/>
        <v>76.19047619</v>
      </c>
      <c r="AD43" s="26"/>
    </row>
    <row r="44" ht="15.75" customHeight="1">
      <c r="A44" s="17">
        <v>33.0</v>
      </c>
      <c r="B44" s="18" t="s">
        <v>247</v>
      </c>
      <c r="C44" s="25" t="s">
        <v>248</v>
      </c>
      <c r="D44" s="22" t="s">
        <v>32</v>
      </c>
      <c r="E44" s="21" t="s">
        <v>32</v>
      </c>
      <c r="F44" s="21" t="s">
        <v>32</v>
      </c>
      <c r="G44" s="21" t="s">
        <v>32</v>
      </c>
      <c r="H44" s="21" t="s">
        <v>31</v>
      </c>
      <c r="I44" s="21" t="s">
        <v>31</v>
      </c>
      <c r="J44" s="21" t="s">
        <v>32</v>
      </c>
      <c r="K44" s="21" t="s">
        <v>32</v>
      </c>
      <c r="L44" s="21" t="s">
        <v>32</v>
      </c>
      <c r="M44" s="21" t="s">
        <v>32</v>
      </c>
      <c r="N44" s="21" t="s">
        <v>32</v>
      </c>
      <c r="O44" s="21" t="s">
        <v>32</v>
      </c>
      <c r="P44" s="21" t="s">
        <v>32</v>
      </c>
      <c r="Q44" s="21" t="s">
        <v>31</v>
      </c>
      <c r="R44" s="21" t="s">
        <v>31</v>
      </c>
      <c r="S44" s="21" t="s">
        <v>32</v>
      </c>
      <c r="T44" s="21" t="s">
        <v>32</v>
      </c>
      <c r="U44" s="21" t="s">
        <v>32</v>
      </c>
      <c r="V44" s="21" t="s">
        <v>32</v>
      </c>
      <c r="W44" s="21" t="s">
        <v>32</v>
      </c>
      <c r="X44" s="21" t="s">
        <v>32</v>
      </c>
      <c r="Y44" s="20"/>
      <c r="Z44" s="23">
        <f t="shared" si="1"/>
        <v>17</v>
      </c>
      <c r="AA44" s="23">
        <f t="shared" si="2"/>
        <v>4</v>
      </c>
      <c r="AB44" s="23">
        <f t="shared" si="3"/>
        <v>21</v>
      </c>
      <c r="AC44" s="24">
        <f t="shared" si="4"/>
        <v>80.95238095</v>
      </c>
      <c r="AD44" s="26"/>
    </row>
    <row r="45" ht="15.75" customHeight="1">
      <c r="A45" s="17">
        <v>34.0</v>
      </c>
      <c r="B45" s="18" t="s">
        <v>249</v>
      </c>
      <c r="C45" s="25" t="s">
        <v>250</v>
      </c>
      <c r="D45" s="22" t="s">
        <v>32</v>
      </c>
      <c r="E45" s="21" t="s">
        <v>32</v>
      </c>
      <c r="F45" s="21" t="s">
        <v>32</v>
      </c>
      <c r="G45" s="21" t="s">
        <v>32</v>
      </c>
      <c r="H45" s="21" t="s">
        <v>32</v>
      </c>
      <c r="I45" s="21" t="s">
        <v>32</v>
      </c>
      <c r="J45" s="21" t="s">
        <v>32</v>
      </c>
      <c r="K45" s="21" t="s">
        <v>32</v>
      </c>
      <c r="L45" s="21" t="s">
        <v>32</v>
      </c>
      <c r="M45" s="21" t="s">
        <v>32</v>
      </c>
      <c r="N45" s="21" t="s">
        <v>32</v>
      </c>
      <c r="O45" s="21" t="s">
        <v>32</v>
      </c>
      <c r="P45" s="21" t="s">
        <v>32</v>
      </c>
      <c r="Q45" s="21" t="s">
        <v>32</v>
      </c>
      <c r="R45" s="21" t="s">
        <v>32</v>
      </c>
      <c r="S45" s="21" t="s">
        <v>32</v>
      </c>
      <c r="T45" s="21" t="s">
        <v>32</v>
      </c>
      <c r="U45" s="21" t="s">
        <v>32</v>
      </c>
      <c r="V45" s="21" t="s">
        <v>32</v>
      </c>
      <c r="W45" s="21" t="s">
        <v>32</v>
      </c>
      <c r="X45" s="21" t="s">
        <v>32</v>
      </c>
      <c r="Y45" s="20"/>
      <c r="Z45" s="23">
        <f t="shared" si="1"/>
        <v>21</v>
      </c>
      <c r="AA45" s="23">
        <f t="shared" si="2"/>
        <v>0</v>
      </c>
      <c r="AB45" s="23">
        <f t="shared" si="3"/>
        <v>21</v>
      </c>
      <c r="AC45" s="24">
        <f t="shared" si="4"/>
        <v>100</v>
      </c>
      <c r="AD45" s="26"/>
    </row>
    <row r="46" ht="15.75" customHeight="1">
      <c r="A46" s="17">
        <v>35.0</v>
      </c>
      <c r="B46" s="18" t="s">
        <v>251</v>
      </c>
      <c r="C46" s="25" t="s">
        <v>252</v>
      </c>
      <c r="D46" s="22" t="s">
        <v>32</v>
      </c>
      <c r="E46" s="21" t="s">
        <v>32</v>
      </c>
      <c r="F46" s="21" t="s">
        <v>32</v>
      </c>
      <c r="G46" s="21" t="s">
        <v>32</v>
      </c>
      <c r="H46" s="21" t="s">
        <v>31</v>
      </c>
      <c r="I46" s="21" t="s">
        <v>31</v>
      </c>
      <c r="J46" s="21" t="s">
        <v>32</v>
      </c>
      <c r="K46" s="21" t="s">
        <v>31</v>
      </c>
      <c r="L46" s="21" t="s">
        <v>31</v>
      </c>
      <c r="M46" s="21" t="s">
        <v>32</v>
      </c>
      <c r="N46" s="21" t="s">
        <v>32</v>
      </c>
      <c r="O46" s="21" t="s">
        <v>31</v>
      </c>
      <c r="P46" s="21" t="s">
        <v>31</v>
      </c>
      <c r="Q46" s="21" t="s">
        <v>32</v>
      </c>
      <c r="R46" s="21" t="s">
        <v>32</v>
      </c>
      <c r="S46" s="21" t="s">
        <v>32</v>
      </c>
      <c r="T46" s="21" t="s">
        <v>32</v>
      </c>
      <c r="U46" s="21" t="s">
        <v>32</v>
      </c>
      <c r="V46" s="21" t="s">
        <v>32</v>
      </c>
      <c r="W46" s="21" t="s">
        <v>32</v>
      </c>
      <c r="X46" s="21" t="s">
        <v>32</v>
      </c>
      <c r="Y46" s="20"/>
      <c r="Z46" s="23">
        <f t="shared" si="1"/>
        <v>15</v>
      </c>
      <c r="AA46" s="23">
        <f t="shared" si="2"/>
        <v>6</v>
      </c>
      <c r="AB46" s="23">
        <f t="shared" si="3"/>
        <v>21</v>
      </c>
      <c r="AC46" s="24">
        <f t="shared" si="4"/>
        <v>71.42857143</v>
      </c>
      <c r="AD46" s="26"/>
    </row>
    <row r="47" ht="15.75" customHeight="1">
      <c r="A47" s="17">
        <v>36.0</v>
      </c>
      <c r="B47" s="18" t="s">
        <v>253</v>
      </c>
      <c r="C47" s="25" t="s">
        <v>254</v>
      </c>
      <c r="D47" s="22" t="s">
        <v>31</v>
      </c>
      <c r="E47" s="21" t="s">
        <v>32</v>
      </c>
      <c r="F47" s="21" t="s">
        <v>32</v>
      </c>
      <c r="G47" s="21" t="s">
        <v>32</v>
      </c>
      <c r="H47" s="21" t="s">
        <v>31</v>
      </c>
      <c r="I47" s="21" t="s">
        <v>31</v>
      </c>
      <c r="J47" s="21" t="s">
        <v>32</v>
      </c>
      <c r="K47" s="21" t="s">
        <v>31</v>
      </c>
      <c r="L47" s="21" t="s">
        <v>31</v>
      </c>
      <c r="M47" s="21" t="s">
        <v>32</v>
      </c>
      <c r="N47" s="21" t="s">
        <v>32</v>
      </c>
      <c r="O47" s="21" t="s">
        <v>32</v>
      </c>
      <c r="P47" s="21" t="s">
        <v>32</v>
      </c>
      <c r="Q47" s="21" t="s">
        <v>31</v>
      </c>
      <c r="R47" s="21" t="s">
        <v>31</v>
      </c>
      <c r="S47" s="21" t="s">
        <v>32</v>
      </c>
      <c r="T47" s="21" t="s">
        <v>32</v>
      </c>
      <c r="U47" s="21" t="s">
        <v>32</v>
      </c>
      <c r="V47" s="21" t="s">
        <v>32</v>
      </c>
      <c r="W47" s="21" t="s">
        <v>32</v>
      </c>
      <c r="X47" s="21" t="s">
        <v>32</v>
      </c>
      <c r="Y47" s="20"/>
      <c r="Z47" s="23">
        <f t="shared" si="1"/>
        <v>14</v>
      </c>
      <c r="AA47" s="23">
        <f t="shared" si="2"/>
        <v>7</v>
      </c>
      <c r="AB47" s="23">
        <f t="shared" si="3"/>
        <v>21</v>
      </c>
      <c r="AC47" s="24">
        <f t="shared" si="4"/>
        <v>66.66666667</v>
      </c>
      <c r="AD47" s="26"/>
    </row>
    <row r="48" ht="15.75" customHeight="1">
      <c r="A48" s="17">
        <v>37.0</v>
      </c>
      <c r="B48" s="18" t="s">
        <v>255</v>
      </c>
      <c r="C48" s="25" t="s">
        <v>256</v>
      </c>
      <c r="D48" s="22" t="s">
        <v>32</v>
      </c>
      <c r="E48" s="21" t="s">
        <v>32</v>
      </c>
      <c r="F48" s="21" t="s">
        <v>32</v>
      </c>
      <c r="G48" s="21" t="s">
        <v>32</v>
      </c>
      <c r="H48" s="21" t="s">
        <v>31</v>
      </c>
      <c r="I48" s="21" t="s">
        <v>31</v>
      </c>
      <c r="J48" s="21" t="s">
        <v>32</v>
      </c>
      <c r="K48" s="21" t="s">
        <v>32</v>
      </c>
      <c r="L48" s="21" t="s">
        <v>32</v>
      </c>
      <c r="M48" s="21" t="s">
        <v>31</v>
      </c>
      <c r="N48" s="21" t="s">
        <v>32</v>
      </c>
      <c r="O48" s="21" t="s">
        <v>32</v>
      </c>
      <c r="P48" s="21" t="s">
        <v>32</v>
      </c>
      <c r="Q48" s="21" t="s">
        <v>32</v>
      </c>
      <c r="R48" s="21" t="s">
        <v>32</v>
      </c>
      <c r="S48" s="21" t="s">
        <v>32</v>
      </c>
      <c r="T48" s="21" t="s">
        <v>32</v>
      </c>
      <c r="U48" s="21" t="s">
        <v>32</v>
      </c>
      <c r="V48" s="21" t="s">
        <v>31</v>
      </c>
      <c r="W48" s="21" t="s">
        <v>31</v>
      </c>
      <c r="X48" s="21" t="s">
        <v>31</v>
      </c>
      <c r="Y48" s="20"/>
      <c r="Z48" s="23">
        <f t="shared" si="1"/>
        <v>15</v>
      </c>
      <c r="AA48" s="23">
        <f t="shared" si="2"/>
        <v>6</v>
      </c>
      <c r="AB48" s="23">
        <f t="shared" si="3"/>
        <v>21</v>
      </c>
      <c r="AC48" s="24">
        <f t="shared" si="4"/>
        <v>71.42857143</v>
      </c>
      <c r="AD48" s="26"/>
    </row>
    <row r="49" ht="15.75" customHeight="1">
      <c r="A49" s="17">
        <v>38.0</v>
      </c>
      <c r="B49" s="18" t="s">
        <v>257</v>
      </c>
      <c r="C49" s="25" t="s">
        <v>258</v>
      </c>
      <c r="D49" s="22" t="s">
        <v>32</v>
      </c>
      <c r="E49" s="21" t="s">
        <v>32</v>
      </c>
      <c r="F49" s="21" t="s">
        <v>32</v>
      </c>
      <c r="G49" s="21" t="s">
        <v>32</v>
      </c>
      <c r="H49" s="21" t="s">
        <v>32</v>
      </c>
      <c r="I49" s="21" t="s">
        <v>32</v>
      </c>
      <c r="J49" s="21" t="s">
        <v>32</v>
      </c>
      <c r="K49" s="21" t="s">
        <v>32</v>
      </c>
      <c r="L49" s="21" t="s">
        <v>32</v>
      </c>
      <c r="M49" s="21" t="s">
        <v>32</v>
      </c>
      <c r="N49" s="21" t="s">
        <v>32</v>
      </c>
      <c r="O49" s="21" t="s">
        <v>32</v>
      </c>
      <c r="P49" s="21" t="s">
        <v>32</v>
      </c>
      <c r="Q49" s="21" t="s">
        <v>32</v>
      </c>
      <c r="R49" s="21" t="s">
        <v>32</v>
      </c>
      <c r="S49" s="21" t="s">
        <v>32</v>
      </c>
      <c r="T49" s="21" t="s">
        <v>32</v>
      </c>
      <c r="U49" s="21" t="s">
        <v>32</v>
      </c>
      <c r="V49" s="21" t="s">
        <v>32</v>
      </c>
      <c r="W49" s="21" t="s">
        <v>32</v>
      </c>
      <c r="X49" s="21" t="s">
        <v>32</v>
      </c>
      <c r="Y49" s="20"/>
      <c r="Z49" s="23">
        <f t="shared" si="1"/>
        <v>21</v>
      </c>
      <c r="AA49" s="23">
        <f t="shared" si="2"/>
        <v>0</v>
      </c>
      <c r="AB49" s="23">
        <f t="shared" si="3"/>
        <v>21</v>
      </c>
      <c r="AC49" s="24">
        <f t="shared" si="4"/>
        <v>100</v>
      </c>
      <c r="AD49" s="26"/>
    </row>
    <row r="50" ht="15.75" customHeight="1">
      <c r="A50" s="17">
        <v>39.0</v>
      </c>
      <c r="B50" s="18" t="s">
        <v>259</v>
      </c>
      <c r="C50" s="25" t="s">
        <v>260</v>
      </c>
      <c r="D50" s="22" t="s">
        <v>31</v>
      </c>
      <c r="E50" s="21" t="s">
        <v>31</v>
      </c>
      <c r="F50" s="21" t="s">
        <v>31</v>
      </c>
      <c r="G50" s="21" t="s">
        <v>32</v>
      </c>
      <c r="H50" s="21" t="s">
        <v>31</v>
      </c>
      <c r="I50" s="21" t="s">
        <v>31</v>
      </c>
      <c r="J50" s="21" t="s">
        <v>32</v>
      </c>
      <c r="K50" s="21" t="s">
        <v>31</v>
      </c>
      <c r="L50" s="21" t="s">
        <v>31</v>
      </c>
      <c r="M50" s="21" t="s">
        <v>32</v>
      </c>
      <c r="N50" s="21" t="s">
        <v>32</v>
      </c>
      <c r="O50" s="21" t="s">
        <v>32</v>
      </c>
      <c r="P50" s="21" t="s">
        <v>32</v>
      </c>
      <c r="Q50" s="21" t="s">
        <v>32</v>
      </c>
      <c r="R50" s="21" t="s">
        <v>32</v>
      </c>
      <c r="S50" s="21" t="s">
        <v>32</v>
      </c>
      <c r="T50" s="21" t="s">
        <v>32</v>
      </c>
      <c r="U50" s="21" t="s">
        <v>32</v>
      </c>
      <c r="V50" s="21" t="s">
        <v>32</v>
      </c>
      <c r="W50" s="21" t="s">
        <v>32</v>
      </c>
      <c r="X50" s="21" t="s">
        <v>32</v>
      </c>
      <c r="Y50" s="20"/>
      <c r="Z50" s="23">
        <f t="shared" si="1"/>
        <v>14</v>
      </c>
      <c r="AA50" s="23">
        <f t="shared" si="2"/>
        <v>7</v>
      </c>
      <c r="AB50" s="23">
        <f t="shared" si="3"/>
        <v>21</v>
      </c>
      <c r="AC50" s="24">
        <f t="shared" si="4"/>
        <v>66.66666667</v>
      </c>
      <c r="AD50" s="26"/>
    </row>
    <row r="51" ht="15.75" customHeight="1">
      <c r="A51" s="17">
        <v>40.0</v>
      </c>
      <c r="B51" s="18" t="s">
        <v>261</v>
      </c>
      <c r="C51" s="25" t="s">
        <v>262</v>
      </c>
      <c r="D51" s="22" t="s">
        <v>31</v>
      </c>
      <c r="E51" s="21" t="s">
        <v>31</v>
      </c>
      <c r="F51" s="21" t="s">
        <v>31</v>
      </c>
      <c r="G51" s="21" t="s">
        <v>32</v>
      </c>
      <c r="H51" s="21" t="s">
        <v>31</v>
      </c>
      <c r="I51" s="21" t="s">
        <v>31</v>
      </c>
      <c r="J51" s="21" t="s">
        <v>32</v>
      </c>
      <c r="K51" s="21" t="s">
        <v>32</v>
      </c>
      <c r="L51" s="21" t="s">
        <v>32</v>
      </c>
      <c r="M51" s="21" t="s">
        <v>32</v>
      </c>
      <c r="N51" s="21" t="s">
        <v>32</v>
      </c>
      <c r="O51" s="21" t="s">
        <v>32</v>
      </c>
      <c r="P51" s="21" t="s">
        <v>32</v>
      </c>
      <c r="Q51" s="21" t="s">
        <v>32</v>
      </c>
      <c r="R51" s="21" t="s">
        <v>32</v>
      </c>
      <c r="S51" s="21" t="s">
        <v>32</v>
      </c>
      <c r="T51" s="21" t="s">
        <v>32</v>
      </c>
      <c r="U51" s="21" t="s">
        <v>32</v>
      </c>
      <c r="V51" s="21" t="s">
        <v>32</v>
      </c>
      <c r="W51" s="21" t="s">
        <v>32</v>
      </c>
      <c r="X51" s="21" t="s">
        <v>32</v>
      </c>
      <c r="Y51" s="20"/>
      <c r="Z51" s="23">
        <f t="shared" si="1"/>
        <v>16</v>
      </c>
      <c r="AA51" s="23">
        <f t="shared" si="2"/>
        <v>5</v>
      </c>
      <c r="AB51" s="23">
        <f t="shared" si="3"/>
        <v>21</v>
      </c>
      <c r="AC51" s="24">
        <f t="shared" si="4"/>
        <v>76.19047619</v>
      </c>
      <c r="AD51" s="26"/>
    </row>
    <row r="52" ht="15.75" customHeight="1">
      <c r="A52" s="17">
        <v>41.0</v>
      </c>
      <c r="B52" s="18" t="s">
        <v>263</v>
      </c>
      <c r="C52" s="25" t="s">
        <v>264</v>
      </c>
      <c r="D52" s="22" t="s">
        <v>32</v>
      </c>
      <c r="E52" s="21" t="s">
        <v>32</v>
      </c>
      <c r="F52" s="21" t="s">
        <v>32</v>
      </c>
      <c r="G52" s="21" t="s">
        <v>32</v>
      </c>
      <c r="H52" s="21" t="s">
        <v>32</v>
      </c>
      <c r="I52" s="21" t="s">
        <v>32</v>
      </c>
      <c r="J52" s="21" t="s">
        <v>32</v>
      </c>
      <c r="K52" s="21" t="s">
        <v>32</v>
      </c>
      <c r="L52" s="21" t="s">
        <v>32</v>
      </c>
      <c r="M52" s="21" t="s">
        <v>32</v>
      </c>
      <c r="N52" s="21" t="s">
        <v>32</v>
      </c>
      <c r="O52" s="21" t="s">
        <v>32</v>
      </c>
      <c r="P52" s="21" t="s">
        <v>32</v>
      </c>
      <c r="Q52" s="21" t="s">
        <v>31</v>
      </c>
      <c r="R52" s="21" t="s">
        <v>31</v>
      </c>
      <c r="S52" s="21" t="s">
        <v>32</v>
      </c>
      <c r="T52" s="21" t="s">
        <v>32</v>
      </c>
      <c r="U52" s="21" t="s">
        <v>32</v>
      </c>
      <c r="V52" s="21" t="s">
        <v>32</v>
      </c>
      <c r="W52" s="21" t="s">
        <v>32</v>
      </c>
      <c r="X52" s="21" t="s">
        <v>32</v>
      </c>
      <c r="Y52" s="22"/>
      <c r="Z52" s="23">
        <f t="shared" si="1"/>
        <v>19</v>
      </c>
      <c r="AA52" s="23">
        <f t="shared" si="2"/>
        <v>2</v>
      </c>
      <c r="AB52" s="23">
        <f t="shared" si="3"/>
        <v>21</v>
      </c>
      <c r="AC52" s="24">
        <f t="shared" si="4"/>
        <v>90.47619048</v>
      </c>
      <c r="AD52" s="26"/>
    </row>
    <row r="53" ht="15.75" customHeight="1">
      <c r="A53" s="17">
        <v>42.0</v>
      </c>
      <c r="B53" s="18" t="s">
        <v>265</v>
      </c>
      <c r="C53" s="25" t="s">
        <v>266</v>
      </c>
      <c r="D53" s="22" t="s">
        <v>32</v>
      </c>
      <c r="E53" s="21" t="s">
        <v>32</v>
      </c>
      <c r="F53" s="21" t="s">
        <v>32</v>
      </c>
      <c r="G53" s="21" t="s">
        <v>31</v>
      </c>
      <c r="H53" s="21" t="s">
        <v>31</v>
      </c>
      <c r="I53" s="21" t="s">
        <v>31</v>
      </c>
      <c r="J53" s="21" t="s">
        <v>32</v>
      </c>
      <c r="K53" s="21" t="s">
        <v>32</v>
      </c>
      <c r="L53" s="21" t="s">
        <v>32</v>
      </c>
      <c r="M53" s="21" t="s">
        <v>32</v>
      </c>
      <c r="N53" s="21" t="s">
        <v>31</v>
      </c>
      <c r="O53" s="21" t="s">
        <v>32</v>
      </c>
      <c r="P53" s="21" t="s">
        <v>32</v>
      </c>
      <c r="Q53" s="21" t="s">
        <v>32</v>
      </c>
      <c r="R53" s="21" t="s">
        <v>32</v>
      </c>
      <c r="S53" s="21" t="s">
        <v>32</v>
      </c>
      <c r="T53" s="21" t="s">
        <v>32</v>
      </c>
      <c r="U53" s="21" t="s">
        <v>32</v>
      </c>
      <c r="V53" s="21" t="s">
        <v>32</v>
      </c>
      <c r="W53" s="21" t="s">
        <v>32</v>
      </c>
      <c r="X53" s="21" t="s">
        <v>32</v>
      </c>
      <c r="Y53" s="20"/>
      <c r="Z53" s="23">
        <f t="shared" si="1"/>
        <v>17</v>
      </c>
      <c r="AA53" s="23">
        <f t="shared" si="2"/>
        <v>4</v>
      </c>
      <c r="AB53" s="23">
        <f t="shared" si="3"/>
        <v>21</v>
      </c>
      <c r="AC53" s="24">
        <f t="shared" si="4"/>
        <v>80.95238095</v>
      </c>
      <c r="AD53" s="26"/>
    </row>
    <row r="54" ht="15.75" customHeight="1">
      <c r="A54" s="17">
        <v>43.0</v>
      </c>
      <c r="B54" s="18" t="s">
        <v>267</v>
      </c>
      <c r="C54" s="25" t="s">
        <v>268</v>
      </c>
      <c r="D54" s="22" t="s">
        <v>32</v>
      </c>
      <c r="E54" s="21" t="s">
        <v>31</v>
      </c>
      <c r="F54" s="21" t="s">
        <v>31</v>
      </c>
      <c r="G54" s="21" t="s">
        <v>31</v>
      </c>
      <c r="H54" s="21" t="s">
        <v>31</v>
      </c>
      <c r="I54" s="21" t="s">
        <v>31</v>
      </c>
      <c r="J54" s="21" t="s">
        <v>31</v>
      </c>
      <c r="K54" s="21" t="s">
        <v>32</v>
      </c>
      <c r="L54" s="21" t="s">
        <v>32</v>
      </c>
      <c r="M54" s="21" t="s">
        <v>32</v>
      </c>
      <c r="N54" s="44"/>
      <c r="O54" s="21" t="s">
        <v>31</v>
      </c>
      <c r="P54" s="21" t="s">
        <v>31</v>
      </c>
      <c r="Q54" s="21" t="s">
        <v>31</v>
      </c>
      <c r="R54" s="21" t="s">
        <v>31</v>
      </c>
      <c r="S54" s="21" t="s">
        <v>32</v>
      </c>
      <c r="T54" s="21" t="s">
        <v>32</v>
      </c>
      <c r="U54" s="21" t="s">
        <v>32</v>
      </c>
      <c r="V54" s="21" t="s">
        <v>31</v>
      </c>
      <c r="W54" s="21" t="s">
        <v>31</v>
      </c>
      <c r="X54" s="21" t="s">
        <v>31</v>
      </c>
      <c r="Y54" s="20"/>
      <c r="Z54" s="23">
        <f t="shared" si="1"/>
        <v>7</v>
      </c>
      <c r="AA54" s="23">
        <f t="shared" si="2"/>
        <v>13</v>
      </c>
      <c r="AB54" s="23">
        <f t="shared" si="3"/>
        <v>20</v>
      </c>
      <c r="AC54" s="24">
        <f t="shared" si="4"/>
        <v>35</v>
      </c>
      <c r="AD54" s="26"/>
    </row>
    <row r="55" ht="15.75" customHeight="1">
      <c r="A55" s="17">
        <v>44.0</v>
      </c>
      <c r="B55" s="18" t="s">
        <v>269</v>
      </c>
      <c r="C55" s="25" t="s">
        <v>270</v>
      </c>
      <c r="D55" s="22" t="s">
        <v>31</v>
      </c>
      <c r="E55" s="21" t="s">
        <v>32</v>
      </c>
      <c r="F55" s="21" t="s">
        <v>32</v>
      </c>
      <c r="G55" s="21" t="s">
        <v>32</v>
      </c>
      <c r="H55" s="21" t="s">
        <v>31</v>
      </c>
      <c r="I55" s="21" t="s">
        <v>31</v>
      </c>
      <c r="J55" s="21" t="s">
        <v>32</v>
      </c>
      <c r="K55" s="21" t="s">
        <v>31</v>
      </c>
      <c r="L55" s="21" t="s">
        <v>31</v>
      </c>
      <c r="M55" s="21" t="s">
        <v>32</v>
      </c>
      <c r="N55" s="21" t="s">
        <v>32</v>
      </c>
      <c r="O55" s="21" t="s">
        <v>32</v>
      </c>
      <c r="P55" s="21" t="s">
        <v>32</v>
      </c>
      <c r="Q55" s="21" t="s">
        <v>32</v>
      </c>
      <c r="R55" s="21" t="s">
        <v>32</v>
      </c>
      <c r="S55" s="21" t="s">
        <v>32</v>
      </c>
      <c r="T55" s="21" t="s">
        <v>32</v>
      </c>
      <c r="U55" s="21" t="s">
        <v>32</v>
      </c>
      <c r="V55" s="21" t="s">
        <v>32</v>
      </c>
      <c r="W55" s="21" t="s">
        <v>32</v>
      </c>
      <c r="X55" s="21" t="s">
        <v>32</v>
      </c>
      <c r="Y55" s="22"/>
      <c r="Z55" s="23">
        <f t="shared" si="1"/>
        <v>16</v>
      </c>
      <c r="AA55" s="23">
        <f t="shared" si="2"/>
        <v>5</v>
      </c>
      <c r="AB55" s="23">
        <f t="shared" si="3"/>
        <v>21</v>
      </c>
      <c r="AC55" s="24">
        <f t="shared" si="4"/>
        <v>76.19047619</v>
      </c>
      <c r="AD55" s="26"/>
    </row>
    <row r="56" ht="15.75" customHeight="1">
      <c r="A56" s="17">
        <v>46.0</v>
      </c>
      <c r="B56" s="18" t="s">
        <v>271</v>
      </c>
      <c r="C56" s="25" t="s">
        <v>272</v>
      </c>
      <c r="D56" s="22" t="s">
        <v>31</v>
      </c>
      <c r="E56" s="21" t="s">
        <v>32</v>
      </c>
      <c r="F56" s="21" t="s">
        <v>32</v>
      </c>
      <c r="G56" s="21" t="s">
        <v>32</v>
      </c>
      <c r="H56" s="21" t="s">
        <v>31</v>
      </c>
      <c r="I56" s="21" t="s">
        <v>31</v>
      </c>
      <c r="J56" s="21" t="s">
        <v>32</v>
      </c>
      <c r="K56" s="21" t="s">
        <v>31</v>
      </c>
      <c r="L56" s="21" t="s">
        <v>31</v>
      </c>
      <c r="M56" s="21" t="s">
        <v>32</v>
      </c>
      <c r="N56" s="21" t="s">
        <v>32</v>
      </c>
      <c r="O56" s="21" t="s">
        <v>31</v>
      </c>
      <c r="P56" s="21" t="s">
        <v>31</v>
      </c>
      <c r="Q56" s="21" t="s">
        <v>32</v>
      </c>
      <c r="R56" s="21" t="s">
        <v>32</v>
      </c>
      <c r="S56" s="21" t="s">
        <v>32</v>
      </c>
      <c r="T56" s="21" t="s">
        <v>32</v>
      </c>
      <c r="U56" s="21" t="s">
        <v>32</v>
      </c>
      <c r="V56" s="21" t="s">
        <v>32</v>
      </c>
      <c r="W56" s="21" t="s">
        <v>32</v>
      </c>
      <c r="X56" s="21" t="s">
        <v>32</v>
      </c>
      <c r="Y56" s="20"/>
      <c r="Z56" s="23">
        <f t="shared" si="1"/>
        <v>14</v>
      </c>
      <c r="AA56" s="23">
        <f t="shared" si="2"/>
        <v>7</v>
      </c>
      <c r="AB56" s="23">
        <f t="shared" si="3"/>
        <v>21</v>
      </c>
      <c r="AC56" s="24">
        <f t="shared" si="4"/>
        <v>66.66666667</v>
      </c>
      <c r="AD56" s="26"/>
    </row>
    <row r="57" ht="15.75" customHeight="1">
      <c r="A57" s="17">
        <v>47.0</v>
      </c>
      <c r="B57" s="18" t="s">
        <v>273</v>
      </c>
      <c r="C57" s="25" t="s">
        <v>274</v>
      </c>
      <c r="D57" s="22" t="s">
        <v>32</v>
      </c>
      <c r="E57" s="21" t="s">
        <v>32</v>
      </c>
      <c r="F57" s="21" t="s">
        <v>32</v>
      </c>
      <c r="G57" s="21" t="s">
        <v>32</v>
      </c>
      <c r="H57" s="21" t="s">
        <v>31</v>
      </c>
      <c r="I57" s="21" t="s">
        <v>31</v>
      </c>
      <c r="J57" s="21" t="s">
        <v>32</v>
      </c>
      <c r="K57" s="21" t="s">
        <v>32</v>
      </c>
      <c r="L57" s="21" t="s">
        <v>32</v>
      </c>
      <c r="M57" s="21" t="s">
        <v>32</v>
      </c>
      <c r="N57" s="21" t="s">
        <v>32</v>
      </c>
      <c r="O57" s="21" t="s">
        <v>32</v>
      </c>
      <c r="P57" s="21" t="s">
        <v>32</v>
      </c>
      <c r="Q57" s="21" t="s">
        <v>32</v>
      </c>
      <c r="R57" s="21" t="s">
        <v>32</v>
      </c>
      <c r="S57" s="21" t="s">
        <v>32</v>
      </c>
      <c r="T57" s="21" t="s">
        <v>31</v>
      </c>
      <c r="U57" s="21" t="s">
        <v>31</v>
      </c>
      <c r="V57" s="21" t="s">
        <v>32</v>
      </c>
      <c r="W57" s="21" t="s">
        <v>32</v>
      </c>
      <c r="X57" s="21" t="s">
        <v>32</v>
      </c>
      <c r="Y57" s="20"/>
      <c r="Z57" s="23">
        <f t="shared" si="1"/>
        <v>17</v>
      </c>
      <c r="AA57" s="23">
        <f t="shared" si="2"/>
        <v>4</v>
      </c>
      <c r="AB57" s="23">
        <f t="shared" si="3"/>
        <v>21</v>
      </c>
      <c r="AC57" s="24">
        <f t="shared" si="4"/>
        <v>80.95238095</v>
      </c>
      <c r="AD57" s="26"/>
    </row>
    <row r="58" ht="15.75" customHeight="1">
      <c r="A58" s="17">
        <v>48.0</v>
      </c>
      <c r="B58" s="18" t="s">
        <v>275</v>
      </c>
      <c r="C58" s="25" t="s">
        <v>276</v>
      </c>
      <c r="D58" s="22" t="s">
        <v>32</v>
      </c>
      <c r="E58" s="21" t="s">
        <v>31</v>
      </c>
      <c r="F58" s="21" t="s">
        <v>31</v>
      </c>
      <c r="G58" s="21" t="s">
        <v>32</v>
      </c>
      <c r="H58" s="21" t="s">
        <v>32</v>
      </c>
      <c r="I58" s="21" t="s">
        <v>32</v>
      </c>
      <c r="J58" s="21" t="s">
        <v>32</v>
      </c>
      <c r="K58" s="21" t="s">
        <v>31</v>
      </c>
      <c r="L58" s="21" t="s">
        <v>31</v>
      </c>
      <c r="M58" s="21" t="s">
        <v>32</v>
      </c>
      <c r="N58" s="21" t="s">
        <v>32</v>
      </c>
      <c r="O58" s="21" t="s">
        <v>32</v>
      </c>
      <c r="P58" s="21" t="s">
        <v>32</v>
      </c>
      <c r="Q58" s="21" t="s">
        <v>31</v>
      </c>
      <c r="R58" s="21" t="s">
        <v>31</v>
      </c>
      <c r="S58" s="21" t="s">
        <v>32</v>
      </c>
      <c r="T58" s="21" t="s">
        <v>32</v>
      </c>
      <c r="U58" s="21" t="s">
        <v>32</v>
      </c>
      <c r="V58" s="21" t="s">
        <v>32</v>
      </c>
      <c r="W58" s="21" t="s">
        <v>32</v>
      </c>
      <c r="X58" s="21" t="s">
        <v>32</v>
      </c>
      <c r="Y58" s="22"/>
      <c r="Z58" s="23">
        <f t="shared" si="1"/>
        <v>15</v>
      </c>
      <c r="AA58" s="23">
        <f t="shared" si="2"/>
        <v>6</v>
      </c>
      <c r="AB58" s="23">
        <f t="shared" si="3"/>
        <v>21</v>
      </c>
      <c r="AC58" s="24">
        <f t="shared" si="4"/>
        <v>71.42857143</v>
      </c>
      <c r="AD58" s="26"/>
    </row>
    <row r="59" ht="15.75" customHeight="1">
      <c r="A59" s="17">
        <v>49.0</v>
      </c>
      <c r="B59" s="18" t="s">
        <v>277</v>
      </c>
      <c r="C59" s="25" t="s">
        <v>278</v>
      </c>
      <c r="D59" s="22" t="s">
        <v>32</v>
      </c>
      <c r="E59" s="21" t="s">
        <v>32</v>
      </c>
      <c r="F59" s="21" t="s">
        <v>32</v>
      </c>
      <c r="G59" s="21" t="s">
        <v>32</v>
      </c>
      <c r="H59" s="21" t="s">
        <v>32</v>
      </c>
      <c r="I59" s="21" t="s">
        <v>32</v>
      </c>
      <c r="J59" s="21" t="s">
        <v>32</v>
      </c>
      <c r="K59" s="21" t="s">
        <v>31</v>
      </c>
      <c r="L59" s="21" t="s">
        <v>32</v>
      </c>
      <c r="M59" s="21" t="s">
        <v>31</v>
      </c>
      <c r="N59" s="21" t="s">
        <v>32</v>
      </c>
      <c r="O59" s="21" t="s">
        <v>32</v>
      </c>
      <c r="P59" s="21" t="s">
        <v>32</v>
      </c>
      <c r="Q59" s="21" t="s">
        <v>32</v>
      </c>
      <c r="R59" s="21" t="s">
        <v>32</v>
      </c>
      <c r="S59" s="21" t="s">
        <v>32</v>
      </c>
      <c r="T59" s="21" t="s">
        <v>31</v>
      </c>
      <c r="U59" s="21" t="s">
        <v>31</v>
      </c>
      <c r="V59" s="21" t="s">
        <v>32</v>
      </c>
      <c r="W59" s="21" t="s">
        <v>32</v>
      </c>
      <c r="X59" s="21" t="s">
        <v>32</v>
      </c>
      <c r="Y59" s="22"/>
      <c r="Z59" s="23">
        <f t="shared" si="1"/>
        <v>17</v>
      </c>
      <c r="AA59" s="23">
        <f t="shared" si="2"/>
        <v>4</v>
      </c>
      <c r="AB59" s="23">
        <f t="shared" si="3"/>
        <v>21</v>
      </c>
      <c r="AC59" s="24">
        <f t="shared" si="4"/>
        <v>80.95238095</v>
      </c>
      <c r="AD59" s="26"/>
    </row>
    <row r="60" ht="15.75" customHeight="1">
      <c r="A60" s="17">
        <v>50.0</v>
      </c>
      <c r="B60" s="18" t="s">
        <v>279</v>
      </c>
      <c r="C60" s="25" t="s">
        <v>280</v>
      </c>
      <c r="D60" s="22" t="s">
        <v>31</v>
      </c>
      <c r="E60" s="21" t="s">
        <v>32</v>
      </c>
      <c r="F60" s="21" t="s">
        <v>32</v>
      </c>
      <c r="G60" s="21" t="s">
        <v>32</v>
      </c>
      <c r="H60" s="21" t="s">
        <v>32</v>
      </c>
      <c r="I60" s="21" t="s">
        <v>32</v>
      </c>
      <c r="J60" s="21" t="s">
        <v>32</v>
      </c>
      <c r="K60" s="21" t="s">
        <v>31</v>
      </c>
      <c r="L60" s="21" t="s">
        <v>31</v>
      </c>
      <c r="M60" s="21" t="s">
        <v>32</v>
      </c>
      <c r="N60" s="21" t="s">
        <v>32</v>
      </c>
      <c r="O60" s="21" t="s">
        <v>32</v>
      </c>
      <c r="P60" s="21" t="s">
        <v>32</v>
      </c>
      <c r="Q60" s="21" t="s">
        <v>32</v>
      </c>
      <c r="R60" s="21" t="s">
        <v>32</v>
      </c>
      <c r="S60" s="21" t="s">
        <v>32</v>
      </c>
      <c r="T60" s="21" t="s">
        <v>32</v>
      </c>
      <c r="U60" s="21" t="s">
        <v>32</v>
      </c>
      <c r="V60" s="21" t="s">
        <v>32</v>
      </c>
      <c r="W60" s="21" t="s">
        <v>32</v>
      </c>
      <c r="X60" s="21" t="s">
        <v>32</v>
      </c>
      <c r="Y60" s="20"/>
      <c r="Z60" s="23">
        <f t="shared" si="1"/>
        <v>18</v>
      </c>
      <c r="AA60" s="23">
        <f t="shared" si="2"/>
        <v>3</v>
      </c>
      <c r="AB60" s="23">
        <f t="shared" si="3"/>
        <v>21</v>
      </c>
      <c r="AC60" s="24">
        <f t="shared" si="4"/>
        <v>85.71428571</v>
      </c>
      <c r="AD60" s="26"/>
    </row>
    <row r="61" ht="15.75" customHeight="1">
      <c r="A61" s="17">
        <v>51.0</v>
      </c>
      <c r="B61" s="18" t="s">
        <v>281</v>
      </c>
      <c r="C61" s="25" t="s">
        <v>282</v>
      </c>
      <c r="D61" s="22" t="s">
        <v>32</v>
      </c>
      <c r="E61" s="21" t="s">
        <v>32</v>
      </c>
      <c r="F61" s="21" t="s">
        <v>32</v>
      </c>
      <c r="G61" s="21" t="s">
        <v>32</v>
      </c>
      <c r="H61" s="21" t="s">
        <v>31</v>
      </c>
      <c r="I61" s="21" t="s">
        <v>31</v>
      </c>
      <c r="J61" s="21" t="s">
        <v>32</v>
      </c>
      <c r="K61" s="21" t="s">
        <v>32</v>
      </c>
      <c r="L61" s="21" t="s">
        <v>32</v>
      </c>
      <c r="M61" s="21" t="s">
        <v>32</v>
      </c>
      <c r="N61" s="21" t="s">
        <v>32</v>
      </c>
      <c r="O61" s="21" t="s">
        <v>32</v>
      </c>
      <c r="P61" s="21" t="s">
        <v>32</v>
      </c>
      <c r="Q61" s="21" t="s">
        <v>32</v>
      </c>
      <c r="R61" s="21" t="s">
        <v>32</v>
      </c>
      <c r="S61" s="21" t="s">
        <v>32</v>
      </c>
      <c r="T61" s="21" t="s">
        <v>31</v>
      </c>
      <c r="U61" s="21" t="s">
        <v>31</v>
      </c>
      <c r="V61" s="21" t="s">
        <v>32</v>
      </c>
      <c r="W61" s="21" t="s">
        <v>32</v>
      </c>
      <c r="X61" s="21" t="s">
        <v>32</v>
      </c>
      <c r="Y61" s="20"/>
      <c r="Z61" s="23">
        <f t="shared" si="1"/>
        <v>17</v>
      </c>
      <c r="AA61" s="23">
        <f t="shared" si="2"/>
        <v>4</v>
      </c>
      <c r="AB61" s="23">
        <f t="shared" si="3"/>
        <v>21</v>
      </c>
      <c r="AC61" s="24">
        <f t="shared" si="4"/>
        <v>80.95238095</v>
      </c>
      <c r="AD61" s="26"/>
    </row>
    <row r="62" ht="15.75" customHeight="1">
      <c r="A62" s="17">
        <v>52.0</v>
      </c>
      <c r="B62" s="18" t="s">
        <v>283</v>
      </c>
      <c r="C62" s="25" t="s">
        <v>284</v>
      </c>
      <c r="D62" s="22" t="s">
        <v>32</v>
      </c>
      <c r="E62" s="21" t="s">
        <v>32</v>
      </c>
      <c r="F62" s="21" t="s">
        <v>32</v>
      </c>
      <c r="G62" s="21" t="s">
        <v>32</v>
      </c>
      <c r="H62" s="21" t="s">
        <v>32</v>
      </c>
      <c r="I62" s="21" t="s">
        <v>32</v>
      </c>
      <c r="J62" s="21" t="s">
        <v>32</v>
      </c>
      <c r="K62" s="21" t="s">
        <v>31</v>
      </c>
      <c r="L62" s="21" t="s">
        <v>31</v>
      </c>
      <c r="M62" s="21" t="s">
        <v>32</v>
      </c>
      <c r="N62" s="21" t="s">
        <v>32</v>
      </c>
      <c r="O62" s="21" t="s">
        <v>32</v>
      </c>
      <c r="P62" s="21" t="s">
        <v>32</v>
      </c>
      <c r="Q62" s="21" t="s">
        <v>32</v>
      </c>
      <c r="R62" s="21" t="s">
        <v>32</v>
      </c>
      <c r="S62" s="21" t="s">
        <v>32</v>
      </c>
      <c r="T62" s="21" t="s">
        <v>32</v>
      </c>
      <c r="U62" s="21" t="s">
        <v>32</v>
      </c>
      <c r="V62" s="21" t="s">
        <v>32</v>
      </c>
      <c r="W62" s="21" t="s">
        <v>32</v>
      </c>
      <c r="X62" s="21" t="s">
        <v>32</v>
      </c>
      <c r="Y62" s="22"/>
      <c r="Z62" s="23">
        <f t="shared" si="1"/>
        <v>19</v>
      </c>
      <c r="AA62" s="23">
        <f t="shared" si="2"/>
        <v>2</v>
      </c>
      <c r="AB62" s="23">
        <f t="shared" si="3"/>
        <v>21</v>
      </c>
      <c r="AC62" s="24">
        <f t="shared" si="4"/>
        <v>90.47619048</v>
      </c>
      <c r="AD62" s="26"/>
    </row>
    <row r="63" ht="15.75" customHeight="1">
      <c r="A63" s="17">
        <v>53.0</v>
      </c>
      <c r="B63" s="18" t="s">
        <v>285</v>
      </c>
      <c r="C63" s="25" t="s">
        <v>286</v>
      </c>
      <c r="D63" s="22" t="s">
        <v>32</v>
      </c>
      <c r="E63" s="21" t="s">
        <v>32</v>
      </c>
      <c r="F63" s="21" t="s">
        <v>32</v>
      </c>
      <c r="G63" s="21" t="s">
        <v>32</v>
      </c>
      <c r="H63" s="21" t="s">
        <v>31</v>
      </c>
      <c r="I63" s="21" t="s">
        <v>31</v>
      </c>
      <c r="J63" s="21" t="s">
        <v>32</v>
      </c>
      <c r="K63" s="21" t="s">
        <v>32</v>
      </c>
      <c r="L63" s="21" t="s">
        <v>32</v>
      </c>
      <c r="M63" s="21" t="s">
        <v>32</v>
      </c>
      <c r="N63" s="21" t="s">
        <v>32</v>
      </c>
      <c r="O63" s="21" t="s">
        <v>32</v>
      </c>
      <c r="P63" s="21" t="s">
        <v>32</v>
      </c>
      <c r="Q63" s="21" t="s">
        <v>32</v>
      </c>
      <c r="R63" s="21" t="s">
        <v>32</v>
      </c>
      <c r="S63" s="21" t="s">
        <v>32</v>
      </c>
      <c r="T63" s="21" t="s">
        <v>31</v>
      </c>
      <c r="U63" s="21" t="s">
        <v>31</v>
      </c>
      <c r="V63" s="21" t="s">
        <v>32</v>
      </c>
      <c r="W63" s="21" t="s">
        <v>32</v>
      </c>
      <c r="X63" s="21" t="s">
        <v>32</v>
      </c>
      <c r="Y63" s="20"/>
      <c r="Z63" s="23">
        <f t="shared" si="1"/>
        <v>17</v>
      </c>
      <c r="AA63" s="23">
        <f t="shared" si="2"/>
        <v>4</v>
      </c>
      <c r="AB63" s="23">
        <f t="shared" si="3"/>
        <v>21</v>
      </c>
      <c r="AC63" s="24">
        <f t="shared" si="4"/>
        <v>80.95238095</v>
      </c>
      <c r="AD63" s="26"/>
    </row>
    <row r="64" ht="15.75" customHeight="1">
      <c r="A64" s="17">
        <v>54.0</v>
      </c>
      <c r="B64" s="18" t="s">
        <v>287</v>
      </c>
      <c r="C64" s="25" t="s">
        <v>288</v>
      </c>
      <c r="D64" s="22" t="s">
        <v>31</v>
      </c>
      <c r="E64" s="21" t="s">
        <v>32</v>
      </c>
      <c r="F64" s="21" t="s">
        <v>32</v>
      </c>
      <c r="G64" s="21" t="s">
        <v>32</v>
      </c>
      <c r="H64" s="21" t="s">
        <v>32</v>
      </c>
      <c r="I64" s="21" t="s">
        <v>32</v>
      </c>
      <c r="J64" s="21" t="s">
        <v>32</v>
      </c>
      <c r="K64" s="21" t="s">
        <v>31</v>
      </c>
      <c r="L64" s="21" t="s">
        <v>32</v>
      </c>
      <c r="M64" s="21" t="s">
        <v>31</v>
      </c>
      <c r="N64" s="21" t="s">
        <v>32</v>
      </c>
      <c r="O64" s="21" t="s">
        <v>32</v>
      </c>
      <c r="P64" s="21" t="s">
        <v>32</v>
      </c>
      <c r="Q64" s="21" t="s">
        <v>32</v>
      </c>
      <c r="R64" s="21" t="s">
        <v>32</v>
      </c>
      <c r="S64" s="21" t="s">
        <v>32</v>
      </c>
      <c r="T64" s="21" t="s">
        <v>31</v>
      </c>
      <c r="U64" s="21" t="s">
        <v>31</v>
      </c>
      <c r="V64" s="21" t="s">
        <v>32</v>
      </c>
      <c r="W64" s="21" t="s">
        <v>32</v>
      </c>
      <c r="X64" s="21" t="s">
        <v>32</v>
      </c>
      <c r="Y64" s="22"/>
      <c r="Z64" s="23">
        <f t="shared" si="1"/>
        <v>16</v>
      </c>
      <c r="AA64" s="23">
        <f t="shared" si="2"/>
        <v>5</v>
      </c>
      <c r="AB64" s="23">
        <f t="shared" si="3"/>
        <v>21</v>
      </c>
      <c r="AC64" s="24">
        <f t="shared" si="4"/>
        <v>76.19047619</v>
      </c>
      <c r="AD64" s="26"/>
    </row>
    <row r="65" ht="15.75" customHeight="1">
      <c r="A65" s="17">
        <v>55.0</v>
      </c>
      <c r="B65" s="18" t="s">
        <v>289</v>
      </c>
      <c r="C65" s="25" t="s">
        <v>290</v>
      </c>
      <c r="D65" s="22" t="s">
        <v>32</v>
      </c>
      <c r="E65" s="21" t="s">
        <v>32</v>
      </c>
      <c r="F65" s="21" t="s">
        <v>32</v>
      </c>
      <c r="G65" s="21" t="s">
        <v>32</v>
      </c>
      <c r="H65" s="21" t="s">
        <v>32</v>
      </c>
      <c r="I65" s="21" t="s">
        <v>32</v>
      </c>
      <c r="J65" s="21" t="s">
        <v>32</v>
      </c>
      <c r="K65" s="21" t="s">
        <v>32</v>
      </c>
      <c r="L65" s="21" t="s">
        <v>32</v>
      </c>
      <c r="M65" s="21" t="s">
        <v>32</v>
      </c>
      <c r="N65" s="21" t="s">
        <v>32</v>
      </c>
      <c r="O65" s="21" t="s">
        <v>32</v>
      </c>
      <c r="P65" s="21" t="s">
        <v>32</v>
      </c>
      <c r="Q65" s="21" t="s">
        <v>32</v>
      </c>
      <c r="R65" s="21" t="s">
        <v>32</v>
      </c>
      <c r="S65" s="21" t="s">
        <v>32</v>
      </c>
      <c r="T65" s="21" t="s">
        <v>32</v>
      </c>
      <c r="U65" s="21" t="s">
        <v>32</v>
      </c>
      <c r="V65" s="21" t="s">
        <v>32</v>
      </c>
      <c r="W65" s="21" t="s">
        <v>32</v>
      </c>
      <c r="X65" s="21" t="s">
        <v>32</v>
      </c>
      <c r="Y65" s="22"/>
      <c r="Z65" s="23">
        <f t="shared" si="1"/>
        <v>21</v>
      </c>
      <c r="AA65" s="23">
        <f t="shared" si="2"/>
        <v>0</v>
      </c>
      <c r="AB65" s="23">
        <f t="shared" si="3"/>
        <v>21</v>
      </c>
      <c r="AC65" s="24">
        <f t="shared" si="4"/>
        <v>100</v>
      </c>
      <c r="AD65" s="26"/>
    </row>
    <row r="66" ht="15.75" customHeight="1">
      <c r="A66" s="17">
        <v>56.0</v>
      </c>
      <c r="B66" s="18" t="s">
        <v>291</v>
      </c>
      <c r="C66" s="25" t="s">
        <v>292</v>
      </c>
      <c r="D66" s="22" t="s">
        <v>31</v>
      </c>
      <c r="E66" s="21" t="s">
        <v>32</v>
      </c>
      <c r="F66" s="21" t="s">
        <v>32</v>
      </c>
      <c r="G66" s="21" t="s">
        <v>32</v>
      </c>
      <c r="H66" s="21" t="s">
        <v>32</v>
      </c>
      <c r="I66" s="21" t="s">
        <v>32</v>
      </c>
      <c r="J66" s="21" t="s">
        <v>32</v>
      </c>
      <c r="K66" s="21" t="s">
        <v>31</v>
      </c>
      <c r="L66" s="21" t="s">
        <v>32</v>
      </c>
      <c r="M66" s="21" t="s">
        <v>31</v>
      </c>
      <c r="N66" s="21" t="s">
        <v>32</v>
      </c>
      <c r="O66" s="21" t="s">
        <v>32</v>
      </c>
      <c r="P66" s="21" t="s">
        <v>32</v>
      </c>
      <c r="Q66" s="21" t="s">
        <v>31</v>
      </c>
      <c r="R66" s="21" t="s">
        <v>31</v>
      </c>
      <c r="S66" s="21" t="s">
        <v>31</v>
      </c>
      <c r="T66" s="21" t="s">
        <v>32</v>
      </c>
      <c r="U66" s="21" t="s">
        <v>32</v>
      </c>
      <c r="V66" s="21" t="s">
        <v>32</v>
      </c>
      <c r="W66" s="21" t="s">
        <v>32</v>
      </c>
      <c r="X66" s="21" t="s">
        <v>32</v>
      </c>
      <c r="Y66" s="20"/>
      <c r="Z66" s="23">
        <f t="shared" si="1"/>
        <v>15</v>
      </c>
      <c r="AA66" s="23">
        <f t="shared" si="2"/>
        <v>6</v>
      </c>
      <c r="AB66" s="23">
        <f t="shared" si="3"/>
        <v>21</v>
      </c>
      <c r="AC66" s="24">
        <f t="shared" si="4"/>
        <v>71.42857143</v>
      </c>
      <c r="AD66" s="26"/>
    </row>
    <row r="67" ht="15.75" customHeight="1">
      <c r="A67" s="17">
        <v>57.0</v>
      </c>
      <c r="B67" s="18" t="s">
        <v>293</v>
      </c>
      <c r="C67" s="25" t="s">
        <v>294</v>
      </c>
      <c r="D67" s="22" t="s">
        <v>32</v>
      </c>
      <c r="E67" s="30" t="s">
        <v>32</v>
      </c>
      <c r="F67" s="30" t="s">
        <v>32</v>
      </c>
      <c r="G67" s="30" t="s">
        <v>32</v>
      </c>
      <c r="H67" s="30" t="s">
        <v>31</v>
      </c>
      <c r="I67" s="30" t="s">
        <v>31</v>
      </c>
      <c r="J67" s="30" t="s">
        <v>32</v>
      </c>
      <c r="K67" s="30" t="s">
        <v>31</v>
      </c>
      <c r="L67" s="30" t="s">
        <v>31</v>
      </c>
      <c r="M67" s="30" t="s">
        <v>32</v>
      </c>
      <c r="N67" s="30" t="s">
        <v>32</v>
      </c>
      <c r="O67" s="30" t="s">
        <v>32</v>
      </c>
      <c r="P67" s="30" t="s">
        <v>32</v>
      </c>
      <c r="Q67" s="30" t="s">
        <v>32</v>
      </c>
      <c r="R67" s="30" t="s">
        <v>32</v>
      </c>
      <c r="S67" s="30" t="s">
        <v>32</v>
      </c>
      <c r="T67" s="30" t="s">
        <v>32</v>
      </c>
      <c r="U67" s="30" t="s">
        <v>32</v>
      </c>
      <c r="V67" s="30" t="s">
        <v>32</v>
      </c>
      <c r="W67" s="30" t="s">
        <v>32</v>
      </c>
      <c r="X67" s="30" t="s">
        <v>32</v>
      </c>
      <c r="Y67" s="20"/>
      <c r="Z67" s="23">
        <f t="shared" si="1"/>
        <v>17</v>
      </c>
      <c r="AA67" s="23">
        <f t="shared" si="2"/>
        <v>4</v>
      </c>
      <c r="AB67" s="23">
        <f t="shared" si="3"/>
        <v>21</v>
      </c>
      <c r="AC67" s="24">
        <f t="shared" si="4"/>
        <v>80.95238095</v>
      </c>
      <c r="AD67" s="26"/>
    </row>
    <row r="68" ht="15.75" customHeight="1">
      <c r="A68" s="17">
        <v>58.0</v>
      </c>
      <c r="B68" s="18" t="s">
        <v>295</v>
      </c>
      <c r="C68" s="25" t="s">
        <v>296</v>
      </c>
      <c r="D68" s="22" t="s">
        <v>31</v>
      </c>
      <c r="E68" s="30" t="s">
        <v>32</v>
      </c>
      <c r="F68" s="30" t="s">
        <v>32</v>
      </c>
      <c r="G68" s="30" t="s">
        <v>32</v>
      </c>
      <c r="H68" s="30" t="s">
        <v>31</v>
      </c>
      <c r="I68" s="30" t="s">
        <v>31</v>
      </c>
      <c r="J68" s="30" t="s">
        <v>32</v>
      </c>
      <c r="K68" s="30" t="s">
        <v>31</v>
      </c>
      <c r="L68" s="30" t="s">
        <v>31</v>
      </c>
      <c r="M68" s="30" t="s">
        <v>32</v>
      </c>
      <c r="N68" s="30" t="s">
        <v>32</v>
      </c>
      <c r="O68" s="30" t="s">
        <v>32</v>
      </c>
      <c r="P68" s="30" t="s">
        <v>32</v>
      </c>
      <c r="Q68" s="30" t="s">
        <v>32</v>
      </c>
      <c r="R68" s="30" t="s">
        <v>32</v>
      </c>
      <c r="S68" s="30" t="s">
        <v>32</v>
      </c>
      <c r="T68" s="30" t="s">
        <v>31</v>
      </c>
      <c r="U68" s="30" t="s">
        <v>31</v>
      </c>
      <c r="V68" s="30" t="s">
        <v>32</v>
      </c>
      <c r="W68" s="30" t="s">
        <v>32</v>
      </c>
      <c r="X68" s="30" t="s">
        <v>32</v>
      </c>
      <c r="Y68" s="20"/>
      <c r="Z68" s="23">
        <f t="shared" si="1"/>
        <v>14</v>
      </c>
      <c r="AA68" s="23">
        <f t="shared" si="2"/>
        <v>7</v>
      </c>
      <c r="AB68" s="23">
        <f t="shared" si="3"/>
        <v>21</v>
      </c>
      <c r="AC68" s="24">
        <f t="shared" si="4"/>
        <v>66.66666667</v>
      </c>
      <c r="AD68" s="26"/>
    </row>
    <row r="69" ht="15.75" customHeight="1">
      <c r="A69" s="17">
        <v>59.0</v>
      </c>
      <c r="B69" s="18" t="s">
        <v>297</v>
      </c>
      <c r="C69" s="25" t="s">
        <v>298</v>
      </c>
      <c r="D69" s="22" t="s">
        <v>32</v>
      </c>
      <c r="E69" s="22"/>
      <c r="F69" s="22"/>
      <c r="G69" s="20"/>
      <c r="H69" s="20"/>
      <c r="I69" s="20"/>
      <c r="J69" s="20"/>
      <c r="K69" s="20"/>
      <c r="L69" s="22"/>
      <c r="M69" s="22"/>
      <c r="N69" s="20"/>
      <c r="O69" s="20"/>
      <c r="P69" s="31"/>
      <c r="Q69" s="20"/>
      <c r="R69" s="20"/>
      <c r="S69" s="22"/>
      <c r="T69" s="20"/>
      <c r="U69" s="22"/>
      <c r="V69" s="22"/>
      <c r="W69" s="22"/>
      <c r="X69" s="22"/>
      <c r="Y69" s="22"/>
      <c r="Z69" s="23">
        <f t="shared" si="1"/>
        <v>1</v>
      </c>
      <c r="AA69" s="23">
        <f t="shared" si="2"/>
        <v>0</v>
      </c>
      <c r="AB69" s="23">
        <f t="shared" si="3"/>
        <v>1</v>
      </c>
      <c r="AC69" s="24">
        <f t="shared" si="4"/>
        <v>100</v>
      </c>
      <c r="AD69" s="26"/>
    </row>
    <row r="70" ht="15.75" customHeight="1">
      <c r="A70" s="17"/>
      <c r="B70" s="18"/>
      <c r="C70" s="25"/>
      <c r="D70" s="20"/>
      <c r="E70" s="22"/>
      <c r="F70" s="20"/>
      <c r="G70" s="22"/>
      <c r="H70" s="22"/>
      <c r="I70" s="22"/>
      <c r="J70" s="20"/>
      <c r="K70" s="20"/>
      <c r="L70" s="22"/>
      <c r="M70" s="22"/>
      <c r="N70" s="20"/>
      <c r="O70" s="31"/>
      <c r="P70" s="31"/>
      <c r="Q70" s="20"/>
      <c r="R70" s="20"/>
      <c r="S70" s="20"/>
      <c r="T70" s="20"/>
      <c r="U70" s="20"/>
      <c r="V70" s="22"/>
      <c r="W70" s="22"/>
      <c r="X70" s="20"/>
      <c r="Y70" s="20"/>
      <c r="Z70" s="23"/>
      <c r="AA70" s="23"/>
      <c r="AB70" s="23"/>
      <c r="AC70" s="32"/>
      <c r="AD70" s="26"/>
    </row>
    <row r="71" ht="15.75" customHeight="1">
      <c r="A71" s="17"/>
      <c r="B71" s="18"/>
      <c r="C71" s="25"/>
      <c r="D71" s="22"/>
      <c r="E71" s="22"/>
      <c r="F71" s="20"/>
      <c r="G71" s="22"/>
      <c r="H71" s="22"/>
      <c r="I71" s="22"/>
      <c r="J71" s="20"/>
      <c r="K71" s="20"/>
      <c r="L71" s="22"/>
      <c r="M71" s="22"/>
      <c r="N71" s="22"/>
      <c r="O71" s="31"/>
      <c r="P71" s="31"/>
      <c r="Q71" s="20"/>
      <c r="R71" s="20"/>
      <c r="S71" s="20"/>
      <c r="T71" s="20"/>
      <c r="U71" s="20"/>
      <c r="V71" s="22"/>
      <c r="W71" s="22"/>
      <c r="X71" s="20"/>
      <c r="Y71" s="22"/>
      <c r="Z71" s="23"/>
      <c r="AA71" s="23"/>
      <c r="AB71" s="23"/>
      <c r="AC71" s="32"/>
      <c r="AD71" s="26"/>
    </row>
    <row r="72" ht="15.75" customHeight="1">
      <c r="A72" s="17"/>
      <c r="B72" s="18"/>
      <c r="C72" s="25"/>
      <c r="D72" s="20"/>
      <c r="E72" s="22"/>
      <c r="F72" s="20"/>
      <c r="G72" s="20"/>
      <c r="H72" s="20"/>
      <c r="I72" s="20"/>
      <c r="J72" s="22"/>
      <c r="K72" s="20"/>
      <c r="L72" s="20"/>
      <c r="M72" s="20"/>
      <c r="N72" s="22"/>
      <c r="O72" s="31"/>
      <c r="P72" s="31"/>
      <c r="Q72" s="22"/>
      <c r="R72" s="22"/>
      <c r="S72" s="20"/>
      <c r="T72" s="20"/>
      <c r="U72" s="20"/>
      <c r="V72" s="20"/>
      <c r="W72" s="20"/>
      <c r="X72" s="20"/>
      <c r="Y72" s="20"/>
      <c r="Z72" s="23"/>
      <c r="AA72" s="23"/>
      <c r="AB72" s="23"/>
      <c r="AC72" s="32"/>
      <c r="AD72" s="26"/>
    </row>
    <row r="73" ht="15.75" customHeight="1">
      <c r="A73" s="17"/>
      <c r="B73" s="18"/>
      <c r="C73" s="25"/>
      <c r="D73" s="20"/>
      <c r="E73" s="22"/>
      <c r="F73" s="20"/>
      <c r="G73" s="20"/>
      <c r="H73" s="20"/>
      <c r="I73" s="20"/>
      <c r="J73" s="20"/>
      <c r="K73" s="20"/>
      <c r="L73" s="20"/>
      <c r="M73" s="20"/>
      <c r="N73" s="20"/>
      <c r="O73" s="33"/>
      <c r="P73" s="33"/>
      <c r="Q73" s="20"/>
      <c r="R73" s="20"/>
      <c r="S73" s="20"/>
      <c r="T73" s="20"/>
      <c r="U73" s="20"/>
      <c r="V73" s="20"/>
      <c r="W73" s="22"/>
      <c r="X73" s="20"/>
      <c r="Y73" s="20"/>
      <c r="Z73" s="23"/>
      <c r="AA73" s="23"/>
      <c r="AB73" s="23"/>
      <c r="AC73" s="32"/>
      <c r="AD73" s="26"/>
    </row>
    <row r="74" ht="15.75" customHeight="1">
      <c r="A74" s="17"/>
      <c r="B74" s="18"/>
      <c r="C74" s="25"/>
      <c r="D74" s="20"/>
      <c r="E74" s="22"/>
      <c r="F74" s="20"/>
      <c r="G74" s="20"/>
      <c r="H74" s="20"/>
      <c r="I74" s="20"/>
      <c r="J74" s="20"/>
      <c r="K74" s="20"/>
      <c r="L74" s="20"/>
      <c r="M74" s="20"/>
      <c r="N74" s="20"/>
      <c r="O74" s="31"/>
      <c r="P74" s="31"/>
      <c r="Q74" s="20"/>
      <c r="R74" s="20"/>
      <c r="S74" s="20"/>
      <c r="T74" s="20"/>
      <c r="U74" s="20"/>
      <c r="V74" s="20"/>
      <c r="W74" s="20"/>
      <c r="X74" s="20"/>
      <c r="Y74" s="20"/>
      <c r="Z74" s="23"/>
      <c r="AA74" s="23"/>
      <c r="AB74" s="23"/>
      <c r="AC74" s="32"/>
      <c r="AD74" s="26"/>
    </row>
    <row r="75" ht="15.75" customHeight="1">
      <c r="B75" s="34"/>
      <c r="C75" s="34"/>
      <c r="P75" s="7"/>
    </row>
    <row r="76" ht="15.75" customHeight="1">
      <c r="B76" s="34"/>
      <c r="C76" s="35" t="s">
        <v>179</v>
      </c>
      <c r="D76" s="36">
        <f t="shared" ref="D76:F76" si="5">COUNTIF(D12:D75,"P") + COUNTIF(D12:D75, "1")</f>
        <v>41</v>
      </c>
      <c r="E76" s="36">
        <f t="shared" si="5"/>
        <v>47</v>
      </c>
      <c r="F76" s="36">
        <f t="shared" si="5"/>
        <v>46</v>
      </c>
      <c r="G76" s="36"/>
      <c r="H76" s="36">
        <f t="shared" ref="H76:Y76" si="6">COUNTIF(H12:H75,"P") + COUNTIF(H12:H75, "1")</f>
        <v>19</v>
      </c>
      <c r="I76" s="36">
        <f t="shared" si="6"/>
        <v>19</v>
      </c>
      <c r="J76" s="36">
        <f t="shared" si="6"/>
        <v>54</v>
      </c>
      <c r="K76" s="36">
        <f t="shared" si="6"/>
        <v>30</v>
      </c>
      <c r="L76" s="36">
        <f t="shared" si="6"/>
        <v>37</v>
      </c>
      <c r="M76" s="36">
        <f t="shared" si="6"/>
        <v>45</v>
      </c>
      <c r="N76" s="36">
        <f t="shared" si="6"/>
        <v>52</v>
      </c>
      <c r="O76" s="36">
        <f t="shared" si="6"/>
        <v>50</v>
      </c>
      <c r="P76" s="36">
        <f t="shared" si="6"/>
        <v>49</v>
      </c>
      <c r="Q76" s="36">
        <f t="shared" si="6"/>
        <v>39</v>
      </c>
      <c r="R76" s="36">
        <f t="shared" si="6"/>
        <v>39</v>
      </c>
      <c r="S76" s="36">
        <f t="shared" si="6"/>
        <v>52</v>
      </c>
      <c r="T76" s="36">
        <f t="shared" si="6"/>
        <v>46</v>
      </c>
      <c r="U76" s="36">
        <f t="shared" si="6"/>
        <v>47</v>
      </c>
      <c r="V76" s="36">
        <f t="shared" si="6"/>
        <v>52</v>
      </c>
      <c r="W76" s="36">
        <f t="shared" si="6"/>
        <v>52</v>
      </c>
      <c r="X76" s="36">
        <f t="shared" si="6"/>
        <v>52</v>
      </c>
      <c r="Y76" s="36">
        <f t="shared" si="6"/>
        <v>0</v>
      </c>
    </row>
    <row r="77" ht="15.75" customHeight="1">
      <c r="B77" s="34"/>
      <c r="C77" s="37" t="s">
        <v>180</v>
      </c>
      <c r="D77" s="38">
        <f t="shared" ref="D77:F77" si="7">COUNTIF(D12:D75,"A") + COUNTIF(D12:D75, "1")</f>
        <v>17</v>
      </c>
      <c r="E77" s="38">
        <f t="shared" si="7"/>
        <v>10</v>
      </c>
      <c r="F77" s="38">
        <f t="shared" si="7"/>
        <v>11</v>
      </c>
      <c r="G77" s="38"/>
      <c r="H77" s="38">
        <f t="shared" ref="H77:Y77" si="8">COUNTIF(H12:H75,"A") + COUNTIF(H12:H75, "1")</f>
        <v>38</v>
      </c>
      <c r="I77" s="38">
        <f t="shared" si="8"/>
        <v>38</v>
      </c>
      <c r="J77" s="38">
        <f t="shared" si="8"/>
        <v>3</v>
      </c>
      <c r="K77" s="38">
        <f t="shared" si="8"/>
        <v>27</v>
      </c>
      <c r="L77" s="38">
        <f t="shared" si="8"/>
        <v>20</v>
      </c>
      <c r="M77" s="38">
        <f t="shared" si="8"/>
        <v>12</v>
      </c>
      <c r="N77" s="38">
        <f t="shared" si="8"/>
        <v>4</v>
      </c>
      <c r="O77" s="38">
        <f t="shared" si="8"/>
        <v>7</v>
      </c>
      <c r="P77" s="38">
        <f t="shared" si="8"/>
        <v>7</v>
      </c>
      <c r="Q77" s="38">
        <f t="shared" si="8"/>
        <v>18</v>
      </c>
      <c r="R77" s="38">
        <f t="shared" si="8"/>
        <v>18</v>
      </c>
      <c r="S77" s="38">
        <f t="shared" si="8"/>
        <v>5</v>
      </c>
      <c r="T77" s="38">
        <f t="shared" si="8"/>
        <v>11</v>
      </c>
      <c r="U77" s="38">
        <f t="shared" si="8"/>
        <v>10</v>
      </c>
      <c r="V77" s="38">
        <f t="shared" si="8"/>
        <v>5</v>
      </c>
      <c r="W77" s="38">
        <f t="shared" si="8"/>
        <v>5</v>
      </c>
      <c r="X77" s="38">
        <f t="shared" si="8"/>
        <v>5</v>
      </c>
      <c r="Y77" s="38">
        <f t="shared" si="8"/>
        <v>0</v>
      </c>
    </row>
    <row r="78" ht="15.75" customHeight="1">
      <c r="B78" s="34"/>
      <c r="C78" s="34"/>
      <c r="P78" s="7"/>
    </row>
    <row r="79" ht="15.75" customHeight="1">
      <c r="B79" s="34"/>
      <c r="C79" s="34"/>
      <c r="P79" s="7"/>
    </row>
    <row r="80" ht="15.75" customHeight="1">
      <c r="B80" s="34"/>
      <c r="C80" s="34"/>
      <c r="P80" s="7"/>
    </row>
    <row r="81" ht="15.75" customHeight="1">
      <c r="B81" s="34"/>
      <c r="C81" s="34"/>
      <c r="P81" s="7"/>
    </row>
    <row r="82" ht="15.75" customHeight="1">
      <c r="C82" s="6"/>
      <c r="P82" s="7"/>
    </row>
    <row r="83" ht="15.75" customHeight="1">
      <c r="C83" s="6"/>
      <c r="P83" s="7"/>
    </row>
    <row r="84" ht="15.75" customHeight="1">
      <c r="C84" s="6"/>
      <c r="P84" s="7"/>
    </row>
    <row r="85" ht="15.75" customHeight="1">
      <c r="C85" s="6"/>
      <c r="P85" s="7"/>
    </row>
    <row r="86" ht="15.75" customHeight="1">
      <c r="C86" s="6"/>
      <c r="P86" s="7"/>
    </row>
    <row r="87" ht="15.75" customHeight="1">
      <c r="C87" s="6"/>
      <c r="P87" s="7"/>
    </row>
    <row r="88" ht="15.75" customHeight="1">
      <c r="C88" s="6"/>
      <c r="P88" s="7"/>
    </row>
    <row r="89" ht="15.75" customHeight="1">
      <c r="C89" s="6"/>
      <c r="P89" s="7"/>
    </row>
    <row r="90" ht="15.75" customHeight="1">
      <c r="C90" s="6"/>
      <c r="P90" s="7"/>
    </row>
    <row r="91" ht="15.75" customHeight="1">
      <c r="C91" s="6"/>
      <c r="P91" s="7"/>
    </row>
    <row r="92" ht="15.75" customHeight="1">
      <c r="C92" s="6"/>
      <c r="P92" s="7"/>
    </row>
    <row r="93" ht="15.75" customHeight="1">
      <c r="C93" s="6"/>
      <c r="P93" s="7"/>
    </row>
    <row r="94" ht="15.75" customHeight="1">
      <c r="C94" s="6"/>
      <c r="P94" s="7"/>
    </row>
    <row r="95" ht="15.75" customHeight="1">
      <c r="C95" s="6"/>
      <c r="P95" s="7"/>
    </row>
    <row r="96" ht="15.75" customHeight="1">
      <c r="C96" s="6"/>
      <c r="P96" s="7"/>
    </row>
    <row r="97" ht="15.75" customHeight="1">
      <c r="C97" s="6"/>
      <c r="P97" s="7"/>
    </row>
    <row r="98" ht="15.75" customHeight="1">
      <c r="C98" s="6"/>
      <c r="P98" s="7"/>
    </row>
    <row r="99" ht="15.75" customHeight="1">
      <c r="C99" s="6"/>
      <c r="P99" s="7"/>
    </row>
    <row r="100" ht="15.75" customHeight="1">
      <c r="C100" s="6"/>
      <c r="P100" s="7"/>
    </row>
    <row r="101" ht="15.75" customHeight="1">
      <c r="C101" s="6"/>
      <c r="P101" s="7"/>
    </row>
    <row r="102" ht="15.75" customHeight="1">
      <c r="C102" s="6"/>
      <c r="P102" s="7"/>
    </row>
    <row r="103" ht="15.75" customHeight="1">
      <c r="C103" s="6"/>
      <c r="P103" s="7"/>
    </row>
    <row r="104" ht="15.75" customHeight="1">
      <c r="C104" s="6"/>
      <c r="P104" s="7"/>
    </row>
    <row r="105" ht="15.75" customHeight="1">
      <c r="C105" s="6"/>
      <c r="P105" s="7"/>
    </row>
    <row r="106" ht="15.75" customHeight="1">
      <c r="C106" s="6"/>
      <c r="P106" s="7"/>
    </row>
    <row r="107" ht="15.75" customHeight="1">
      <c r="C107" s="6"/>
      <c r="P107" s="7"/>
    </row>
    <row r="108" ht="15.75" customHeight="1">
      <c r="C108" s="6"/>
      <c r="P108" s="7"/>
    </row>
    <row r="109" ht="15.75" customHeight="1">
      <c r="C109" s="6"/>
      <c r="P109" s="7"/>
    </row>
    <row r="110" ht="15.75" customHeight="1">
      <c r="C110" s="6"/>
      <c r="P110" s="7"/>
    </row>
    <row r="111" ht="15.75" customHeight="1">
      <c r="C111" s="6"/>
      <c r="P111" s="7"/>
    </row>
    <row r="112" ht="15.75" customHeight="1">
      <c r="C112" s="6"/>
      <c r="P112" s="7"/>
    </row>
    <row r="113" ht="15.75" customHeight="1">
      <c r="C113" s="6"/>
      <c r="P113" s="7"/>
    </row>
    <row r="114" ht="15.75" customHeight="1">
      <c r="C114" s="6"/>
      <c r="P114" s="7"/>
    </row>
    <row r="115" ht="15.75" customHeight="1">
      <c r="C115" s="6"/>
      <c r="P115" s="7"/>
    </row>
    <row r="116" ht="15.75" customHeight="1">
      <c r="C116" s="6"/>
      <c r="P116" s="7"/>
    </row>
    <row r="117" ht="15.75" customHeight="1">
      <c r="C117" s="6"/>
      <c r="P117" s="7"/>
    </row>
    <row r="118" ht="15.75" customHeight="1">
      <c r="C118" s="6"/>
      <c r="P118" s="7"/>
    </row>
    <row r="119" ht="15.75" customHeight="1">
      <c r="C119" s="6"/>
      <c r="P119" s="7"/>
    </row>
    <row r="120" ht="15.75" customHeight="1">
      <c r="C120" s="6"/>
      <c r="P120" s="7"/>
    </row>
    <row r="121" ht="15.75" customHeight="1">
      <c r="C121" s="6"/>
      <c r="P121" s="7"/>
    </row>
    <row r="122" ht="15.75" customHeight="1">
      <c r="C122" s="6"/>
      <c r="P122" s="7"/>
    </row>
    <row r="123" ht="15.75" customHeight="1">
      <c r="C123" s="6"/>
      <c r="P123" s="7"/>
    </row>
    <row r="124" ht="15.75" customHeight="1">
      <c r="C124" s="6"/>
      <c r="P124" s="7"/>
    </row>
    <row r="125" ht="15.75" customHeight="1">
      <c r="C125" s="6"/>
      <c r="P125" s="7"/>
    </row>
    <row r="126" ht="15.75" customHeight="1">
      <c r="C126" s="6"/>
      <c r="P126" s="7"/>
    </row>
    <row r="127" ht="15.75" customHeight="1">
      <c r="C127" s="6"/>
      <c r="P127" s="7"/>
    </row>
    <row r="128" ht="15.75" customHeight="1">
      <c r="C128" s="6"/>
      <c r="P128" s="7"/>
    </row>
    <row r="129" ht="15.75" customHeight="1">
      <c r="C129" s="6"/>
      <c r="P129" s="7"/>
    </row>
    <row r="130" ht="15.75" customHeight="1">
      <c r="C130" s="6"/>
      <c r="P130" s="7"/>
    </row>
    <row r="131" ht="15.75" customHeight="1">
      <c r="C131" s="6"/>
      <c r="P131" s="7"/>
    </row>
    <row r="132" ht="15.75" customHeight="1">
      <c r="C132" s="6"/>
      <c r="P132" s="7"/>
    </row>
    <row r="133" ht="15.75" customHeight="1">
      <c r="C133" s="6"/>
      <c r="P133" s="7"/>
    </row>
    <row r="134" ht="15.75" customHeight="1">
      <c r="C134" s="6"/>
      <c r="P134" s="7"/>
    </row>
    <row r="135" ht="15.75" customHeight="1">
      <c r="C135" s="6"/>
      <c r="P135" s="7"/>
    </row>
    <row r="136" ht="15.75" customHeight="1">
      <c r="C136" s="6"/>
      <c r="P136" s="7"/>
    </row>
    <row r="137" ht="15.75" customHeight="1">
      <c r="C137" s="6"/>
      <c r="P137" s="7"/>
    </row>
    <row r="138" ht="15.75" customHeight="1">
      <c r="C138" s="6"/>
      <c r="P138" s="7"/>
    </row>
    <row r="139" ht="15.75" customHeight="1">
      <c r="C139" s="6"/>
      <c r="P139" s="7"/>
    </row>
    <row r="140" ht="15.75" customHeight="1">
      <c r="C140" s="6"/>
      <c r="P140" s="7"/>
    </row>
    <row r="141" ht="15.75" customHeight="1">
      <c r="C141" s="6"/>
      <c r="P141" s="7"/>
    </row>
    <row r="142" ht="15.75" customHeight="1">
      <c r="C142" s="6"/>
      <c r="P142" s="7"/>
    </row>
    <row r="143" ht="15.75" customHeight="1">
      <c r="C143" s="6"/>
      <c r="P143" s="7"/>
    </row>
    <row r="144" ht="15.75" customHeight="1">
      <c r="C144" s="6"/>
      <c r="P144" s="7"/>
    </row>
    <row r="145" ht="15.75" customHeight="1">
      <c r="C145" s="6"/>
      <c r="P145" s="7"/>
    </row>
    <row r="146" ht="15.75" customHeight="1">
      <c r="C146" s="6"/>
      <c r="P146" s="7"/>
    </row>
    <row r="147" ht="15.75" customHeight="1">
      <c r="C147" s="6"/>
      <c r="P147" s="7"/>
    </row>
    <row r="148" ht="15.75" customHeight="1">
      <c r="C148" s="6"/>
      <c r="P148" s="7"/>
    </row>
    <row r="149" ht="15.75" customHeight="1">
      <c r="C149" s="6"/>
      <c r="P149" s="7"/>
    </row>
    <row r="150" ht="15.75" customHeight="1">
      <c r="C150" s="6"/>
      <c r="P150" s="7"/>
    </row>
    <row r="151" ht="15.75" customHeight="1">
      <c r="C151" s="6"/>
      <c r="P151" s="7"/>
    </row>
    <row r="152" ht="15.75" customHeight="1">
      <c r="C152" s="6"/>
      <c r="P152" s="7"/>
    </row>
    <row r="153" ht="15.75" customHeight="1">
      <c r="C153" s="6"/>
      <c r="P153" s="7"/>
    </row>
    <row r="154" ht="15.75" customHeight="1">
      <c r="C154" s="6"/>
      <c r="P154" s="7"/>
    </row>
    <row r="155" ht="15.75" customHeight="1">
      <c r="C155" s="6"/>
      <c r="P155" s="7"/>
    </row>
    <row r="156" ht="15.75" customHeight="1">
      <c r="C156" s="6"/>
      <c r="P156" s="7"/>
    </row>
    <row r="157" ht="15.75" customHeight="1">
      <c r="C157" s="6"/>
      <c r="P157" s="7"/>
    </row>
    <row r="158" ht="15.75" customHeight="1">
      <c r="C158" s="6"/>
      <c r="P158" s="7"/>
    </row>
    <row r="159" ht="15.75" customHeight="1">
      <c r="C159" s="6"/>
      <c r="P159" s="7"/>
    </row>
    <row r="160" ht="15.75" customHeight="1">
      <c r="C160" s="6"/>
      <c r="P160" s="7"/>
    </row>
    <row r="161" ht="15.75" customHeight="1">
      <c r="C161" s="6"/>
      <c r="P161" s="7"/>
    </row>
    <row r="162" ht="15.75" customHeight="1">
      <c r="C162" s="6"/>
      <c r="P162" s="7"/>
    </row>
    <row r="163" ht="15.75" customHeight="1">
      <c r="C163" s="6"/>
      <c r="P163" s="7"/>
    </row>
    <row r="164" ht="15.75" customHeight="1">
      <c r="C164" s="6"/>
      <c r="P164" s="7"/>
    </row>
    <row r="165" ht="15.75" customHeight="1">
      <c r="C165" s="6"/>
      <c r="P165" s="7"/>
    </row>
    <row r="166" ht="15.75" customHeight="1">
      <c r="C166" s="6"/>
      <c r="P166" s="7"/>
    </row>
    <row r="167" ht="15.75" customHeight="1">
      <c r="C167" s="6"/>
      <c r="P167" s="7"/>
    </row>
    <row r="168" ht="15.75" customHeight="1">
      <c r="C168" s="6"/>
      <c r="P168" s="7"/>
    </row>
    <row r="169" ht="15.75" customHeight="1">
      <c r="C169" s="6"/>
      <c r="P169" s="7"/>
    </row>
    <row r="170" ht="15.75" customHeight="1">
      <c r="C170" s="6"/>
      <c r="P170" s="7"/>
    </row>
    <row r="171" ht="15.75" customHeight="1">
      <c r="C171" s="6"/>
      <c r="P171" s="7"/>
    </row>
    <row r="172" ht="15.75" customHeight="1">
      <c r="C172" s="6"/>
      <c r="P172" s="7"/>
    </row>
    <row r="173" ht="15.75" customHeight="1">
      <c r="C173" s="6"/>
      <c r="P173" s="7"/>
    </row>
    <row r="174" ht="15.75" customHeight="1">
      <c r="C174" s="6"/>
      <c r="P174" s="7"/>
    </row>
    <row r="175" ht="15.75" customHeight="1">
      <c r="C175" s="6"/>
      <c r="P175" s="7"/>
    </row>
    <row r="176" ht="15.75" customHeight="1">
      <c r="C176" s="6"/>
      <c r="P176" s="7"/>
    </row>
    <row r="177" ht="15.75" customHeight="1">
      <c r="C177" s="6"/>
      <c r="P177" s="7"/>
    </row>
    <row r="178" ht="15.75" customHeight="1">
      <c r="C178" s="6"/>
      <c r="P178" s="7"/>
    </row>
    <row r="179" ht="15.75" customHeight="1">
      <c r="C179" s="6"/>
      <c r="P179" s="7"/>
    </row>
    <row r="180" ht="15.75" customHeight="1">
      <c r="C180" s="6"/>
      <c r="P180" s="7"/>
    </row>
    <row r="181" ht="15.75" customHeight="1">
      <c r="C181" s="6"/>
      <c r="P181" s="7"/>
    </row>
    <row r="182" ht="15.75" customHeight="1">
      <c r="C182" s="6"/>
      <c r="P182" s="7"/>
    </row>
    <row r="183" ht="15.75" customHeight="1">
      <c r="C183" s="6"/>
      <c r="P183" s="7"/>
    </row>
    <row r="184" ht="15.75" customHeight="1">
      <c r="C184" s="6"/>
      <c r="P184" s="7"/>
    </row>
    <row r="185" ht="15.75" customHeight="1">
      <c r="C185" s="6"/>
      <c r="P185" s="7"/>
    </row>
    <row r="186" ht="15.75" customHeight="1">
      <c r="C186" s="6"/>
      <c r="P186" s="7"/>
    </row>
    <row r="187" ht="15.75" customHeight="1">
      <c r="C187" s="6"/>
      <c r="P187" s="7"/>
    </row>
    <row r="188" ht="15.75" customHeight="1">
      <c r="C188" s="6"/>
      <c r="P188" s="7"/>
    </row>
    <row r="189" ht="15.75" customHeight="1">
      <c r="C189" s="6"/>
      <c r="P189" s="7"/>
    </row>
    <row r="190" ht="15.75" customHeight="1">
      <c r="C190" s="6"/>
      <c r="P190" s="7"/>
    </row>
    <row r="191" ht="15.75" customHeight="1">
      <c r="C191" s="6"/>
      <c r="P191" s="7"/>
    </row>
    <row r="192" ht="15.75" customHeight="1">
      <c r="C192" s="6"/>
      <c r="P192" s="7"/>
    </row>
    <row r="193" ht="15.75" customHeight="1">
      <c r="C193" s="6"/>
      <c r="P193" s="7"/>
    </row>
    <row r="194" ht="15.75" customHeight="1">
      <c r="C194" s="6"/>
      <c r="P194" s="7"/>
    </row>
    <row r="195" ht="15.75" customHeight="1">
      <c r="C195" s="6"/>
      <c r="P195" s="7"/>
    </row>
    <row r="196" ht="15.75" customHeight="1">
      <c r="C196" s="6"/>
      <c r="P196" s="7"/>
    </row>
    <row r="197" ht="15.75" customHeight="1">
      <c r="C197" s="6"/>
      <c r="P197" s="7"/>
    </row>
    <row r="198" ht="15.75" customHeight="1">
      <c r="C198" s="6"/>
      <c r="P198" s="7"/>
    </row>
    <row r="199" ht="15.75" customHeight="1">
      <c r="C199" s="6"/>
      <c r="P199" s="7"/>
    </row>
    <row r="200" ht="15.75" customHeight="1">
      <c r="C200" s="6"/>
      <c r="P200" s="7"/>
    </row>
    <row r="201" ht="15.75" customHeight="1">
      <c r="C201" s="6"/>
      <c r="P201" s="7"/>
    </row>
    <row r="202" ht="15.75" customHeight="1">
      <c r="C202" s="6"/>
      <c r="P202" s="7"/>
    </row>
    <row r="203" ht="15.75" customHeight="1">
      <c r="C203" s="6"/>
      <c r="P203" s="7"/>
    </row>
    <row r="204" ht="15.75" customHeight="1">
      <c r="C204" s="6"/>
      <c r="P204" s="7"/>
    </row>
    <row r="205" ht="15.75" customHeight="1">
      <c r="C205" s="6"/>
      <c r="P205" s="7"/>
    </row>
    <row r="206" ht="15.75" customHeight="1">
      <c r="C206" s="6"/>
      <c r="P206" s="7"/>
    </row>
    <row r="207" ht="15.75" customHeight="1">
      <c r="C207" s="6"/>
      <c r="P207" s="7"/>
    </row>
    <row r="208" ht="15.75" customHeight="1">
      <c r="C208" s="6"/>
      <c r="P208" s="7"/>
    </row>
    <row r="209" ht="15.75" customHeight="1">
      <c r="C209" s="6"/>
      <c r="P209" s="7"/>
    </row>
    <row r="210" ht="15.75" customHeight="1">
      <c r="C210" s="6"/>
      <c r="P210" s="7"/>
    </row>
    <row r="211" ht="15.75" customHeight="1">
      <c r="C211" s="6"/>
      <c r="P211" s="7"/>
    </row>
    <row r="212" ht="15.75" customHeight="1">
      <c r="C212" s="6"/>
      <c r="P212" s="7"/>
    </row>
    <row r="213" ht="15.75" customHeight="1">
      <c r="C213" s="6"/>
      <c r="P213" s="7"/>
    </row>
    <row r="214" ht="15.75" customHeight="1">
      <c r="C214" s="6"/>
      <c r="P214" s="7"/>
    </row>
    <row r="215" ht="15.75" customHeight="1">
      <c r="C215" s="6"/>
      <c r="P215" s="7"/>
    </row>
    <row r="216" ht="15.75" customHeight="1">
      <c r="C216" s="6"/>
      <c r="P216" s="7"/>
    </row>
    <row r="217" ht="15.75" customHeight="1">
      <c r="C217" s="6"/>
      <c r="P217" s="7"/>
    </row>
    <row r="218" ht="15.75" customHeight="1">
      <c r="C218" s="6"/>
      <c r="P218" s="7"/>
    </row>
    <row r="219" ht="15.75" customHeight="1">
      <c r="C219" s="6"/>
      <c r="P219" s="7"/>
    </row>
    <row r="220" ht="15.75" customHeight="1">
      <c r="C220" s="6"/>
      <c r="P220" s="7"/>
    </row>
    <row r="221" ht="15.75" customHeight="1">
      <c r="C221" s="6"/>
      <c r="P221" s="7"/>
    </row>
    <row r="222" ht="15.75" customHeight="1">
      <c r="C222" s="6"/>
      <c r="P222" s="7"/>
    </row>
    <row r="223" ht="15.75" customHeight="1">
      <c r="C223" s="6"/>
      <c r="P223" s="7"/>
    </row>
    <row r="224" ht="15.75" customHeight="1">
      <c r="C224" s="6"/>
      <c r="P224" s="7"/>
    </row>
    <row r="225" ht="15.75" customHeight="1">
      <c r="C225" s="6"/>
      <c r="P225" s="7"/>
    </row>
    <row r="226" ht="15.75" customHeight="1">
      <c r="C226" s="6"/>
      <c r="P226" s="7"/>
    </row>
    <row r="227" ht="15.75" customHeight="1">
      <c r="C227" s="6"/>
      <c r="P227" s="7"/>
    </row>
    <row r="228" ht="15.75" customHeight="1">
      <c r="C228" s="6"/>
      <c r="P228" s="7"/>
    </row>
    <row r="229" ht="15.75" customHeight="1">
      <c r="C229" s="6"/>
      <c r="P229" s="7"/>
    </row>
    <row r="230" ht="15.75" customHeight="1">
      <c r="C230" s="6"/>
      <c r="P230" s="7"/>
    </row>
    <row r="231" ht="15.75" customHeight="1">
      <c r="C231" s="6"/>
      <c r="P231" s="7"/>
    </row>
    <row r="232" ht="15.75" customHeight="1">
      <c r="C232" s="6"/>
      <c r="P232" s="7"/>
    </row>
    <row r="233" ht="15.75" customHeight="1">
      <c r="C233" s="6"/>
      <c r="P233" s="7"/>
    </row>
    <row r="234" ht="15.75" customHeight="1">
      <c r="C234" s="6"/>
      <c r="P234" s="7"/>
    </row>
    <row r="235" ht="15.75" customHeight="1">
      <c r="C235" s="6"/>
      <c r="P235" s="7"/>
    </row>
    <row r="236" ht="15.75" customHeight="1">
      <c r="C236" s="6"/>
      <c r="P236" s="7"/>
    </row>
    <row r="237" ht="15.75" customHeight="1">
      <c r="C237" s="6"/>
      <c r="P237" s="7"/>
    </row>
    <row r="238" ht="15.75" customHeight="1">
      <c r="C238" s="6"/>
      <c r="P238" s="7"/>
    </row>
    <row r="239" ht="15.75" customHeight="1">
      <c r="C239" s="6"/>
      <c r="P239" s="7"/>
    </row>
    <row r="240" ht="15.75" customHeight="1">
      <c r="C240" s="6"/>
      <c r="P240" s="7"/>
    </row>
    <row r="241" ht="15.75" customHeight="1">
      <c r="C241" s="6"/>
      <c r="P241" s="7"/>
    </row>
    <row r="242" ht="15.75" customHeight="1">
      <c r="C242" s="6"/>
      <c r="P242" s="7"/>
    </row>
    <row r="243" ht="15.75" customHeight="1">
      <c r="C243" s="6"/>
      <c r="P243" s="7"/>
    </row>
    <row r="244" ht="15.75" customHeight="1">
      <c r="C244" s="6"/>
      <c r="P244" s="7"/>
    </row>
    <row r="245" ht="15.75" customHeight="1">
      <c r="C245" s="6"/>
      <c r="P245" s="7"/>
    </row>
    <row r="246" ht="15.75" customHeight="1">
      <c r="C246" s="6"/>
      <c r="P246" s="7"/>
    </row>
    <row r="247" ht="15.75" customHeight="1">
      <c r="C247" s="6"/>
      <c r="P247" s="7"/>
    </row>
    <row r="248" ht="15.75" customHeight="1">
      <c r="C248" s="6"/>
      <c r="P248" s="7"/>
    </row>
    <row r="249" ht="15.75" customHeight="1">
      <c r="C249" s="6"/>
      <c r="P249" s="7"/>
    </row>
    <row r="250" ht="15.75" customHeight="1">
      <c r="C250" s="6"/>
      <c r="P250" s="7"/>
    </row>
    <row r="251" ht="15.75" customHeight="1">
      <c r="C251" s="6"/>
      <c r="P251" s="7"/>
    </row>
    <row r="252" ht="15.75" customHeight="1">
      <c r="C252" s="6"/>
      <c r="P252" s="7"/>
    </row>
    <row r="253" ht="15.75" customHeight="1">
      <c r="C253" s="6"/>
      <c r="P253" s="7"/>
    </row>
    <row r="254" ht="15.75" customHeight="1">
      <c r="C254" s="6"/>
      <c r="P254" s="7"/>
    </row>
    <row r="255" ht="15.75" customHeight="1">
      <c r="C255" s="6"/>
      <c r="P255" s="7"/>
    </row>
    <row r="256" ht="15.75" customHeight="1">
      <c r="C256" s="6"/>
      <c r="P256" s="7"/>
    </row>
    <row r="257" ht="15.75" customHeight="1">
      <c r="C257" s="6"/>
      <c r="P257" s="7"/>
    </row>
    <row r="258" ht="15.75" customHeight="1">
      <c r="C258" s="6"/>
      <c r="P258" s="7"/>
    </row>
    <row r="259" ht="15.75" customHeight="1">
      <c r="C259" s="6"/>
      <c r="P259" s="7"/>
    </row>
    <row r="260" ht="15.75" customHeight="1">
      <c r="C260" s="6"/>
      <c r="P260" s="7"/>
    </row>
    <row r="261" ht="15.75" customHeight="1">
      <c r="C261" s="6"/>
      <c r="P261" s="7"/>
    </row>
    <row r="262" ht="15.75" customHeight="1">
      <c r="C262" s="6"/>
      <c r="P262" s="7"/>
    </row>
    <row r="263" ht="15.75" customHeight="1">
      <c r="C263" s="6"/>
      <c r="P263" s="7"/>
    </row>
    <row r="264" ht="15.75" customHeight="1">
      <c r="C264" s="6"/>
      <c r="P264" s="7"/>
    </row>
    <row r="265" ht="15.75" customHeight="1">
      <c r="C265" s="6"/>
      <c r="P265" s="7"/>
    </row>
    <row r="266" ht="15.75" customHeight="1">
      <c r="C266" s="6"/>
      <c r="P266" s="7"/>
    </row>
    <row r="267" ht="15.75" customHeight="1">
      <c r="C267" s="6"/>
      <c r="P267" s="7"/>
    </row>
    <row r="268" ht="15.75" customHeight="1">
      <c r="C268" s="6"/>
      <c r="P268" s="7"/>
    </row>
    <row r="269" ht="15.75" customHeight="1">
      <c r="C269" s="6"/>
      <c r="P269" s="7"/>
    </row>
    <row r="270" ht="15.75" customHeight="1">
      <c r="C270" s="6"/>
      <c r="P270" s="7"/>
    </row>
    <row r="271" ht="15.75" customHeight="1">
      <c r="C271" s="6"/>
      <c r="P271" s="7"/>
    </row>
    <row r="272" ht="15.75" customHeight="1">
      <c r="C272" s="6"/>
      <c r="P272" s="7"/>
    </row>
    <row r="273" ht="15.75" customHeight="1">
      <c r="C273" s="6"/>
      <c r="P273" s="7"/>
    </row>
    <row r="274" ht="15.75" customHeight="1">
      <c r="C274" s="6"/>
      <c r="P274" s="7"/>
    </row>
    <row r="275" ht="15.75" customHeight="1">
      <c r="C275" s="6"/>
      <c r="P275" s="7"/>
    </row>
    <row r="276" ht="15.75" customHeight="1">
      <c r="C276" s="6"/>
      <c r="P276" s="7"/>
    </row>
    <row r="277" ht="15.75" customHeight="1">
      <c r="C277" s="6"/>
      <c r="P277" s="7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8:M8"/>
    <mergeCell ref="N8:T8"/>
    <mergeCell ref="A1:AC1"/>
    <mergeCell ref="A2:AC2"/>
    <mergeCell ref="A3:AC3"/>
    <mergeCell ref="A4:AC4"/>
    <mergeCell ref="A5:AC5"/>
    <mergeCell ref="A6:AC6"/>
    <mergeCell ref="D8:I8"/>
    <mergeCell ref="U8:Y8"/>
  </mergeCells>
  <conditionalFormatting sqref="D12:Y74 AD43:AD74">
    <cfRule type="containsText" dxfId="0" priority="1" operator="containsText" text="A">
      <formula>NOT(ISERROR(SEARCH(("A"),(D12))))</formula>
    </cfRule>
  </conditionalFormatting>
  <conditionalFormatting sqref="D12:Y74 AD43:AD74">
    <cfRule type="containsText" dxfId="1" priority="2" operator="containsText" text="P">
      <formula>NOT(ISERROR(SEARCH(("P"),(D12))))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36.0"/>
    <col customWidth="1" min="4" max="4" width="7.0"/>
    <col customWidth="1" min="5" max="5" width="6.57"/>
    <col customWidth="1" min="6" max="6" width="6.0"/>
    <col customWidth="1" min="7" max="7" width="5.86"/>
    <col customWidth="1" min="8" max="8" width="6.29"/>
    <col customWidth="1" min="9" max="9" width="5.43"/>
    <col customWidth="1" min="10" max="10" width="6.57"/>
    <col customWidth="1" min="11" max="11" width="6.29"/>
    <col customWidth="1" min="12" max="13" width="7.29"/>
    <col customWidth="1" min="14" max="14" width="6.0"/>
    <col customWidth="1" min="15" max="15" width="7.43"/>
    <col customWidth="1" min="16" max="17" width="6.86"/>
    <col customWidth="1" min="18" max="19" width="7.0"/>
    <col customWidth="1" min="20" max="20" width="8.86"/>
    <col customWidth="1" min="21" max="21" width="7.71"/>
    <col customWidth="1" min="22" max="22" width="6.86"/>
    <col customWidth="1" min="23" max="23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1" t="s">
        <v>299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</row>
    <row r="7">
      <c r="A7" s="45" t="s">
        <v>300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7"/>
    </row>
    <row r="8">
      <c r="A8" s="48"/>
      <c r="B8" s="48"/>
      <c r="C8" s="48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8"/>
      <c r="S8" s="48"/>
      <c r="T8" s="49"/>
      <c r="U8" s="49"/>
      <c r="V8" s="49"/>
      <c r="W8" s="50"/>
    </row>
    <row r="9">
      <c r="A9" s="48"/>
      <c r="B9" s="48"/>
      <c r="C9" s="51"/>
      <c r="D9" s="52" t="s">
        <v>301</v>
      </c>
      <c r="E9" s="53" t="s">
        <v>302</v>
      </c>
      <c r="F9" s="46"/>
      <c r="G9" s="46"/>
      <c r="H9" s="47"/>
      <c r="I9" s="54" t="s">
        <v>303</v>
      </c>
      <c r="J9" s="2"/>
      <c r="K9" s="2"/>
      <c r="L9" s="3"/>
      <c r="M9" s="54" t="s">
        <v>8</v>
      </c>
      <c r="N9" s="2"/>
      <c r="O9" s="2"/>
      <c r="P9" s="54" t="s">
        <v>304</v>
      </c>
      <c r="Q9" s="2"/>
      <c r="R9" s="2"/>
      <c r="S9" s="3"/>
      <c r="T9" s="55" t="s">
        <v>10</v>
      </c>
      <c r="U9" s="55" t="s">
        <v>11</v>
      </c>
      <c r="V9" s="55" t="s">
        <v>12</v>
      </c>
      <c r="W9" s="56" t="s">
        <v>182</v>
      </c>
    </row>
    <row r="10">
      <c r="A10" s="49"/>
      <c r="B10" s="49"/>
      <c r="C10" s="57"/>
      <c r="D10" s="55">
        <v>31.0</v>
      </c>
      <c r="E10" s="55">
        <v>7.0</v>
      </c>
      <c r="F10" s="55">
        <v>14.0</v>
      </c>
      <c r="G10" s="55">
        <v>28.0</v>
      </c>
      <c r="H10" s="58"/>
      <c r="I10" s="55">
        <v>4.0</v>
      </c>
      <c r="J10" s="55">
        <v>11.0</v>
      </c>
      <c r="K10" s="55">
        <v>18.0</v>
      </c>
      <c r="L10" s="55"/>
      <c r="M10" s="55">
        <v>9.0</v>
      </c>
      <c r="N10" s="55">
        <v>16.0</v>
      </c>
      <c r="O10" s="55">
        <v>28.0</v>
      </c>
      <c r="P10" s="55">
        <v>4.0</v>
      </c>
      <c r="Q10" s="55">
        <v>11.0</v>
      </c>
      <c r="R10" s="55"/>
      <c r="S10" s="55"/>
      <c r="T10" s="55"/>
      <c r="U10" s="55"/>
      <c r="V10" s="55"/>
      <c r="W10" s="56"/>
    </row>
    <row r="11">
      <c r="A11" s="59" t="s">
        <v>26</v>
      </c>
      <c r="B11" s="60" t="s">
        <v>27</v>
      </c>
      <c r="C11" s="60" t="s">
        <v>28</v>
      </c>
      <c r="D11" s="61"/>
      <c r="E11" s="62"/>
      <c r="F11" s="61"/>
      <c r="G11" s="62"/>
      <c r="H11" s="62"/>
      <c r="I11" s="62"/>
      <c r="J11" s="61"/>
      <c r="K11" s="61"/>
      <c r="L11" s="61"/>
      <c r="M11" s="61"/>
      <c r="N11" s="62"/>
      <c r="O11" s="61"/>
      <c r="P11" s="62"/>
      <c r="Q11" s="61"/>
      <c r="R11" s="62"/>
      <c r="S11" s="62"/>
      <c r="T11" s="63"/>
      <c r="U11" s="63"/>
      <c r="V11" s="63"/>
      <c r="W11" s="64"/>
    </row>
    <row r="12">
      <c r="A12" s="17">
        <v>38.0</v>
      </c>
      <c r="B12" s="18" t="s">
        <v>105</v>
      </c>
      <c r="C12" s="25" t="s">
        <v>106</v>
      </c>
      <c r="D12" s="65" t="s">
        <v>32</v>
      </c>
      <c r="E12" s="65" t="s">
        <v>32</v>
      </c>
      <c r="F12" s="65" t="s">
        <v>32</v>
      </c>
      <c r="G12" s="65" t="s">
        <v>31</v>
      </c>
      <c r="H12" s="65"/>
      <c r="I12" s="65" t="s">
        <v>32</v>
      </c>
      <c r="J12" s="65" t="s">
        <v>32</v>
      </c>
      <c r="K12" s="65" t="s">
        <v>32</v>
      </c>
      <c r="L12" s="65"/>
      <c r="M12" s="65" t="s">
        <v>32</v>
      </c>
      <c r="N12" s="65" t="s">
        <v>32</v>
      </c>
      <c r="O12" s="65" t="s">
        <v>32</v>
      </c>
      <c r="P12" s="65" t="s">
        <v>32</v>
      </c>
      <c r="Q12" s="65" t="s">
        <v>32</v>
      </c>
      <c r="R12" s="65"/>
      <c r="S12" s="65"/>
      <c r="T12" s="66">
        <f t="shared" ref="T12:T49" si="1">COUNTIF(D12:R12,"P")+COUNTIF(D12:R12,"1")</f>
        <v>11</v>
      </c>
      <c r="U12" s="66">
        <f t="shared" ref="U12:U49" si="2">COUNTIF(D12:R12,"A")+COUNTIF(D12:R12,"0")</f>
        <v>1</v>
      </c>
      <c r="V12" s="66">
        <f t="shared" ref="V12:V49" si="3">SUM(T12:U12)</f>
        <v>12</v>
      </c>
      <c r="W12" s="67">
        <f t="shared" ref="W12:W49" si="4">(T12/V12)*100</f>
        <v>91.66666667</v>
      </c>
    </row>
    <row r="13">
      <c r="A13" s="17">
        <v>39.0</v>
      </c>
      <c r="B13" s="18" t="s">
        <v>107</v>
      </c>
      <c r="C13" s="25" t="s">
        <v>108</v>
      </c>
      <c r="D13" s="65" t="s">
        <v>32</v>
      </c>
      <c r="E13" s="65" t="s">
        <v>32</v>
      </c>
      <c r="F13" s="65" t="s">
        <v>32</v>
      </c>
      <c r="G13" s="65" t="s">
        <v>31</v>
      </c>
      <c r="H13" s="65"/>
      <c r="I13" s="65" t="s">
        <v>32</v>
      </c>
      <c r="J13" s="65" t="s">
        <v>32</v>
      </c>
      <c r="K13" s="65" t="s">
        <v>32</v>
      </c>
      <c r="L13" s="65"/>
      <c r="M13" s="65" t="s">
        <v>31</v>
      </c>
      <c r="N13" s="65" t="s">
        <v>32</v>
      </c>
      <c r="O13" s="65" t="s">
        <v>31</v>
      </c>
      <c r="P13" s="65" t="s">
        <v>32</v>
      </c>
      <c r="Q13" s="65" t="s">
        <v>32</v>
      </c>
      <c r="R13" s="65"/>
      <c r="S13" s="65"/>
      <c r="T13" s="66">
        <f t="shared" si="1"/>
        <v>9</v>
      </c>
      <c r="U13" s="66">
        <f t="shared" si="2"/>
        <v>3</v>
      </c>
      <c r="V13" s="66">
        <f t="shared" si="3"/>
        <v>12</v>
      </c>
      <c r="W13" s="67">
        <f t="shared" si="4"/>
        <v>75</v>
      </c>
    </row>
    <row r="14">
      <c r="A14" s="17">
        <v>40.0</v>
      </c>
      <c r="B14" s="18" t="s">
        <v>109</v>
      </c>
      <c r="C14" s="25" t="s">
        <v>110</v>
      </c>
      <c r="D14" s="65" t="s">
        <v>31</v>
      </c>
      <c r="E14" s="65" t="s">
        <v>31</v>
      </c>
      <c r="F14" s="65" t="s">
        <v>31</v>
      </c>
      <c r="G14" s="65" t="s">
        <v>31</v>
      </c>
      <c r="H14" s="65"/>
      <c r="I14" s="65" t="s">
        <v>31</v>
      </c>
      <c r="J14" s="65" t="s">
        <v>31</v>
      </c>
      <c r="K14" s="65" t="s">
        <v>31</v>
      </c>
      <c r="L14" s="65"/>
      <c r="M14" s="65" t="s">
        <v>31</v>
      </c>
      <c r="N14" s="65" t="s">
        <v>31</v>
      </c>
      <c r="O14" s="65" t="s">
        <v>31</v>
      </c>
      <c r="P14" s="65" t="s">
        <v>31</v>
      </c>
      <c r="Q14" s="65" t="s">
        <v>31</v>
      </c>
      <c r="R14" s="65"/>
      <c r="S14" s="65"/>
      <c r="T14" s="66">
        <f t="shared" si="1"/>
        <v>0</v>
      </c>
      <c r="U14" s="66">
        <f t="shared" si="2"/>
        <v>12</v>
      </c>
      <c r="V14" s="66">
        <f t="shared" si="3"/>
        <v>12</v>
      </c>
      <c r="W14" s="67">
        <f t="shared" si="4"/>
        <v>0</v>
      </c>
    </row>
    <row r="15">
      <c r="A15" s="17">
        <v>41.0</v>
      </c>
      <c r="B15" s="18" t="s">
        <v>111</v>
      </c>
      <c r="C15" s="25" t="s">
        <v>112</v>
      </c>
      <c r="D15" s="65" t="s">
        <v>32</v>
      </c>
      <c r="E15" s="65" t="s">
        <v>32</v>
      </c>
      <c r="F15" s="65" t="s">
        <v>32</v>
      </c>
      <c r="G15" s="65" t="s">
        <v>32</v>
      </c>
      <c r="H15" s="65"/>
      <c r="I15" s="65" t="s">
        <v>32</v>
      </c>
      <c r="J15" s="65" t="s">
        <v>31</v>
      </c>
      <c r="K15" s="65" t="s">
        <v>32</v>
      </c>
      <c r="L15" s="65"/>
      <c r="M15" s="65" t="s">
        <v>32</v>
      </c>
      <c r="N15" s="65" t="s">
        <v>31</v>
      </c>
      <c r="O15" s="65" t="s">
        <v>31</v>
      </c>
      <c r="P15" s="65" t="s">
        <v>32</v>
      </c>
      <c r="Q15" s="65" t="s">
        <v>32</v>
      </c>
      <c r="R15" s="65"/>
      <c r="S15" s="65"/>
      <c r="T15" s="66">
        <f t="shared" si="1"/>
        <v>9</v>
      </c>
      <c r="U15" s="66">
        <f t="shared" si="2"/>
        <v>3</v>
      </c>
      <c r="V15" s="66">
        <f t="shared" si="3"/>
        <v>12</v>
      </c>
      <c r="W15" s="67">
        <f t="shared" si="4"/>
        <v>75</v>
      </c>
    </row>
    <row r="16">
      <c r="A16" s="17">
        <v>42.0</v>
      </c>
      <c r="B16" s="18" t="s">
        <v>113</v>
      </c>
      <c r="C16" s="25" t="s">
        <v>114</v>
      </c>
      <c r="D16" s="65" t="s">
        <v>32</v>
      </c>
      <c r="E16" s="65" t="s">
        <v>32</v>
      </c>
      <c r="F16" s="65" t="s">
        <v>32</v>
      </c>
      <c r="G16" s="65" t="s">
        <v>31</v>
      </c>
      <c r="H16" s="65"/>
      <c r="I16" s="65" t="s">
        <v>32</v>
      </c>
      <c r="J16" s="65" t="s">
        <v>31</v>
      </c>
      <c r="K16" s="65" t="s">
        <v>32</v>
      </c>
      <c r="L16" s="65"/>
      <c r="M16" s="65" t="s">
        <v>32</v>
      </c>
      <c r="N16" s="65" t="s">
        <v>31</v>
      </c>
      <c r="O16" s="65" t="s">
        <v>32</v>
      </c>
      <c r="P16" s="65" t="s">
        <v>32</v>
      </c>
      <c r="Q16" s="65" t="s">
        <v>32</v>
      </c>
      <c r="R16" s="65"/>
      <c r="S16" s="65"/>
      <c r="T16" s="66">
        <f t="shared" si="1"/>
        <v>9</v>
      </c>
      <c r="U16" s="66">
        <f t="shared" si="2"/>
        <v>3</v>
      </c>
      <c r="V16" s="66">
        <f t="shared" si="3"/>
        <v>12</v>
      </c>
      <c r="W16" s="67">
        <f t="shared" si="4"/>
        <v>75</v>
      </c>
    </row>
    <row r="17">
      <c r="A17" s="17">
        <v>43.0</v>
      </c>
      <c r="B17" s="18" t="s">
        <v>115</v>
      </c>
      <c r="C17" s="25" t="s">
        <v>116</v>
      </c>
      <c r="D17" s="65" t="s">
        <v>32</v>
      </c>
      <c r="E17" s="65" t="s">
        <v>31</v>
      </c>
      <c r="F17" s="65" t="s">
        <v>31</v>
      </c>
      <c r="G17" s="65" t="s">
        <v>32</v>
      </c>
      <c r="H17" s="65"/>
      <c r="I17" s="65" t="s">
        <v>31</v>
      </c>
      <c r="J17" s="65" t="s">
        <v>31</v>
      </c>
      <c r="K17" s="65" t="s">
        <v>31</v>
      </c>
      <c r="L17" s="65"/>
      <c r="M17" s="65" t="s">
        <v>31</v>
      </c>
      <c r="N17" s="65" t="s">
        <v>31</v>
      </c>
      <c r="O17" s="65" t="s">
        <v>31</v>
      </c>
      <c r="P17" s="65" t="s">
        <v>32</v>
      </c>
      <c r="Q17" s="65" t="s">
        <v>31</v>
      </c>
      <c r="R17" s="65"/>
      <c r="S17" s="65"/>
      <c r="T17" s="66">
        <f t="shared" si="1"/>
        <v>3</v>
      </c>
      <c r="U17" s="66">
        <f t="shared" si="2"/>
        <v>9</v>
      </c>
      <c r="V17" s="66">
        <f t="shared" si="3"/>
        <v>12</v>
      </c>
      <c r="W17" s="67">
        <f t="shared" si="4"/>
        <v>25</v>
      </c>
    </row>
    <row r="18">
      <c r="A18" s="17">
        <v>44.0</v>
      </c>
      <c r="B18" s="18" t="s">
        <v>117</v>
      </c>
      <c r="C18" s="25" t="s">
        <v>118</v>
      </c>
      <c r="D18" s="65" t="s">
        <v>31</v>
      </c>
      <c r="E18" s="65" t="s">
        <v>32</v>
      </c>
      <c r="F18" s="65" t="s">
        <v>32</v>
      </c>
      <c r="G18" s="65" t="s">
        <v>32</v>
      </c>
      <c r="H18" s="65"/>
      <c r="I18" s="65" t="s">
        <v>32</v>
      </c>
      <c r="J18" s="65" t="s">
        <v>32</v>
      </c>
      <c r="K18" s="65" t="s">
        <v>32</v>
      </c>
      <c r="L18" s="65"/>
      <c r="M18" s="65" t="s">
        <v>32</v>
      </c>
      <c r="N18" s="65" t="s">
        <v>32</v>
      </c>
      <c r="O18" s="65" t="s">
        <v>32</v>
      </c>
      <c r="P18" s="65" t="s">
        <v>32</v>
      </c>
      <c r="Q18" s="65" t="s">
        <v>32</v>
      </c>
      <c r="R18" s="65"/>
      <c r="S18" s="65"/>
      <c r="T18" s="66">
        <f t="shared" si="1"/>
        <v>11</v>
      </c>
      <c r="U18" s="66">
        <f t="shared" si="2"/>
        <v>1</v>
      </c>
      <c r="V18" s="66">
        <f t="shared" si="3"/>
        <v>12</v>
      </c>
      <c r="W18" s="67">
        <f t="shared" si="4"/>
        <v>91.66666667</v>
      </c>
    </row>
    <row r="19">
      <c r="A19" s="17">
        <v>45.0</v>
      </c>
      <c r="B19" s="18" t="s">
        <v>119</v>
      </c>
      <c r="C19" s="25" t="s">
        <v>120</v>
      </c>
      <c r="D19" s="65" t="s">
        <v>32</v>
      </c>
      <c r="E19" s="65" t="s">
        <v>32</v>
      </c>
      <c r="F19" s="65" t="s">
        <v>31</v>
      </c>
      <c r="G19" s="65" t="s">
        <v>32</v>
      </c>
      <c r="H19" s="65"/>
      <c r="I19" s="65" t="s">
        <v>32</v>
      </c>
      <c r="J19" s="65" t="s">
        <v>32</v>
      </c>
      <c r="K19" s="65" t="s">
        <v>32</v>
      </c>
      <c r="L19" s="65"/>
      <c r="M19" s="65" t="s">
        <v>32</v>
      </c>
      <c r="N19" s="65" t="s">
        <v>32</v>
      </c>
      <c r="O19" s="65" t="s">
        <v>32</v>
      </c>
      <c r="P19" s="65" t="s">
        <v>31</v>
      </c>
      <c r="Q19" s="65" t="s">
        <v>31</v>
      </c>
      <c r="R19" s="65"/>
      <c r="S19" s="65"/>
      <c r="T19" s="66">
        <f t="shared" si="1"/>
        <v>9</v>
      </c>
      <c r="U19" s="66">
        <f t="shared" si="2"/>
        <v>3</v>
      </c>
      <c r="V19" s="66">
        <f t="shared" si="3"/>
        <v>12</v>
      </c>
      <c r="W19" s="67">
        <f t="shared" si="4"/>
        <v>75</v>
      </c>
    </row>
    <row r="20">
      <c r="A20" s="17">
        <v>46.0</v>
      </c>
      <c r="B20" s="18" t="s">
        <v>121</v>
      </c>
      <c r="C20" s="25" t="s">
        <v>122</v>
      </c>
      <c r="D20" s="65" t="s">
        <v>32</v>
      </c>
      <c r="E20" s="65" t="s">
        <v>32</v>
      </c>
      <c r="F20" s="65" t="s">
        <v>31</v>
      </c>
      <c r="G20" s="65" t="s">
        <v>32</v>
      </c>
      <c r="H20" s="65"/>
      <c r="I20" s="65" t="s">
        <v>32</v>
      </c>
      <c r="J20" s="65" t="s">
        <v>31</v>
      </c>
      <c r="K20" s="65" t="s">
        <v>32</v>
      </c>
      <c r="L20" s="65"/>
      <c r="M20" s="65" t="s">
        <v>32</v>
      </c>
      <c r="N20" s="65" t="s">
        <v>32</v>
      </c>
      <c r="O20" s="65" t="s">
        <v>31</v>
      </c>
      <c r="P20" s="65" t="s">
        <v>32</v>
      </c>
      <c r="Q20" s="65" t="s">
        <v>32</v>
      </c>
      <c r="R20" s="65"/>
      <c r="S20" s="65"/>
      <c r="T20" s="66">
        <f t="shared" si="1"/>
        <v>9</v>
      </c>
      <c r="U20" s="66">
        <f t="shared" si="2"/>
        <v>3</v>
      </c>
      <c r="V20" s="66">
        <f t="shared" si="3"/>
        <v>12</v>
      </c>
      <c r="W20" s="67">
        <f t="shared" si="4"/>
        <v>75</v>
      </c>
    </row>
    <row r="21" ht="15.75" customHeight="1">
      <c r="A21" s="17">
        <v>47.0</v>
      </c>
      <c r="B21" s="18" t="s">
        <v>123</v>
      </c>
      <c r="C21" s="25" t="s">
        <v>124</v>
      </c>
      <c r="D21" s="65" t="s">
        <v>32</v>
      </c>
      <c r="E21" s="65" t="s">
        <v>32</v>
      </c>
      <c r="F21" s="65" t="s">
        <v>32</v>
      </c>
      <c r="G21" s="65" t="s">
        <v>32</v>
      </c>
      <c r="H21" s="65"/>
      <c r="I21" s="65" t="s">
        <v>32</v>
      </c>
      <c r="J21" s="65" t="s">
        <v>32</v>
      </c>
      <c r="K21" s="65" t="s">
        <v>32</v>
      </c>
      <c r="L21" s="65"/>
      <c r="M21" s="65" t="s">
        <v>32</v>
      </c>
      <c r="N21" s="65" t="s">
        <v>32</v>
      </c>
      <c r="O21" s="65" t="s">
        <v>32</v>
      </c>
      <c r="P21" s="65" t="s">
        <v>32</v>
      </c>
      <c r="Q21" s="65" t="s">
        <v>31</v>
      </c>
      <c r="R21" s="65"/>
      <c r="S21" s="65"/>
      <c r="T21" s="66">
        <f t="shared" si="1"/>
        <v>11</v>
      </c>
      <c r="U21" s="66">
        <f t="shared" si="2"/>
        <v>1</v>
      </c>
      <c r="V21" s="66">
        <f t="shared" si="3"/>
        <v>12</v>
      </c>
      <c r="W21" s="67">
        <f t="shared" si="4"/>
        <v>91.66666667</v>
      </c>
    </row>
    <row r="22" ht="15.75" customHeight="1">
      <c r="A22" s="17">
        <v>48.0</v>
      </c>
      <c r="B22" s="18" t="s">
        <v>125</v>
      </c>
      <c r="C22" s="25" t="s">
        <v>126</v>
      </c>
      <c r="D22" s="65" t="s">
        <v>32</v>
      </c>
      <c r="E22" s="65" t="s">
        <v>32</v>
      </c>
      <c r="F22" s="65" t="s">
        <v>32</v>
      </c>
      <c r="G22" s="65" t="s">
        <v>32</v>
      </c>
      <c r="H22" s="65"/>
      <c r="I22" s="65" t="s">
        <v>32</v>
      </c>
      <c r="J22" s="65" t="s">
        <v>32</v>
      </c>
      <c r="K22" s="65" t="s">
        <v>31</v>
      </c>
      <c r="L22" s="65"/>
      <c r="M22" s="65" t="s">
        <v>32</v>
      </c>
      <c r="N22" s="65" t="s">
        <v>32</v>
      </c>
      <c r="O22" s="65" t="s">
        <v>32</v>
      </c>
      <c r="P22" s="65" t="s">
        <v>32</v>
      </c>
      <c r="Q22" s="65" t="s">
        <v>32</v>
      </c>
      <c r="R22" s="65"/>
      <c r="S22" s="65"/>
      <c r="T22" s="66">
        <f t="shared" si="1"/>
        <v>11</v>
      </c>
      <c r="U22" s="66">
        <f t="shared" si="2"/>
        <v>1</v>
      </c>
      <c r="V22" s="66">
        <f t="shared" si="3"/>
        <v>12</v>
      </c>
      <c r="W22" s="67">
        <f t="shared" si="4"/>
        <v>91.66666667</v>
      </c>
    </row>
    <row r="23" ht="15.75" customHeight="1">
      <c r="A23" s="17">
        <v>49.0</v>
      </c>
      <c r="B23" s="18" t="s">
        <v>127</v>
      </c>
      <c r="C23" s="25" t="s">
        <v>128</v>
      </c>
      <c r="D23" s="65" t="s">
        <v>32</v>
      </c>
      <c r="E23" s="65" t="s">
        <v>32</v>
      </c>
      <c r="F23" s="65" t="s">
        <v>32</v>
      </c>
      <c r="G23" s="65" t="s">
        <v>32</v>
      </c>
      <c r="H23" s="65"/>
      <c r="I23" s="65" t="s">
        <v>32</v>
      </c>
      <c r="J23" s="65" t="s">
        <v>32</v>
      </c>
      <c r="K23" s="65" t="s">
        <v>32</v>
      </c>
      <c r="L23" s="65"/>
      <c r="M23" s="65" t="s">
        <v>32</v>
      </c>
      <c r="N23" s="65" t="s">
        <v>32</v>
      </c>
      <c r="O23" s="65" t="s">
        <v>31</v>
      </c>
      <c r="P23" s="65" t="s">
        <v>32</v>
      </c>
      <c r="Q23" s="65" t="s">
        <v>31</v>
      </c>
      <c r="R23" s="65"/>
      <c r="S23" s="65"/>
      <c r="T23" s="66">
        <f t="shared" si="1"/>
        <v>10</v>
      </c>
      <c r="U23" s="66">
        <f t="shared" si="2"/>
        <v>2</v>
      </c>
      <c r="V23" s="66">
        <f t="shared" si="3"/>
        <v>12</v>
      </c>
      <c r="W23" s="67">
        <f t="shared" si="4"/>
        <v>83.33333333</v>
      </c>
    </row>
    <row r="24" ht="15.75" customHeight="1">
      <c r="A24" s="17">
        <v>50.0</v>
      </c>
      <c r="B24" s="18" t="s">
        <v>129</v>
      </c>
      <c r="C24" s="25" t="s">
        <v>130</v>
      </c>
      <c r="D24" s="65" t="s">
        <v>32</v>
      </c>
      <c r="E24" s="65" t="s">
        <v>32</v>
      </c>
      <c r="F24" s="65" t="s">
        <v>32</v>
      </c>
      <c r="G24" s="65" t="s">
        <v>32</v>
      </c>
      <c r="H24" s="65"/>
      <c r="I24" s="65" t="s">
        <v>31</v>
      </c>
      <c r="J24" s="65" t="s">
        <v>32</v>
      </c>
      <c r="K24" s="65" t="s">
        <v>32</v>
      </c>
      <c r="L24" s="65"/>
      <c r="M24" s="65" t="s">
        <v>31</v>
      </c>
      <c r="N24" s="65" t="s">
        <v>31</v>
      </c>
      <c r="O24" s="65" t="s">
        <v>31</v>
      </c>
      <c r="P24" s="65" t="s">
        <v>32</v>
      </c>
      <c r="Q24" s="65" t="s">
        <v>32</v>
      </c>
      <c r="R24" s="65"/>
      <c r="S24" s="65"/>
      <c r="T24" s="66">
        <f t="shared" si="1"/>
        <v>8</v>
      </c>
      <c r="U24" s="66">
        <f t="shared" si="2"/>
        <v>4</v>
      </c>
      <c r="V24" s="66">
        <f t="shared" si="3"/>
        <v>12</v>
      </c>
      <c r="W24" s="67">
        <f t="shared" si="4"/>
        <v>66.66666667</v>
      </c>
    </row>
    <row r="25" ht="15.75" customHeight="1">
      <c r="A25" s="17">
        <v>51.0</v>
      </c>
      <c r="B25" s="18" t="s">
        <v>131</v>
      </c>
      <c r="C25" s="25" t="s">
        <v>132</v>
      </c>
      <c r="D25" s="65" t="s">
        <v>32</v>
      </c>
      <c r="E25" s="65" t="s">
        <v>32</v>
      </c>
      <c r="F25" s="65" t="s">
        <v>31</v>
      </c>
      <c r="G25" s="65" t="s">
        <v>32</v>
      </c>
      <c r="H25" s="65"/>
      <c r="I25" s="65" t="s">
        <v>32</v>
      </c>
      <c r="J25" s="65" t="s">
        <v>32</v>
      </c>
      <c r="K25" s="65" t="s">
        <v>32</v>
      </c>
      <c r="L25" s="65"/>
      <c r="M25" s="65" t="s">
        <v>32</v>
      </c>
      <c r="N25" s="65" t="s">
        <v>32</v>
      </c>
      <c r="O25" s="65" t="s">
        <v>31</v>
      </c>
      <c r="P25" s="65" t="s">
        <v>32</v>
      </c>
      <c r="Q25" s="65" t="s">
        <v>32</v>
      </c>
      <c r="R25" s="65"/>
      <c r="S25" s="65"/>
      <c r="T25" s="66">
        <f t="shared" si="1"/>
        <v>10</v>
      </c>
      <c r="U25" s="66">
        <f t="shared" si="2"/>
        <v>2</v>
      </c>
      <c r="V25" s="66">
        <f t="shared" si="3"/>
        <v>12</v>
      </c>
      <c r="W25" s="67">
        <f t="shared" si="4"/>
        <v>83.33333333</v>
      </c>
    </row>
    <row r="26" ht="15.75" customHeight="1">
      <c r="A26" s="17">
        <v>52.0</v>
      </c>
      <c r="B26" s="18" t="s">
        <v>133</v>
      </c>
      <c r="C26" s="25" t="s">
        <v>134</v>
      </c>
      <c r="D26" s="65" t="s">
        <v>32</v>
      </c>
      <c r="E26" s="65" t="s">
        <v>32</v>
      </c>
      <c r="F26" s="65" t="s">
        <v>31</v>
      </c>
      <c r="G26" s="65" t="s">
        <v>32</v>
      </c>
      <c r="H26" s="65"/>
      <c r="I26" s="65" t="s">
        <v>32</v>
      </c>
      <c r="J26" s="65" t="s">
        <v>31</v>
      </c>
      <c r="K26" s="65" t="s">
        <v>32</v>
      </c>
      <c r="L26" s="65"/>
      <c r="M26" s="65" t="s">
        <v>32</v>
      </c>
      <c r="N26" s="65" t="s">
        <v>32</v>
      </c>
      <c r="O26" s="65" t="s">
        <v>31</v>
      </c>
      <c r="P26" s="65" t="s">
        <v>32</v>
      </c>
      <c r="Q26" s="65" t="s">
        <v>31</v>
      </c>
      <c r="R26" s="65"/>
      <c r="S26" s="65"/>
      <c r="T26" s="66">
        <f t="shared" si="1"/>
        <v>8</v>
      </c>
      <c r="U26" s="66">
        <f t="shared" si="2"/>
        <v>4</v>
      </c>
      <c r="V26" s="66">
        <f t="shared" si="3"/>
        <v>12</v>
      </c>
      <c r="W26" s="67">
        <f t="shared" si="4"/>
        <v>66.66666667</v>
      </c>
    </row>
    <row r="27" ht="15.75" customHeight="1">
      <c r="A27" s="17">
        <v>53.0</v>
      </c>
      <c r="B27" s="18" t="s">
        <v>135</v>
      </c>
      <c r="C27" s="25" t="s">
        <v>136</v>
      </c>
      <c r="D27" s="65" t="s">
        <v>32</v>
      </c>
      <c r="E27" s="65" t="s">
        <v>32</v>
      </c>
      <c r="F27" s="65" t="s">
        <v>32</v>
      </c>
      <c r="G27" s="65" t="s">
        <v>32</v>
      </c>
      <c r="H27" s="65"/>
      <c r="I27" s="65" t="s">
        <v>32</v>
      </c>
      <c r="J27" s="65" t="s">
        <v>32</v>
      </c>
      <c r="K27" s="65" t="s">
        <v>32</v>
      </c>
      <c r="L27" s="65"/>
      <c r="M27" s="65" t="s">
        <v>32</v>
      </c>
      <c r="N27" s="65" t="s">
        <v>32</v>
      </c>
      <c r="O27" s="65" t="s">
        <v>32</v>
      </c>
      <c r="P27" s="65" t="s">
        <v>32</v>
      </c>
      <c r="Q27" s="65" t="s">
        <v>32</v>
      </c>
      <c r="R27" s="65"/>
      <c r="S27" s="65"/>
      <c r="T27" s="66">
        <f t="shared" si="1"/>
        <v>12</v>
      </c>
      <c r="U27" s="66">
        <f t="shared" si="2"/>
        <v>0</v>
      </c>
      <c r="V27" s="66">
        <f t="shared" si="3"/>
        <v>12</v>
      </c>
      <c r="W27" s="67">
        <f t="shared" si="4"/>
        <v>100</v>
      </c>
    </row>
    <row r="28" ht="15.75" customHeight="1">
      <c r="A28" s="17">
        <v>54.0</v>
      </c>
      <c r="B28" s="18" t="s">
        <v>137</v>
      </c>
      <c r="C28" s="25" t="s">
        <v>138</v>
      </c>
      <c r="D28" s="65" t="s">
        <v>32</v>
      </c>
      <c r="E28" s="65" t="s">
        <v>32</v>
      </c>
      <c r="F28" s="65" t="s">
        <v>32</v>
      </c>
      <c r="G28" s="65" t="s">
        <v>31</v>
      </c>
      <c r="H28" s="65"/>
      <c r="I28" s="65" t="s">
        <v>32</v>
      </c>
      <c r="J28" s="65" t="s">
        <v>31</v>
      </c>
      <c r="K28" s="65" t="s">
        <v>32</v>
      </c>
      <c r="L28" s="65"/>
      <c r="M28" s="65" t="s">
        <v>32</v>
      </c>
      <c r="N28" s="65" t="s">
        <v>32</v>
      </c>
      <c r="O28" s="65" t="s">
        <v>32</v>
      </c>
      <c r="P28" s="65" t="s">
        <v>32</v>
      </c>
      <c r="Q28" s="65" t="s">
        <v>32</v>
      </c>
      <c r="R28" s="65"/>
      <c r="S28" s="65"/>
      <c r="T28" s="66">
        <f t="shared" si="1"/>
        <v>10</v>
      </c>
      <c r="U28" s="66">
        <f t="shared" si="2"/>
        <v>2</v>
      </c>
      <c r="V28" s="66">
        <f t="shared" si="3"/>
        <v>12</v>
      </c>
      <c r="W28" s="67">
        <f t="shared" si="4"/>
        <v>83.33333333</v>
      </c>
    </row>
    <row r="29" ht="15.75" customHeight="1">
      <c r="A29" s="17">
        <v>55.0</v>
      </c>
      <c r="B29" s="18" t="s">
        <v>139</v>
      </c>
      <c r="C29" s="25" t="s">
        <v>140</v>
      </c>
      <c r="D29" s="65" t="s">
        <v>32</v>
      </c>
      <c r="E29" s="65" t="s">
        <v>32</v>
      </c>
      <c r="F29" s="65" t="s">
        <v>32</v>
      </c>
      <c r="G29" s="65" t="s">
        <v>31</v>
      </c>
      <c r="H29" s="65"/>
      <c r="I29" s="65" t="s">
        <v>32</v>
      </c>
      <c r="J29" s="65" t="s">
        <v>31</v>
      </c>
      <c r="K29" s="65" t="s">
        <v>32</v>
      </c>
      <c r="L29" s="65"/>
      <c r="M29" s="65" t="s">
        <v>32</v>
      </c>
      <c r="N29" s="65" t="s">
        <v>31</v>
      </c>
      <c r="O29" s="65" t="s">
        <v>32</v>
      </c>
      <c r="P29" s="65" t="s">
        <v>32</v>
      </c>
      <c r="Q29" s="65" t="s">
        <v>31</v>
      </c>
      <c r="R29" s="65"/>
      <c r="S29" s="65"/>
      <c r="T29" s="66">
        <f t="shared" si="1"/>
        <v>8</v>
      </c>
      <c r="U29" s="66">
        <f t="shared" si="2"/>
        <v>4</v>
      </c>
      <c r="V29" s="66">
        <f t="shared" si="3"/>
        <v>12</v>
      </c>
      <c r="W29" s="67">
        <f t="shared" si="4"/>
        <v>66.66666667</v>
      </c>
    </row>
    <row r="30" ht="15.75" customHeight="1">
      <c r="A30" s="17">
        <v>56.0</v>
      </c>
      <c r="B30" s="18" t="s">
        <v>141</v>
      </c>
      <c r="C30" s="25" t="s">
        <v>142</v>
      </c>
      <c r="D30" s="65" t="s">
        <v>31</v>
      </c>
      <c r="E30" s="65" t="s">
        <v>32</v>
      </c>
      <c r="F30" s="65" t="s">
        <v>32</v>
      </c>
      <c r="G30" s="65" t="s">
        <v>32</v>
      </c>
      <c r="H30" s="65"/>
      <c r="I30" s="65" t="s">
        <v>32</v>
      </c>
      <c r="J30" s="65" t="s">
        <v>32</v>
      </c>
      <c r="K30" s="65" t="s">
        <v>32</v>
      </c>
      <c r="L30" s="65"/>
      <c r="M30" s="65" t="s">
        <v>31</v>
      </c>
      <c r="N30" s="65" t="s">
        <v>31</v>
      </c>
      <c r="O30" s="65" t="s">
        <v>31</v>
      </c>
      <c r="P30" s="65" t="s">
        <v>32</v>
      </c>
      <c r="Q30" s="65" t="s">
        <v>32</v>
      </c>
      <c r="R30" s="65"/>
      <c r="S30" s="65"/>
      <c r="T30" s="66">
        <f t="shared" si="1"/>
        <v>8</v>
      </c>
      <c r="U30" s="66">
        <f t="shared" si="2"/>
        <v>4</v>
      </c>
      <c r="V30" s="66">
        <f t="shared" si="3"/>
        <v>12</v>
      </c>
      <c r="W30" s="67">
        <f t="shared" si="4"/>
        <v>66.66666667</v>
      </c>
    </row>
    <row r="31" ht="15.75" customHeight="1">
      <c r="A31" s="17">
        <v>57.0</v>
      </c>
      <c r="B31" s="18" t="s">
        <v>143</v>
      </c>
      <c r="C31" s="25" t="s">
        <v>144</v>
      </c>
      <c r="D31" s="65" t="s">
        <v>32</v>
      </c>
      <c r="E31" s="65" t="s">
        <v>32</v>
      </c>
      <c r="F31" s="65" t="s">
        <v>32</v>
      </c>
      <c r="G31" s="65" t="s">
        <v>32</v>
      </c>
      <c r="H31" s="65"/>
      <c r="I31" s="65" t="s">
        <v>32</v>
      </c>
      <c r="J31" s="65" t="s">
        <v>31</v>
      </c>
      <c r="K31" s="65" t="s">
        <v>32</v>
      </c>
      <c r="L31" s="65"/>
      <c r="M31" s="65" t="s">
        <v>32</v>
      </c>
      <c r="N31" s="65" t="s">
        <v>31</v>
      </c>
      <c r="O31" s="65" t="s">
        <v>31</v>
      </c>
      <c r="P31" s="65" t="s">
        <v>32</v>
      </c>
      <c r="Q31" s="65" t="s">
        <v>32</v>
      </c>
      <c r="R31" s="65"/>
      <c r="S31" s="65"/>
      <c r="T31" s="66">
        <f t="shared" si="1"/>
        <v>9</v>
      </c>
      <c r="U31" s="66">
        <f t="shared" si="2"/>
        <v>3</v>
      </c>
      <c r="V31" s="66">
        <f t="shared" si="3"/>
        <v>12</v>
      </c>
      <c r="W31" s="67">
        <f t="shared" si="4"/>
        <v>75</v>
      </c>
    </row>
    <row r="32" ht="15.75" customHeight="1">
      <c r="A32" s="17">
        <v>58.0</v>
      </c>
      <c r="B32" s="18" t="s">
        <v>145</v>
      </c>
      <c r="C32" s="25" t="s">
        <v>146</v>
      </c>
      <c r="D32" s="65" t="s">
        <v>32</v>
      </c>
      <c r="E32" s="65" t="s">
        <v>32</v>
      </c>
      <c r="F32" s="65" t="s">
        <v>32</v>
      </c>
      <c r="G32" s="65" t="s">
        <v>31</v>
      </c>
      <c r="H32" s="65"/>
      <c r="I32" s="65" t="s">
        <v>32</v>
      </c>
      <c r="J32" s="65" t="s">
        <v>32</v>
      </c>
      <c r="K32" s="65" t="s">
        <v>32</v>
      </c>
      <c r="L32" s="65"/>
      <c r="M32" s="65" t="s">
        <v>32</v>
      </c>
      <c r="N32" s="65" t="s">
        <v>32</v>
      </c>
      <c r="O32" s="65" t="s">
        <v>31</v>
      </c>
      <c r="P32" s="65" t="s">
        <v>32</v>
      </c>
      <c r="Q32" s="65" t="s">
        <v>31</v>
      </c>
      <c r="R32" s="65"/>
      <c r="S32" s="65"/>
      <c r="T32" s="66">
        <f t="shared" si="1"/>
        <v>9</v>
      </c>
      <c r="U32" s="66">
        <f t="shared" si="2"/>
        <v>3</v>
      </c>
      <c r="V32" s="66">
        <f t="shared" si="3"/>
        <v>12</v>
      </c>
      <c r="W32" s="67">
        <f t="shared" si="4"/>
        <v>75</v>
      </c>
    </row>
    <row r="33" ht="15.75" customHeight="1">
      <c r="A33" s="17">
        <v>59.0</v>
      </c>
      <c r="B33" s="18" t="s">
        <v>147</v>
      </c>
      <c r="C33" s="25" t="s">
        <v>148</v>
      </c>
      <c r="D33" s="65" t="s">
        <v>32</v>
      </c>
      <c r="E33" s="65" t="s">
        <v>32</v>
      </c>
      <c r="F33" s="65" t="s">
        <v>32</v>
      </c>
      <c r="G33" s="65" t="s">
        <v>31</v>
      </c>
      <c r="H33" s="65"/>
      <c r="I33" s="65" t="s">
        <v>32</v>
      </c>
      <c r="J33" s="65" t="s">
        <v>32</v>
      </c>
      <c r="K33" s="65" t="s">
        <v>32</v>
      </c>
      <c r="L33" s="65"/>
      <c r="M33" s="65" t="s">
        <v>32</v>
      </c>
      <c r="N33" s="65" t="s">
        <v>31</v>
      </c>
      <c r="O33" s="65" t="s">
        <v>32</v>
      </c>
      <c r="P33" s="65" t="s">
        <v>32</v>
      </c>
      <c r="Q33" s="65" t="s">
        <v>32</v>
      </c>
      <c r="R33" s="65"/>
      <c r="S33" s="65"/>
      <c r="T33" s="66">
        <f t="shared" si="1"/>
        <v>10</v>
      </c>
      <c r="U33" s="66">
        <f t="shared" si="2"/>
        <v>2</v>
      </c>
      <c r="V33" s="66">
        <f t="shared" si="3"/>
        <v>12</v>
      </c>
      <c r="W33" s="67">
        <f t="shared" si="4"/>
        <v>83.33333333</v>
      </c>
    </row>
    <row r="34" ht="15.75" customHeight="1">
      <c r="A34" s="17">
        <v>60.0</v>
      </c>
      <c r="B34" s="18" t="s">
        <v>149</v>
      </c>
      <c r="C34" s="25" t="s">
        <v>150</v>
      </c>
      <c r="D34" s="65" t="s">
        <v>32</v>
      </c>
      <c r="E34" s="65" t="s">
        <v>32</v>
      </c>
      <c r="F34" s="65" t="s">
        <v>32</v>
      </c>
      <c r="G34" s="65" t="s">
        <v>32</v>
      </c>
      <c r="H34" s="65"/>
      <c r="I34" s="65" t="s">
        <v>31</v>
      </c>
      <c r="J34" s="65" t="s">
        <v>31</v>
      </c>
      <c r="K34" s="65" t="s">
        <v>32</v>
      </c>
      <c r="L34" s="65"/>
      <c r="M34" s="65" t="s">
        <v>32</v>
      </c>
      <c r="N34" s="65" t="s">
        <v>32</v>
      </c>
      <c r="O34" s="65" t="s">
        <v>32</v>
      </c>
      <c r="P34" s="65" t="s">
        <v>32</v>
      </c>
      <c r="Q34" s="65" t="s">
        <v>31</v>
      </c>
      <c r="R34" s="65"/>
      <c r="S34" s="65"/>
      <c r="T34" s="66">
        <f t="shared" si="1"/>
        <v>9</v>
      </c>
      <c r="U34" s="66">
        <f t="shared" si="2"/>
        <v>3</v>
      </c>
      <c r="V34" s="66">
        <f t="shared" si="3"/>
        <v>12</v>
      </c>
      <c r="W34" s="67">
        <f t="shared" si="4"/>
        <v>75</v>
      </c>
    </row>
    <row r="35" ht="15.75" customHeight="1">
      <c r="A35" s="17">
        <v>61.0</v>
      </c>
      <c r="B35" s="18" t="s">
        <v>151</v>
      </c>
      <c r="C35" s="25" t="s">
        <v>152</v>
      </c>
      <c r="D35" s="65" t="s">
        <v>32</v>
      </c>
      <c r="E35" s="65" t="s">
        <v>32</v>
      </c>
      <c r="F35" s="65" t="s">
        <v>32</v>
      </c>
      <c r="G35" s="65" t="s">
        <v>32</v>
      </c>
      <c r="H35" s="65"/>
      <c r="I35" s="65" t="s">
        <v>32</v>
      </c>
      <c r="J35" s="65" t="s">
        <v>32</v>
      </c>
      <c r="K35" s="65" t="s">
        <v>32</v>
      </c>
      <c r="L35" s="65"/>
      <c r="M35" s="65" t="s">
        <v>32</v>
      </c>
      <c r="N35" s="65" t="s">
        <v>31</v>
      </c>
      <c r="O35" s="65" t="s">
        <v>32</v>
      </c>
      <c r="P35" s="65" t="s">
        <v>32</v>
      </c>
      <c r="Q35" s="65" t="s">
        <v>32</v>
      </c>
      <c r="R35" s="65"/>
      <c r="S35" s="65"/>
      <c r="T35" s="66">
        <f t="shared" si="1"/>
        <v>11</v>
      </c>
      <c r="U35" s="66">
        <f t="shared" si="2"/>
        <v>1</v>
      </c>
      <c r="V35" s="66">
        <f t="shared" si="3"/>
        <v>12</v>
      </c>
      <c r="W35" s="67">
        <f t="shared" si="4"/>
        <v>91.66666667</v>
      </c>
    </row>
    <row r="36" ht="15.75" customHeight="1">
      <c r="A36" s="17">
        <v>62.0</v>
      </c>
      <c r="B36" s="18" t="s">
        <v>153</v>
      </c>
      <c r="C36" s="25" t="s">
        <v>154</v>
      </c>
      <c r="D36" s="65" t="s">
        <v>31</v>
      </c>
      <c r="E36" s="65" t="s">
        <v>32</v>
      </c>
      <c r="F36" s="65" t="s">
        <v>32</v>
      </c>
      <c r="G36" s="65" t="s">
        <v>32</v>
      </c>
      <c r="H36" s="65"/>
      <c r="I36" s="65" t="s">
        <v>32</v>
      </c>
      <c r="J36" s="65" t="s">
        <v>31</v>
      </c>
      <c r="K36" s="65" t="s">
        <v>32</v>
      </c>
      <c r="L36" s="65"/>
      <c r="M36" s="65" t="s">
        <v>32</v>
      </c>
      <c r="N36" s="65" t="s">
        <v>32</v>
      </c>
      <c r="O36" s="65" t="s">
        <v>32</v>
      </c>
      <c r="P36" s="65" t="s">
        <v>32</v>
      </c>
      <c r="Q36" s="65" t="s">
        <v>32</v>
      </c>
      <c r="R36" s="65"/>
      <c r="S36" s="65"/>
      <c r="T36" s="66">
        <f t="shared" si="1"/>
        <v>10</v>
      </c>
      <c r="U36" s="66">
        <f t="shared" si="2"/>
        <v>2</v>
      </c>
      <c r="V36" s="66">
        <f t="shared" si="3"/>
        <v>12</v>
      </c>
      <c r="W36" s="67">
        <f t="shared" si="4"/>
        <v>83.33333333</v>
      </c>
    </row>
    <row r="37" ht="15.75" customHeight="1">
      <c r="A37" s="17">
        <v>63.0</v>
      </c>
      <c r="B37" s="18" t="s">
        <v>155</v>
      </c>
      <c r="C37" s="25" t="s">
        <v>156</v>
      </c>
      <c r="D37" s="65" t="s">
        <v>31</v>
      </c>
      <c r="E37" s="65" t="s">
        <v>32</v>
      </c>
      <c r="F37" s="65" t="s">
        <v>32</v>
      </c>
      <c r="G37" s="65" t="s">
        <v>32</v>
      </c>
      <c r="H37" s="65"/>
      <c r="I37" s="65" t="s">
        <v>32</v>
      </c>
      <c r="J37" s="65" t="s">
        <v>32</v>
      </c>
      <c r="K37" s="65" t="s">
        <v>31</v>
      </c>
      <c r="L37" s="65"/>
      <c r="M37" s="65" t="s">
        <v>32</v>
      </c>
      <c r="N37" s="65" t="s">
        <v>31</v>
      </c>
      <c r="O37" s="65" t="s">
        <v>31</v>
      </c>
      <c r="P37" s="65" t="s">
        <v>32</v>
      </c>
      <c r="Q37" s="65" t="s">
        <v>31</v>
      </c>
      <c r="R37" s="65"/>
      <c r="S37" s="65"/>
      <c r="T37" s="66">
        <f t="shared" si="1"/>
        <v>7</v>
      </c>
      <c r="U37" s="66">
        <f t="shared" si="2"/>
        <v>5</v>
      </c>
      <c r="V37" s="66">
        <f t="shared" si="3"/>
        <v>12</v>
      </c>
      <c r="W37" s="67">
        <f t="shared" si="4"/>
        <v>58.33333333</v>
      </c>
    </row>
    <row r="38" ht="15.75" customHeight="1">
      <c r="A38" s="17">
        <v>64.0</v>
      </c>
      <c r="B38" s="18" t="s">
        <v>157</v>
      </c>
      <c r="C38" s="25" t="s">
        <v>158</v>
      </c>
      <c r="D38" s="65" t="s">
        <v>32</v>
      </c>
      <c r="E38" s="65" t="s">
        <v>32</v>
      </c>
      <c r="F38" s="65" t="s">
        <v>32</v>
      </c>
      <c r="G38" s="65" t="s">
        <v>32</v>
      </c>
      <c r="H38" s="65"/>
      <c r="I38" s="65" t="s">
        <v>31</v>
      </c>
      <c r="J38" s="65" t="s">
        <v>32</v>
      </c>
      <c r="K38" s="65" t="s">
        <v>32</v>
      </c>
      <c r="L38" s="65"/>
      <c r="M38" s="65" t="s">
        <v>32</v>
      </c>
      <c r="N38" s="65" t="s">
        <v>32</v>
      </c>
      <c r="O38" s="65" t="s">
        <v>32</v>
      </c>
      <c r="P38" s="65" t="s">
        <v>32</v>
      </c>
      <c r="Q38" s="65" t="s">
        <v>32</v>
      </c>
      <c r="R38" s="65"/>
      <c r="S38" s="65"/>
      <c r="T38" s="66">
        <f t="shared" si="1"/>
        <v>11</v>
      </c>
      <c r="U38" s="66">
        <f t="shared" si="2"/>
        <v>1</v>
      </c>
      <c r="V38" s="66">
        <f t="shared" si="3"/>
        <v>12</v>
      </c>
      <c r="W38" s="67">
        <f t="shared" si="4"/>
        <v>91.66666667</v>
      </c>
    </row>
    <row r="39" ht="15.75" customHeight="1">
      <c r="A39" s="17">
        <v>65.0</v>
      </c>
      <c r="B39" s="18" t="s">
        <v>159</v>
      </c>
      <c r="C39" s="25" t="s">
        <v>160</v>
      </c>
      <c r="D39" s="65" t="s">
        <v>32</v>
      </c>
      <c r="E39" s="65" t="s">
        <v>32</v>
      </c>
      <c r="F39" s="65" t="s">
        <v>32</v>
      </c>
      <c r="G39" s="65" t="s">
        <v>32</v>
      </c>
      <c r="H39" s="65"/>
      <c r="I39" s="65" t="s">
        <v>32</v>
      </c>
      <c r="J39" s="65" t="s">
        <v>32</v>
      </c>
      <c r="K39" s="65" t="s">
        <v>32</v>
      </c>
      <c r="L39" s="65"/>
      <c r="M39" s="65" t="s">
        <v>32</v>
      </c>
      <c r="N39" s="65" t="s">
        <v>31</v>
      </c>
      <c r="O39" s="65" t="s">
        <v>32</v>
      </c>
      <c r="P39" s="65" t="s">
        <v>32</v>
      </c>
      <c r="Q39" s="65" t="s">
        <v>32</v>
      </c>
      <c r="R39" s="65"/>
      <c r="S39" s="65"/>
      <c r="T39" s="66">
        <f t="shared" si="1"/>
        <v>11</v>
      </c>
      <c r="U39" s="66">
        <f t="shared" si="2"/>
        <v>1</v>
      </c>
      <c r="V39" s="66">
        <f t="shared" si="3"/>
        <v>12</v>
      </c>
      <c r="W39" s="67">
        <f t="shared" si="4"/>
        <v>91.66666667</v>
      </c>
    </row>
    <row r="40" ht="15.75" customHeight="1">
      <c r="A40" s="17">
        <v>66.0</v>
      </c>
      <c r="B40" s="18" t="s">
        <v>161</v>
      </c>
      <c r="C40" s="25" t="s">
        <v>162</v>
      </c>
      <c r="D40" s="65" t="s">
        <v>32</v>
      </c>
      <c r="E40" s="65" t="s">
        <v>32</v>
      </c>
      <c r="F40" s="65" t="s">
        <v>32</v>
      </c>
      <c r="G40" s="65" t="s">
        <v>32</v>
      </c>
      <c r="H40" s="65"/>
      <c r="I40" s="65" t="s">
        <v>32</v>
      </c>
      <c r="J40" s="65" t="s">
        <v>32</v>
      </c>
      <c r="K40" s="65" t="s">
        <v>32</v>
      </c>
      <c r="L40" s="65"/>
      <c r="M40" s="65" t="s">
        <v>32</v>
      </c>
      <c r="N40" s="65" t="s">
        <v>32</v>
      </c>
      <c r="O40" s="65" t="s">
        <v>32</v>
      </c>
      <c r="P40" s="65" t="s">
        <v>32</v>
      </c>
      <c r="Q40" s="65" t="s">
        <v>32</v>
      </c>
      <c r="R40" s="65"/>
      <c r="S40" s="65"/>
      <c r="T40" s="66">
        <f t="shared" si="1"/>
        <v>12</v>
      </c>
      <c r="U40" s="66">
        <f t="shared" si="2"/>
        <v>0</v>
      </c>
      <c r="V40" s="66">
        <f t="shared" si="3"/>
        <v>12</v>
      </c>
      <c r="W40" s="67">
        <f t="shared" si="4"/>
        <v>100</v>
      </c>
    </row>
    <row r="41" ht="15.75" customHeight="1">
      <c r="A41" s="17">
        <v>67.0</v>
      </c>
      <c r="B41" s="18" t="s">
        <v>163</v>
      </c>
      <c r="C41" s="25" t="s">
        <v>164</v>
      </c>
      <c r="D41" s="65" t="s">
        <v>31</v>
      </c>
      <c r="E41" s="65" t="s">
        <v>32</v>
      </c>
      <c r="F41" s="65" t="s">
        <v>32</v>
      </c>
      <c r="G41" s="65" t="s">
        <v>32</v>
      </c>
      <c r="H41" s="65"/>
      <c r="I41" s="65" t="s">
        <v>32</v>
      </c>
      <c r="J41" s="65" t="s">
        <v>32</v>
      </c>
      <c r="K41" s="65" t="s">
        <v>32</v>
      </c>
      <c r="L41" s="65"/>
      <c r="M41" s="65" t="s">
        <v>32</v>
      </c>
      <c r="N41" s="65" t="s">
        <v>32</v>
      </c>
      <c r="O41" s="65" t="s">
        <v>31</v>
      </c>
      <c r="P41" s="65" t="s">
        <v>32</v>
      </c>
      <c r="Q41" s="65" t="s">
        <v>32</v>
      </c>
      <c r="R41" s="65"/>
      <c r="S41" s="65"/>
      <c r="T41" s="66">
        <f t="shared" si="1"/>
        <v>10</v>
      </c>
      <c r="U41" s="66">
        <f t="shared" si="2"/>
        <v>2</v>
      </c>
      <c r="V41" s="66">
        <f t="shared" si="3"/>
        <v>12</v>
      </c>
      <c r="W41" s="67">
        <f t="shared" si="4"/>
        <v>83.33333333</v>
      </c>
    </row>
    <row r="42" ht="15.75" customHeight="1">
      <c r="A42" s="17">
        <v>68.0</v>
      </c>
      <c r="B42" s="18" t="s">
        <v>165</v>
      </c>
      <c r="C42" s="25" t="s">
        <v>166</v>
      </c>
      <c r="D42" s="65" t="s">
        <v>32</v>
      </c>
      <c r="E42" s="65" t="s">
        <v>32</v>
      </c>
      <c r="F42" s="65" t="s">
        <v>32</v>
      </c>
      <c r="G42" s="65" t="s">
        <v>32</v>
      </c>
      <c r="H42" s="65"/>
      <c r="I42" s="65" t="s">
        <v>32</v>
      </c>
      <c r="J42" s="65" t="s">
        <v>32</v>
      </c>
      <c r="K42" s="65" t="s">
        <v>32</v>
      </c>
      <c r="L42" s="65"/>
      <c r="M42" s="65" t="s">
        <v>32</v>
      </c>
      <c r="N42" s="65" t="s">
        <v>31</v>
      </c>
      <c r="O42" s="65" t="s">
        <v>32</v>
      </c>
      <c r="P42" s="65" t="s">
        <v>32</v>
      </c>
      <c r="Q42" s="65" t="s">
        <v>32</v>
      </c>
      <c r="R42" s="65"/>
      <c r="S42" s="65"/>
      <c r="T42" s="66">
        <f t="shared" si="1"/>
        <v>11</v>
      </c>
      <c r="U42" s="66">
        <f t="shared" si="2"/>
        <v>1</v>
      </c>
      <c r="V42" s="66">
        <f t="shared" si="3"/>
        <v>12</v>
      </c>
      <c r="W42" s="67">
        <f t="shared" si="4"/>
        <v>91.66666667</v>
      </c>
    </row>
    <row r="43" ht="15.75" customHeight="1">
      <c r="A43" s="17">
        <v>69.0</v>
      </c>
      <c r="B43" s="27" t="s">
        <v>167</v>
      </c>
      <c r="C43" s="25" t="s">
        <v>168</v>
      </c>
      <c r="D43" s="65" t="s">
        <v>32</v>
      </c>
      <c r="E43" s="65" t="s">
        <v>32</v>
      </c>
      <c r="F43" s="65" t="s">
        <v>32</v>
      </c>
      <c r="G43" s="65" t="s">
        <v>32</v>
      </c>
      <c r="H43" s="65"/>
      <c r="I43" s="65" t="s">
        <v>32</v>
      </c>
      <c r="J43" s="65" t="s">
        <v>32</v>
      </c>
      <c r="K43" s="65" t="s">
        <v>32</v>
      </c>
      <c r="L43" s="65"/>
      <c r="M43" s="65" t="s">
        <v>32</v>
      </c>
      <c r="N43" s="65" t="s">
        <v>32</v>
      </c>
      <c r="O43" s="65" t="s">
        <v>32</v>
      </c>
      <c r="P43" s="65" t="s">
        <v>32</v>
      </c>
      <c r="Q43" s="65" t="s">
        <v>32</v>
      </c>
      <c r="R43" s="65"/>
      <c r="S43" s="65"/>
      <c r="T43" s="66">
        <f t="shared" si="1"/>
        <v>12</v>
      </c>
      <c r="U43" s="66">
        <f t="shared" si="2"/>
        <v>0</v>
      </c>
      <c r="V43" s="66">
        <f t="shared" si="3"/>
        <v>12</v>
      </c>
      <c r="W43" s="67">
        <f t="shared" si="4"/>
        <v>100</v>
      </c>
    </row>
    <row r="44" ht="15.75" customHeight="1">
      <c r="A44" s="17">
        <v>70.0</v>
      </c>
      <c r="B44" s="28" t="s">
        <v>169</v>
      </c>
      <c r="C44" s="25" t="s">
        <v>170</v>
      </c>
      <c r="D44" s="65" t="s">
        <v>32</v>
      </c>
      <c r="E44" s="65" t="s">
        <v>32</v>
      </c>
      <c r="F44" s="65" t="s">
        <v>32</v>
      </c>
      <c r="G44" s="65" t="s">
        <v>32</v>
      </c>
      <c r="H44" s="65"/>
      <c r="I44" s="65" t="s">
        <v>32</v>
      </c>
      <c r="J44" s="65" t="s">
        <v>31</v>
      </c>
      <c r="K44" s="65" t="s">
        <v>32</v>
      </c>
      <c r="L44" s="65"/>
      <c r="M44" s="65" t="s">
        <v>32</v>
      </c>
      <c r="N44" s="65" t="s">
        <v>31</v>
      </c>
      <c r="O44" s="65" t="s">
        <v>31</v>
      </c>
      <c r="P44" s="65" t="s">
        <v>32</v>
      </c>
      <c r="Q44" s="65" t="s">
        <v>32</v>
      </c>
      <c r="R44" s="65"/>
      <c r="S44" s="65"/>
      <c r="T44" s="66">
        <f t="shared" si="1"/>
        <v>9</v>
      </c>
      <c r="U44" s="66">
        <f t="shared" si="2"/>
        <v>3</v>
      </c>
      <c r="V44" s="66">
        <f t="shared" si="3"/>
        <v>12</v>
      </c>
      <c r="W44" s="67">
        <f t="shared" si="4"/>
        <v>75</v>
      </c>
    </row>
    <row r="45" ht="15.75" customHeight="1">
      <c r="A45" s="17">
        <v>71.0</v>
      </c>
      <c r="B45" s="29" t="s">
        <v>171</v>
      </c>
      <c r="C45" s="25" t="s">
        <v>172</v>
      </c>
      <c r="D45" s="65" t="s">
        <v>32</v>
      </c>
      <c r="E45" s="65" t="s">
        <v>32</v>
      </c>
      <c r="F45" s="65" t="s">
        <v>32</v>
      </c>
      <c r="G45" s="65" t="s">
        <v>32</v>
      </c>
      <c r="H45" s="65"/>
      <c r="I45" s="65" t="s">
        <v>32</v>
      </c>
      <c r="J45" s="65" t="s">
        <v>32</v>
      </c>
      <c r="K45" s="65" t="s">
        <v>32</v>
      </c>
      <c r="L45" s="65"/>
      <c r="M45" s="65" t="s">
        <v>32</v>
      </c>
      <c r="N45" s="65" t="s">
        <v>31</v>
      </c>
      <c r="O45" s="65" t="s">
        <v>31</v>
      </c>
      <c r="P45" s="65" t="s">
        <v>32</v>
      </c>
      <c r="Q45" s="65" t="s">
        <v>32</v>
      </c>
      <c r="R45" s="65"/>
      <c r="S45" s="65"/>
      <c r="T45" s="66">
        <f t="shared" si="1"/>
        <v>10</v>
      </c>
      <c r="U45" s="66">
        <f t="shared" si="2"/>
        <v>2</v>
      </c>
      <c r="V45" s="66">
        <f t="shared" si="3"/>
        <v>12</v>
      </c>
      <c r="W45" s="67">
        <f t="shared" si="4"/>
        <v>83.33333333</v>
      </c>
    </row>
    <row r="46" ht="15.75" customHeight="1">
      <c r="A46" s="17">
        <v>72.0</v>
      </c>
      <c r="B46" s="18" t="s">
        <v>173</v>
      </c>
      <c r="C46" s="25" t="s">
        <v>174</v>
      </c>
      <c r="D46" s="65" t="s">
        <v>32</v>
      </c>
      <c r="E46" s="65" t="s">
        <v>32</v>
      </c>
      <c r="F46" s="65" t="s">
        <v>31</v>
      </c>
      <c r="G46" s="65" t="s">
        <v>32</v>
      </c>
      <c r="H46" s="65"/>
      <c r="I46" s="65" t="s">
        <v>32</v>
      </c>
      <c r="J46" s="65" t="s">
        <v>32</v>
      </c>
      <c r="K46" s="65" t="s">
        <v>32</v>
      </c>
      <c r="L46" s="65"/>
      <c r="M46" s="65" t="s">
        <v>32</v>
      </c>
      <c r="N46" s="65" t="s">
        <v>32</v>
      </c>
      <c r="O46" s="65" t="s">
        <v>32</v>
      </c>
      <c r="P46" s="65" t="s">
        <v>32</v>
      </c>
      <c r="Q46" s="65" t="s">
        <v>32</v>
      </c>
      <c r="R46" s="65"/>
      <c r="S46" s="65"/>
      <c r="T46" s="66">
        <f t="shared" si="1"/>
        <v>11</v>
      </c>
      <c r="U46" s="66">
        <f t="shared" si="2"/>
        <v>1</v>
      </c>
      <c r="V46" s="66">
        <f t="shared" si="3"/>
        <v>12</v>
      </c>
      <c r="W46" s="67">
        <f t="shared" si="4"/>
        <v>91.66666667</v>
      </c>
    </row>
    <row r="47" ht="15.75" customHeight="1">
      <c r="A47" s="17">
        <v>73.0</v>
      </c>
      <c r="B47" s="18" t="s">
        <v>175</v>
      </c>
      <c r="C47" s="25" t="s">
        <v>176</v>
      </c>
      <c r="D47" s="65" t="s">
        <v>32</v>
      </c>
      <c r="E47" s="65" t="s">
        <v>32</v>
      </c>
      <c r="F47" s="65" t="s">
        <v>31</v>
      </c>
      <c r="G47" s="65" t="s">
        <v>32</v>
      </c>
      <c r="H47" s="65"/>
      <c r="I47" s="65" t="s">
        <v>32</v>
      </c>
      <c r="J47" s="65" t="s">
        <v>32</v>
      </c>
      <c r="K47" s="65" t="s">
        <v>32</v>
      </c>
      <c r="L47" s="65"/>
      <c r="M47" s="65" t="s">
        <v>32</v>
      </c>
      <c r="N47" s="65" t="s">
        <v>32</v>
      </c>
      <c r="O47" s="65" t="s">
        <v>32</v>
      </c>
      <c r="P47" s="65" t="s">
        <v>32</v>
      </c>
      <c r="Q47" s="65" t="s">
        <v>32</v>
      </c>
      <c r="R47" s="65"/>
      <c r="S47" s="65"/>
      <c r="T47" s="66">
        <f t="shared" si="1"/>
        <v>11</v>
      </c>
      <c r="U47" s="66">
        <f t="shared" si="2"/>
        <v>1</v>
      </c>
      <c r="V47" s="66">
        <f t="shared" si="3"/>
        <v>12</v>
      </c>
      <c r="W47" s="67">
        <f t="shared" si="4"/>
        <v>91.66666667</v>
      </c>
    </row>
    <row r="48" ht="15.75" customHeight="1">
      <c r="A48" s="17">
        <v>74.0</v>
      </c>
      <c r="B48" s="18" t="s">
        <v>177</v>
      </c>
      <c r="C48" s="25" t="s">
        <v>178</v>
      </c>
      <c r="D48" s="65" t="s">
        <v>32</v>
      </c>
      <c r="E48" s="65" t="s">
        <v>32</v>
      </c>
      <c r="F48" s="65" t="s">
        <v>32</v>
      </c>
      <c r="G48" s="65" t="s">
        <v>32</v>
      </c>
      <c r="H48" s="65"/>
      <c r="I48" s="65" t="s">
        <v>32</v>
      </c>
      <c r="J48" s="65" t="s">
        <v>31</v>
      </c>
      <c r="K48" s="65" t="s">
        <v>32</v>
      </c>
      <c r="L48" s="65"/>
      <c r="M48" s="65" t="s">
        <v>32</v>
      </c>
      <c r="N48" s="65" t="s">
        <v>31</v>
      </c>
      <c r="O48" s="65" t="s">
        <v>31</v>
      </c>
      <c r="P48" s="65" t="s">
        <v>31</v>
      </c>
      <c r="Q48" s="65" t="s">
        <v>31</v>
      </c>
      <c r="R48" s="65"/>
      <c r="S48" s="65"/>
      <c r="T48" s="66">
        <f t="shared" si="1"/>
        <v>7</v>
      </c>
      <c r="U48" s="66">
        <f t="shared" si="2"/>
        <v>5</v>
      </c>
      <c r="V48" s="66">
        <f t="shared" si="3"/>
        <v>12</v>
      </c>
      <c r="W48" s="67">
        <f t="shared" si="4"/>
        <v>58.33333333</v>
      </c>
    </row>
    <row r="49" ht="15.75" customHeight="1">
      <c r="A49" s="68">
        <v>75.0</v>
      </c>
      <c r="B49" s="29" t="s">
        <v>305</v>
      </c>
      <c r="C49" s="69" t="s">
        <v>306</v>
      </c>
      <c r="D49" s="70" t="s">
        <v>32</v>
      </c>
      <c r="E49" s="65" t="s">
        <v>32</v>
      </c>
      <c r="F49" s="65" t="s">
        <v>32</v>
      </c>
      <c r="G49" s="65" t="s">
        <v>32</v>
      </c>
      <c r="H49" s="65"/>
      <c r="I49" s="65" t="s">
        <v>32</v>
      </c>
      <c r="J49" s="65" t="s">
        <v>32</v>
      </c>
      <c r="K49" s="65" t="s">
        <v>32</v>
      </c>
      <c r="L49" s="65"/>
      <c r="M49" s="65" t="s">
        <v>32</v>
      </c>
      <c r="N49" s="65" t="s">
        <v>32</v>
      </c>
      <c r="O49" s="65" t="s">
        <v>32</v>
      </c>
      <c r="P49" s="65" t="s">
        <v>32</v>
      </c>
      <c r="Q49" s="65" t="s">
        <v>32</v>
      </c>
      <c r="R49" s="70"/>
      <c r="S49" s="65"/>
      <c r="T49" s="66">
        <f t="shared" si="1"/>
        <v>12</v>
      </c>
      <c r="U49" s="66">
        <f t="shared" si="2"/>
        <v>0</v>
      </c>
      <c r="V49" s="66">
        <f t="shared" si="3"/>
        <v>12</v>
      </c>
      <c r="W49" s="67">
        <f t="shared" si="4"/>
        <v>100</v>
      </c>
    </row>
    <row r="50" ht="15.75" customHeight="1">
      <c r="A50" s="68"/>
      <c r="B50" s="29"/>
      <c r="C50" s="69"/>
      <c r="D50" s="70"/>
      <c r="E50" s="70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70"/>
      <c r="R50" s="70"/>
      <c r="S50" s="65"/>
      <c r="T50" s="66"/>
      <c r="U50" s="66"/>
      <c r="V50" s="66"/>
      <c r="W50" s="71"/>
    </row>
    <row r="51" ht="15.75" customHeight="1">
      <c r="A51" s="68"/>
      <c r="B51" s="29"/>
      <c r="C51" s="69"/>
      <c r="D51" s="70"/>
      <c r="E51" s="70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70"/>
      <c r="R51" s="70"/>
      <c r="S51" s="65"/>
      <c r="T51" s="66"/>
      <c r="U51" s="66"/>
      <c r="V51" s="66"/>
      <c r="W51" s="71"/>
    </row>
    <row r="52" ht="15.75" customHeight="1">
      <c r="A52" s="72"/>
      <c r="B52" s="72"/>
      <c r="C52" s="48"/>
      <c r="D52" s="73"/>
      <c r="E52" s="73"/>
      <c r="F52" s="65"/>
      <c r="G52" s="73"/>
      <c r="H52" s="73"/>
      <c r="I52" s="73"/>
      <c r="J52" s="73"/>
      <c r="K52" s="74"/>
      <c r="L52" s="74"/>
      <c r="M52" s="65"/>
      <c r="N52" s="48"/>
      <c r="O52" s="48"/>
      <c r="P52" s="48"/>
      <c r="Q52" s="48"/>
      <c r="R52" s="48"/>
      <c r="S52" s="48"/>
      <c r="T52" s="75"/>
      <c r="U52" s="75"/>
      <c r="V52" s="75"/>
      <c r="W52" s="76"/>
    </row>
    <row r="53" ht="15.75" customHeight="1">
      <c r="A53" s="72"/>
      <c r="B53" s="72"/>
      <c r="C53" s="48"/>
      <c r="D53" s="73"/>
      <c r="E53" s="73"/>
      <c r="F53" s="73"/>
      <c r="G53" s="73"/>
      <c r="H53" s="73"/>
      <c r="I53" s="73"/>
      <c r="J53" s="73"/>
      <c r="K53" s="48"/>
      <c r="L53" s="48"/>
      <c r="M53" s="48"/>
      <c r="N53" s="48"/>
      <c r="O53" s="48"/>
      <c r="P53" s="48"/>
      <c r="Q53" s="48"/>
      <c r="R53" s="48"/>
      <c r="S53" s="48"/>
      <c r="T53" s="75"/>
      <c r="U53" s="75"/>
      <c r="V53" s="75"/>
      <c r="W53" s="76"/>
    </row>
    <row r="54" ht="15.75" customHeight="1">
      <c r="A54" s="72"/>
      <c r="B54" s="72"/>
      <c r="C54" s="35" t="s">
        <v>179</v>
      </c>
      <c r="D54" s="36">
        <f t="shared" ref="D54:J54" si="5">COUNTIF(D11:D53,"P") + COUNTIF(D11:D53, "1")</f>
        <v>32</v>
      </c>
      <c r="E54" s="36">
        <f t="shared" si="5"/>
        <v>36</v>
      </c>
      <c r="F54" s="36">
        <f t="shared" si="5"/>
        <v>30</v>
      </c>
      <c r="G54" s="36">
        <f t="shared" si="5"/>
        <v>30</v>
      </c>
      <c r="H54" s="36">
        <f t="shared" si="5"/>
        <v>0</v>
      </c>
      <c r="I54" s="36">
        <f t="shared" si="5"/>
        <v>33</v>
      </c>
      <c r="J54" s="36">
        <f t="shared" si="5"/>
        <v>25</v>
      </c>
      <c r="K54" s="36"/>
      <c r="L54" s="36"/>
      <c r="M54" s="36">
        <f t="shared" ref="M54:R54" si="6">COUNTIF(M11:M53,"P") + COUNTIF(M11:M53, "1")</f>
        <v>33</v>
      </c>
      <c r="N54" s="36">
        <f t="shared" si="6"/>
        <v>22</v>
      </c>
      <c r="O54" s="36">
        <f t="shared" si="6"/>
        <v>21</v>
      </c>
      <c r="P54" s="36">
        <f t="shared" si="6"/>
        <v>35</v>
      </c>
      <c r="Q54" s="36">
        <f t="shared" si="6"/>
        <v>27</v>
      </c>
      <c r="R54" s="36">
        <f t="shared" si="6"/>
        <v>0</v>
      </c>
      <c r="S54" s="36"/>
      <c r="T54" s="36">
        <f t="shared" ref="T54:V54" si="7">COUNTIF(T11:T53,"P") + COUNTIF(T11:T53, "1")</f>
        <v>0</v>
      </c>
      <c r="U54" s="36">
        <f t="shared" si="7"/>
        <v>10</v>
      </c>
      <c r="V54" s="36">
        <f t="shared" si="7"/>
        <v>0</v>
      </c>
      <c r="W54" s="36"/>
    </row>
    <row r="55" ht="15.75" customHeight="1">
      <c r="A55" s="77"/>
      <c r="B55" s="48"/>
      <c r="C55" s="37" t="s">
        <v>180</v>
      </c>
      <c r="D55" s="38">
        <f t="shared" ref="D55:J55" si="8">COUNTIF(D12:D53,"A") + COUNTIF(D12:D53, "1")</f>
        <v>6</v>
      </c>
      <c r="E55" s="38">
        <f t="shared" si="8"/>
        <v>2</v>
      </c>
      <c r="F55" s="38">
        <f t="shared" si="8"/>
        <v>8</v>
      </c>
      <c r="G55" s="38">
        <f t="shared" si="8"/>
        <v>8</v>
      </c>
      <c r="H55" s="38">
        <f t="shared" si="8"/>
        <v>0</v>
      </c>
      <c r="I55" s="38">
        <f t="shared" si="8"/>
        <v>5</v>
      </c>
      <c r="J55" s="38">
        <f t="shared" si="8"/>
        <v>13</v>
      </c>
      <c r="K55" s="38"/>
      <c r="L55" s="38"/>
      <c r="M55" s="38">
        <f t="shared" ref="M55:R55" si="9">COUNTIF(M12:M53,"A") + COUNTIF(M12:M53, "1")</f>
        <v>5</v>
      </c>
      <c r="N55" s="38">
        <f t="shared" si="9"/>
        <v>16</v>
      </c>
      <c r="O55" s="38">
        <f t="shared" si="9"/>
        <v>17</v>
      </c>
      <c r="P55" s="38">
        <f t="shared" si="9"/>
        <v>3</v>
      </c>
      <c r="Q55" s="38">
        <f t="shared" si="9"/>
        <v>11</v>
      </c>
      <c r="R55" s="38">
        <f t="shared" si="9"/>
        <v>0</v>
      </c>
      <c r="S55" s="38"/>
      <c r="T55" s="38">
        <f t="shared" ref="T55:V55" si="10">COUNTIF(T12:T53,"A") + COUNTIF(T12:T53, "1")</f>
        <v>0</v>
      </c>
      <c r="U55" s="38">
        <f t="shared" si="10"/>
        <v>10</v>
      </c>
      <c r="V55" s="38">
        <f t="shared" si="10"/>
        <v>0</v>
      </c>
      <c r="W55" s="38"/>
    </row>
    <row r="56" ht="15.75" customHeight="1">
      <c r="A56" s="77"/>
      <c r="B56" s="77"/>
      <c r="C56" s="77"/>
      <c r="D56" s="78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8"/>
      <c r="V56" s="48"/>
      <c r="W56" s="79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9:H9"/>
    <mergeCell ref="I9:L9"/>
    <mergeCell ref="M9:O9"/>
    <mergeCell ref="P9:S9"/>
    <mergeCell ref="A1:AG1"/>
    <mergeCell ref="A2:AG2"/>
    <mergeCell ref="A3:AG3"/>
    <mergeCell ref="A4:AG4"/>
    <mergeCell ref="A5:AG5"/>
    <mergeCell ref="A6:AG6"/>
    <mergeCell ref="A7:W7"/>
  </mergeCells>
  <conditionalFormatting sqref="D12:E51 F12:F52 G12:J51 K12:M52 N12:S51">
    <cfRule type="containsText" dxfId="2" priority="1" operator="containsText" text="P">
      <formula>NOT(ISERROR(SEARCH(("P"),(D12))))</formula>
    </cfRule>
  </conditionalFormatting>
  <conditionalFormatting sqref="D12:E51 F12:F52 G12:J51 K12:M52 N12:S51">
    <cfRule type="containsText" dxfId="3" priority="2" operator="containsText" text="A">
      <formula>NOT(ISERROR(SEARCH(("A"),(D12))))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37.14"/>
    <col customWidth="1" min="4" max="4" width="6.14"/>
    <col customWidth="1" min="5" max="5" width="5.71"/>
    <col customWidth="1" min="6" max="6" width="6.71"/>
    <col customWidth="1" min="7" max="7" width="6.29"/>
    <col customWidth="1" min="8" max="8" width="7.14"/>
    <col customWidth="1" min="9" max="9" width="6.57"/>
    <col customWidth="1" min="10" max="10" width="6.14"/>
    <col customWidth="1" min="11" max="11" width="6.29"/>
    <col customWidth="1" min="12" max="12" width="6.14"/>
    <col customWidth="1" min="13" max="13" width="6.29"/>
    <col customWidth="1" min="14" max="14" width="6.14"/>
    <col customWidth="1" min="15" max="18" width="6.57"/>
    <col customWidth="1" min="19" max="19" width="7.14"/>
    <col customWidth="1" min="20" max="20" width="7.57"/>
    <col customWidth="1" min="21" max="21" width="7.29"/>
  </cols>
  <sheetData>
    <row r="1">
      <c r="A1" s="80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9"/>
      <c r="V1" s="78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</row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>
      <c r="A4" s="1" t="s">
        <v>181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</row>
    <row r="6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</row>
    <row r="7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</row>
    <row r="8">
      <c r="A8" s="48"/>
      <c r="B8" s="48"/>
      <c r="C8" s="48"/>
      <c r="D8" s="48"/>
      <c r="E8" s="49"/>
      <c r="F8" s="49"/>
      <c r="G8" s="49"/>
      <c r="H8" s="49"/>
      <c r="I8" s="81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78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</row>
    <row r="9">
      <c r="A9" s="48"/>
      <c r="B9" s="48"/>
      <c r="C9" s="48"/>
      <c r="D9" s="52" t="s">
        <v>308</v>
      </c>
      <c r="E9" s="53" t="s">
        <v>309</v>
      </c>
      <c r="F9" s="46"/>
      <c r="G9" s="46"/>
      <c r="H9" s="47"/>
      <c r="I9" s="53" t="s">
        <v>310</v>
      </c>
      <c r="J9" s="47"/>
      <c r="K9" s="82" t="s">
        <v>311</v>
      </c>
      <c r="L9" s="46"/>
      <c r="M9" s="46"/>
      <c r="N9" s="47"/>
      <c r="O9" s="83" t="s">
        <v>312</v>
      </c>
      <c r="P9" s="46"/>
      <c r="Q9" s="46"/>
      <c r="R9" s="47"/>
      <c r="S9" s="84" t="s">
        <v>10</v>
      </c>
      <c r="T9" s="84" t="s">
        <v>11</v>
      </c>
      <c r="U9" s="84" t="s">
        <v>12</v>
      </c>
      <c r="V9" s="84" t="s">
        <v>182</v>
      </c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</row>
    <row r="10">
      <c r="A10" s="86"/>
      <c r="B10" s="86"/>
      <c r="C10" s="86"/>
      <c r="D10" s="87">
        <v>30.0</v>
      </c>
      <c r="E10" s="88">
        <v>6.0</v>
      </c>
      <c r="F10" s="88">
        <v>13.0</v>
      </c>
      <c r="G10" s="88">
        <v>22.0</v>
      </c>
      <c r="H10" s="84">
        <v>29.0</v>
      </c>
      <c r="I10" s="55">
        <v>12.0</v>
      </c>
      <c r="J10" s="55"/>
      <c r="K10" s="55">
        <v>3.0</v>
      </c>
      <c r="L10" s="55">
        <v>10.0</v>
      </c>
      <c r="M10" s="55">
        <v>17.0</v>
      </c>
      <c r="N10" s="55">
        <v>30.0</v>
      </c>
      <c r="O10" s="55">
        <v>6.0</v>
      </c>
      <c r="P10" s="55"/>
      <c r="Q10" s="55"/>
      <c r="R10" s="55"/>
      <c r="S10" s="84"/>
      <c r="T10" s="84"/>
      <c r="U10" s="84"/>
      <c r="V10" s="84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</row>
    <row r="11">
      <c r="A11" s="59" t="s">
        <v>26</v>
      </c>
      <c r="B11" s="60" t="s">
        <v>27</v>
      </c>
      <c r="C11" s="60" t="s">
        <v>28</v>
      </c>
      <c r="D11" s="61"/>
      <c r="E11" s="61"/>
      <c r="F11" s="61"/>
      <c r="G11" s="61"/>
      <c r="H11" s="63"/>
      <c r="I11" s="61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84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</row>
    <row r="12">
      <c r="A12" s="17">
        <v>1.0</v>
      </c>
      <c r="B12" s="18" t="s">
        <v>29</v>
      </c>
      <c r="C12" s="19" t="s">
        <v>30</v>
      </c>
      <c r="D12" s="65" t="s">
        <v>31</v>
      </c>
      <c r="E12" s="65" t="s">
        <v>32</v>
      </c>
      <c r="F12" s="65" t="s">
        <v>32</v>
      </c>
      <c r="G12" s="65" t="s">
        <v>32</v>
      </c>
      <c r="H12" s="65" t="s">
        <v>32</v>
      </c>
      <c r="I12" s="65" t="s">
        <v>31</v>
      </c>
      <c r="J12" s="65"/>
      <c r="K12" s="65" t="s">
        <v>31</v>
      </c>
      <c r="L12" s="65" t="s">
        <v>32</v>
      </c>
      <c r="M12" s="65" t="s">
        <v>31</v>
      </c>
      <c r="N12" s="65" t="s">
        <v>32</v>
      </c>
      <c r="O12" s="65" t="s">
        <v>31</v>
      </c>
      <c r="P12" s="65"/>
      <c r="Q12" s="65"/>
      <c r="R12" s="65"/>
      <c r="S12" s="66">
        <f t="shared" ref="S12:S48" si="1">COUNTIF(D12:O12,"P") + COUNTIF(D12:O12, "1")</f>
        <v>6</v>
      </c>
      <c r="T12" s="66">
        <f t="shared" ref="T12:T48" si="2">COUNTIF(D12:O12,"A") + COUNTIF(D12:O12,"0")</f>
        <v>5</v>
      </c>
      <c r="U12" s="66">
        <f t="shared" ref="U12:U48" si="3">SUM(S12:T12)</f>
        <v>11</v>
      </c>
      <c r="V12" s="89">
        <f t="shared" ref="V12:V48" si="4">(S12/U12)*100</f>
        <v>54.54545455</v>
      </c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</row>
    <row r="13">
      <c r="A13" s="17">
        <v>2.0</v>
      </c>
      <c r="B13" s="18" t="s">
        <v>33</v>
      </c>
      <c r="C13" s="25" t="s">
        <v>34</v>
      </c>
      <c r="D13" s="65" t="s">
        <v>32</v>
      </c>
      <c r="E13" s="65" t="s">
        <v>32</v>
      </c>
      <c r="F13" s="65" t="s">
        <v>32</v>
      </c>
      <c r="G13" s="65" t="s">
        <v>32</v>
      </c>
      <c r="H13" s="65" t="s">
        <v>32</v>
      </c>
      <c r="I13" s="65" t="s">
        <v>32</v>
      </c>
      <c r="J13" s="65"/>
      <c r="K13" s="65" t="s">
        <v>32</v>
      </c>
      <c r="L13" s="65" t="s">
        <v>32</v>
      </c>
      <c r="M13" s="65" t="s">
        <v>31</v>
      </c>
      <c r="N13" s="65" t="s">
        <v>32</v>
      </c>
      <c r="O13" s="65" t="s">
        <v>32</v>
      </c>
      <c r="P13" s="65"/>
      <c r="Q13" s="65"/>
      <c r="R13" s="65"/>
      <c r="S13" s="66">
        <f t="shared" si="1"/>
        <v>10</v>
      </c>
      <c r="T13" s="66">
        <f t="shared" si="2"/>
        <v>1</v>
      </c>
      <c r="U13" s="66">
        <f t="shared" si="3"/>
        <v>11</v>
      </c>
      <c r="V13" s="89">
        <f t="shared" si="4"/>
        <v>90.90909091</v>
      </c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</row>
    <row r="14">
      <c r="A14" s="17">
        <v>3.0</v>
      </c>
      <c r="B14" s="18" t="s">
        <v>35</v>
      </c>
      <c r="C14" s="25" t="s">
        <v>36</v>
      </c>
      <c r="D14" s="65" t="s">
        <v>31</v>
      </c>
      <c r="E14" s="65" t="s">
        <v>31</v>
      </c>
      <c r="F14" s="65" t="s">
        <v>32</v>
      </c>
      <c r="G14" s="65" t="s">
        <v>32</v>
      </c>
      <c r="H14" s="65" t="s">
        <v>31</v>
      </c>
      <c r="I14" s="65" t="s">
        <v>32</v>
      </c>
      <c r="J14" s="65"/>
      <c r="K14" s="65" t="s">
        <v>32</v>
      </c>
      <c r="L14" s="65" t="s">
        <v>31</v>
      </c>
      <c r="M14" s="65" t="s">
        <v>31</v>
      </c>
      <c r="N14" s="65" t="s">
        <v>32</v>
      </c>
      <c r="O14" s="65" t="s">
        <v>31</v>
      </c>
      <c r="P14" s="65"/>
      <c r="Q14" s="65"/>
      <c r="R14" s="65"/>
      <c r="S14" s="66">
        <f t="shared" si="1"/>
        <v>5</v>
      </c>
      <c r="T14" s="66">
        <f t="shared" si="2"/>
        <v>6</v>
      </c>
      <c r="U14" s="66">
        <f t="shared" si="3"/>
        <v>11</v>
      </c>
      <c r="V14" s="89">
        <f t="shared" si="4"/>
        <v>45.45454545</v>
      </c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</row>
    <row r="15">
      <c r="A15" s="17">
        <v>4.0</v>
      </c>
      <c r="B15" s="18" t="s">
        <v>37</v>
      </c>
      <c r="C15" s="25" t="s">
        <v>38</v>
      </c>
      <c r="D15" s="65" t="s">
        <v>32</v>
      </c>
      <c r="E15" s="65" t="s">
        <v>31</v>
      </c>
      <c r="F15" s="65" t="s">
        <v>32</v>
      </c>
      <c r="G15" s="65" t="s">
        <v>32</v>
      </c>
      <c r="H15" s="65" t="s">
        <v>32</v>
      </c>
      <c r="I15" s="65" t="s">
        <v>31</v>
      </c>
      <c r="J15" s="65"/>
      <c r="K15" s="65" t="s">
        <v>32</v>
      </c>
      <c r="L15" s="65" t="s">
        <v>32</v>
      </c>
      <c r="M15" s="65" t="s">
        <v>31</v>
      </c>
      <c r="N15" s="65" t="s">
        <v>32</v>
      </c>
      <c r="O15" s="65" t="s">
        <v>31</v>
      </c>
      <c r="P15" s="65"/>
      <c r="Q15" s="65"/>
      <c r="R15" s="65"/>
      <c r="S15" s="66">
        <f t="shared" si="1"/>
        <v>7</v>
      </c>
      <c r="T15" s="66">
        <f t="shared" si="2"/>
        <v>4</v>
      </c>
      <c r="U15" s="66">
        <f t="shared" si="3"/>
        <v>11</v>
      </c>
      <c r="V15" s="89">
        <f t="shared" si="4"/>
        <v>63.63636364</v>
      </c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</row>
    <row r="16">
      <c r="A16" s="17">
        <v>5.0</v>
      </c>
      <c r="B16" s="18" t="s">
        <v>39</v>
      </c>
      <c r="C16" s="25" t="s">
        <v>40</v>
      </c>
      <c r="D16" s="65" t="s">
        <v>32</v>
      </c>
      <c r="E16" s="65" t="s">
        <v>31</v>
      </c>
      <c r="F16" s="65" t="s">
        <v>32</v>
      </c>
      <c r="G16" s="65" t="s">
        <v>32</v>
      </c>
      <c r="H16" s="65" t="s">
        <v>32</v>
      </c>
      <c r="I16" s="65" t="s">
        <v>31</v>
      </c>
      <c r="J16" s="65"/>
      <c r="K16" s="65" t="s">
        <v>32</v>
      </c>
      <c r="L16" s="65" t="s">
        <v>32</v>
      </c>
      <c r="M16" s="65" t="s">
        <v>31</v>
      </c>
      <c r="N16" s="65" t="s">
        <v>32</v>
      </c>
      <c r="O16" s="65" t="s">
        <v>32</v>
      </c>
      <c r="P16" s="65"/>
      <c r="Q16" s="65"/>
      <c r="R16" s="65"/>
      <c r="S16" s="66">
        <f t="shared" si="1"/>
        <v>8</v>
      </c>
      <c r="T16" s="66">
        <f t="shared" si="2"/>
        <v>3</v>
      </c>
      <c r="U16" s="66">
        <f t="shared" si="3"/>
        <v>11</v>
      </c>
      <c r="V16" s="89">
        <f t="shared" si="4"/>
        <v>72.72727273</v>
      </c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</row>
    <row r="17">
      <c r="A17" s="17">
        <v>6.0</v>
      </c>
      <c r="B17" s="18" t="s">
        <v>41</v>
      </c>
      <c r="C17" s="25" t="s">
        <v>42</v>
      </c>
      <c r="D17" s="65" t="s">
        <v>31</v>
      </c>
      <c r="E17" s="65" t="s">
        <v>32</v>
      </c>
      <c r="F17" s="65" t="s">
        <v>32</v>
      </c>
      <c r="G17" s="65" t="s">
        <v>32</v>
      </c>
      <c r="H17" s="65" t="s">
        <v>32</v>
      </c>
      <c r="I17" s="65" t="s">
        <v>31</v>
      </c>
      <c r="J17" s="65"/>
      <c r="K17" s="65" t="s">
        <v>32</v>
      </c>
      <c r="L17" s="65" t="s">
        <v>32</v>
      </c>
      <c r="M17" s="65" t="s">
        <v>31</v>
      </c>
      <c r="N17" s="65" t="s">
        <v>32</v>
      </c>
      <c r="O17" s="65" t="s">
        <v>31</v>
      </c>
      <c r="P17" s="65"/>
      <c r="Q17" s="65"/>
      <c r="R17" s="65"/>
      <c r="S17" s="66">
        <f t="shared" si="1"/>
        <v>7</v>
      </c>
      <c r="T17" s="66">
        <f t="shared" si="2"/>
        <v>4</v>
      </c>
      <c r="U17" s="66">
        <f t="shared" si="3"/>
        <v>11</v>
      </c>
      <c r="V17" s="89">
        <f t="shared" si="4"/>
        <v>63.63636364</v>
      </c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</row>
    <row r="18">
      <c r="A18" s="17">
        <v>7.0</v>
      </c>
      <c r="B18" s="18" t="s">
        <v>43</v>
      </c>
      <c r="C18" s="25" t="s">
        <v>44</v>
      </c>
      <c r="D18" s="65" t="s">
        <v>32</v>
      </c>
      <c r="E18" s="65" t="s">
        <v>31</v>
      </c>
      <c r="F18" s="65" t="s">
        <v>32</v>
      </c>
      <c r="G18" s="65" t="s">
        <v>31</v>
      </c>
      <c r="H18" s="65" t="s">
        <v>32</v>
      </c>
      <c r="I18" s="65" t="s">
        <v>31</v>
      </c>
      <c r="J18" s="65"/>
      <c r="K18" s="65" t="s">
        <v>31</v>
      </c>
      <c r="L18" s="65" t="s">
        <v>32</v>
      </c>
      <c r="M18" s="65" t="s">
        <v>31</v>
      </c>
      <c r="N18" s="65" t="s">
        <v>32</v>
      </c>
      <c r="O18" s="65" t="s">
        <v>31</v>
      </c>
      <c r="P18" s="65"/>
      <c r="Q18" s="65"/>
      <c r="R18" s="65"/>
      <c r="S18" s="66">
        <f t="shared" si="1"/>
        <v>5</v>
      </c>
      <c r="T18" s="66">
        <f t="shared" si="2"/>
        <v>6</v>
      </c>
      <c r="U18" s="66">
        <f t="shared" si="3"/>
        <v>11</v>
      </c>
      <c r="V18" s="89">
        <f t="shared" si="4"/>
        <v>45.45454545</v>
      </c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</row>
    <row r="19">
      <c r="A19" s="17">
        <v>8.0</v>
      </c>
      <c r="B19" s="18" t="s">
        <v>45</v>
      </c>
      <c r="C19" s="25" t="s">
        <v>46</v>
      </c>
      <c r="D19" s="65" t="s">
        <v>32</v>
      </c>
      <c r="E19" s="65" t="s">
        <v>32</v>
      </c>
      <c r="F19" s="65" t="s">
        <v>32</v>
      </c>
      <c r="G19" s="65" t="s">
        <v>32</v>
      </c>
      <c r="H19" s="65" t="s">
        <v>32</v>
      </c>
      <c r="I19" s="65" t="s">
        <v>31</v>
      </c>
      <c r="J19" s="65"/>
      <c r="K19" s="65" t="s">
        <v>32</v>
      </c>
      <c r="L19" s="65" t="s">
        <v>32</v>
      </c>
      <c r="M19" s="65" t="s">
        <v>31</v>
      </c>
      <c r="N19" s="65" t="s">
        <v>32</v>
      </c>
      <c r="O19" s="65" t="s">
        <v>31</v>
      </c>
      <c r="P19" s="65"/>
      <c r="Q19" s="65"/>
      <c r="R19" s="65"/>
      <c r="S19" s="66">
        <f t="shared" si="1"/>
        <v>8</v>
      </c>
      <c r="T19" s="66">
        <f t="shared" si="2"/>
        <v>3</v>
      </c>
      <c r="U19" s="66">
        <f t="shared" si="3"/>
        <v>11</v>
      </c>
      <c r="V19" s="89">
        <f t="shared" si="4"/>
        <v>72.72727273</v>
      </c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</row>
    <row r="20">
      <c r="A20" s="17">
        <v>9.0</v>
      </c>
      <c r="B20" s="18" t="s">
        <v>47</v>
      </c>
      <c r="C20" s="25" t="s">
        <v>48</v>
      </c>
      <c r="D20" s="65" t="s">
        <v>31</v>
      </c>
      <c r="E20" s="65" t="s">
        <v>31</v>
      </c>
      <c r="F20" s="65" t="s">
        <v>31</v>
      </c>
      <c r="G20" s="65" t="s">
        <v>32</v>
      </c>
      <c r="H20" s="65" t="s">
        <v>31</v>
      </c>
      <c r="I20" s="65" t="s">
        <v>32</v>
      </c>
      <c r="J20" s="65"/>
      <c r="K20" s="65" t="s">
        <v>32</v>
      </c>
      <c r="L20" s="65" t="s">
        <v>32</v>
      </c>
      <c r="M20" s="65" t="s">
        <v>31</v>
      </c>
      <c r="N20" s="65" t="s">
        <v>32</v>
      </c>
      <c r="O20" s="65" t="s">
        <v>31</v>
      </c>
      <c r="P20" s="65"/>
      <c r="Q20" s="65"/>
      <c r="R20" s="65"/>
      <c r="S20" s="66">
        <f t="shared" si="1"/>
        <v>5</v>
      </c>
      <c r="T20" s="66">
        <f t="shared" si="2"/>
        <v>6</v>
      </c>
      <c r="U20" s="66">
        <f t="shared" si="3"/>
        <v>11</v>
      </c>
      <c r="V20" s="89">
        <f t="shared" si="4"/>
        <v>45.45454545</v>
      </c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</row>
    <row r="21" ht="15.75" customHeight="1">
      <c r="A21" s="17">
        <v>10.0</v>
      </c>
      <c r="B21" s="18" t="s">
        <v>49</v>
      </c>
      <c r="C21" s="25" t="s">
        <v>50</v>
      </c>
      <c r="D21" s="65" t="s">
        <v>32</v>
      </c>
      <c r="E21" s="65" t="s">
        <v>32</v>
      </c>
      <c r="F21" s="65" t="s">
        <v>32</v>
      </c>
      <c r="G21" s="65" t="s">
        <v>32</v>
      </c>
      <c r="H21" s="65" t="s">
        <v>32</v>
      </c>
      <c r="I21" s="65" t="s">
        <v>32</v>
      </c>
      <c r="J21" s="65"/>
      <c r="K21" s="65" t="s">
        <v>32</v>
      </c>
      <c r="L21" s="65" t="s">
        <v>32</v>
      </c>
      <c r="M21" s="65" t="s">
        <v>31</v>
      </c>
      <c r="N21" s="65" t="s">
        <v>32</v>
      </c>
      <c r="O21" s="65" t="s">
        <v>32</v>
      </c>
      <c r="P21" s="65"/>
      <c r="Q21" s="65"/>
      <c r="R21" s="65"/>
      <c r="S21" s="66">
        <f t="shared" si="1"/>
        <v>10</v>
      </c>
      <c r="T21" s="66">
        <f t="shared" si="2"/>
        <v>1</v>
      </c>
      <c r="U21" s="66">
        <f t="shared" si="3"/>
        <v>11</v>
      </c>
      <c r="V21" s="89">
        <f t="shared" si="4"/>
        <v>90.90909091</v>
      </c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</row>
    <row r="22" ht="15.75" customHeight="1">
      <c r="A22" s="17">
        <v>11.0</v>
      </c>
      <c r="B22" s="18" t="s">
        <v>51</v>
      </c>
      <c r="C22" s="25" t="s">
        <v>52</v>
      </c>
      <c r="D22" s="65" t="s">
        <v>31</v>
      </c>
      <c r="E22" s="65" t="s">
        <v>31</v>
      </c>
      <c r="F22" s="65" t="s">
        <v>31</v>
      </c>
      <c r="G22" s="65" t="s">
        <v>31</v>
      </c>
      <c r="H22" s="65" t="s">
        <v>31</v>
      </c>
      <c r="I22" s="65" t="s">
        <v>31</v>
      </c>
      <c r="J22" s="65"/>
      <c r="K22" s="65" t="s">
        <v>31</v>
      </c>
      <c r="L22" s="65" t="s">
        <v>31</v>
      </c>
      <c r="M22" s="65" t="s">
        <v>31</v>
      </c>
      <c r="N22" s="65" t="s">
        <v>31</v>
      </c>
      <c r="O22" s="65" t="s">
        <v>31</v>
      </c>
      <c r="P22" s="65"/>
      <c r="Q22" s="65"/>
      <c r="R22" s="65"/>
      <c r="S22" s="66">
        <f t="shared" si="1"/>
        <v>0</v>
      </c>
      <c r="T22" s="66">
        <f t="shared" si="2"/>
        <v>11</v>
      </c>
      <c r="U22" s="66">
        <f t="shared" si="3"/>
        <v>11</v>
      </c>
      <c r="V22" s="89">
        <f t="shared" si="4"/>
        <v>0</v>
      </c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</row>
    <row r="23" ht="15.75" customHeight="1">
      <c r="A23" s="17">
        <v>12.0</v>
      </c>
      <c r="B23" s="18" t="s">
        <v>53</v>
      </c>
      <c r="C23" s="25" t="s">
        <v>54</v>
      </c>
      <c r="D23" s="65" t="s">
        <v>32</v>
      </c>
      <c r="E23" s="65" t="s">
        <v>32</v>
      </c>
      <c r="F23" s="65" t="s">
        <v>31</v>
      </c>
      <c r="G23" s="65" t="s">
        <v>32</v>
      </c>
      <c r="H23" s="65" t="s">
        <v>32</v>
      </c>
      <c r="I23" s="65" t="s">
        <v>32</v>
      </c>
      <c r="J23" s="65"/>
      <c r="K23" s="65" t="s">
        <v>32</v>
      </c>
      <c r="L23" s="65" t="s">
        <v>32</v>
      </c>
      <c r="M23" s="65" t="s">
        <v>31</v>
      </c>
      <c r="N23" s="65" t="s">
        <v>32</v>
      </c>
      <c r="O23" s="65" t="s">
        <v>32</v>
      </c>
      <c r="P23" s="65"/>
      <c r="Q23" s="65"/>
      <c r="R23" s="65"/>
      <c r="S23" s="66">
        <f t="shared" si="1"/>
        <v>9</v>
      </c>
      <c r="T23" s="66">
        <f t="shared" si="2"/>
        <v>2</v>
      </c>
      <c r="U23" s="66">
        <f t="shared" si="3"/>
        <v>11</v>
      </c>
      <c r="V23" s="89">
        <f t="shared" si="4"/>
        <v>81.81818182</v>
      </c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</row>
    <row r="24" ht="15.75" customHeight="1">
      <c r="A24" s="17">
        <v>13.0</v>
      </c>
      <c r="B24" s="18" t="s">
        <v>55</v>
      </c>
      <c r="C24" s="25" t="s">
        <v>56</v>
      </c>
      <c r="D24" s="65" t="s">
        <v>32</v>
      </c>
      <c r="E24" s="65" t="s">
        <v>32</v>
      </c>
      <c r="F24" s="65" t="s">
        <v>32</v>
      </c>
      <c r="G24" s="65" t="s">
        <v>32</v>
      </c>
      <c r="H24" s="65" t="s">
        <v>32</v>
      </c>
      <c r="I24" s="65" t="s">
        <v>32</v>
      </c>
      <c r="J24" s="65"/>
      <c r="K24" s="65" t="s">
        <v>32</v>
      </c>
      <c r="L24" s="65" t="s">
        <v>32</v>
      </c>
      <c r="M24" s="65" t="s">
        <v>32</v>
      </c>
      <c r="N24" s="65" t="s">
        <v>32</v>
      </c>
      <c r="O24" s="65" t="s">
        <v>32</v>
      </c>
      <c r="P24" s="65"/>
      <c r="Q24" s="65"/>
      <c r="R24" s="65"/>
      <c r="S24" s="66">
        <f t="shared" si="1"/>
        <v>11</v>
      </c>
      <c r="T24" s="66">
        <f t="shared" si="2"/>
        <v>0</v>
      </c>
      <c r="U24" s="66">
        <f t="shared" si="3"/>
        <v>11</v>
      </c>
      <c r="V24" s="89">
        <f t="shared" si="4"/>
        <v>100</v>
      </c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</row>
    <row r="25" ht="15.75" customHeight="1">
      <c r="A25" s="17">
        <v>14.0</v>
      </c>
      <c r="B25" s="18" t="s">
        <v>57</v>
      </c>
      <c r="C25" s="25" t="s">
        <v>58</v>
      </c>
      <c r="D25" s="65" t="s">
        <v>31</v>
      </c>
      <c r="E25" s="65" t="s">
        <v>31</v>
      </c>
      <c r="F25" s="65" t="s">
        <v>32</v>
      </c>
      <c r="G25" s="65" t="s">
        <v>32</v>
      </c>
      <c r="H25" s="65" t="s">
        <v>32</v>
      </c>
      <c r="I25" s="65" t="s">
        <v>32</v>
      </c>
      <c r="J25" s="65"/>
      <c r="K25" s="65" t="s">
        <v>32</v>
      </c>
      <c r="L25" s="65" t="s">
        <v>32</v>
      </c>
      <c r="M25" s="65" t="s">
        <v>31</v>
      </c>
      <c r="N25" s="65" t="s">
        <v>32</v>
      </c>
      <c r="O25" s="65" t="s">
        <v>31</v>
      </c>
      <c r="P25" s="65"/>
      <c r="Q25" s="65"/>
      <c r="R25" s="65"/>
      <c r="S25" s="66">
        <f t="shared" si="1"/>
        <v>7</v>
      </c>
      <c r="T25" s="66">
        <f t="shared" si="2"/>
        <v>4</v>
      </c>
      <c r="U25" s="66">
        <f t="shared" si="3"/>
        <v>11</v>
      </c>
      <c r="V25" s="89">
        <f t="shared" si="4"/>
        <v>63.63636364</v>
      </c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</row>
    <row r="26" ht="15.75" customHeight="1">
      <c r="A26" s="17">
        <v>15.0</v>
      </c>
      <c r="B26" s="18" t="s">
        <v>59</v>
      </c>
      <c r="C26" s="25" t="s">
        <v>60</v>
      </c>
      <c r="D26" s="65" t="s">
        <v>32</v>
      </c>
      <c r="E26" s="65" t="s">
        <v>32</v>
      </c>
      <c r="F26" s="65" t="s">
        <v>32</v>
      </c>
      <c r="G26" s="65" t="s">
        <v>32</v>
      </c>
      <c r="H26" s="65" t="s">
        <v>32</v>
      </c>
      <c r="I26" s="65" t="s">
        <v>31</v>
      </c>
      <c r="J26" s="65"/>
      <c r="K26" s="65" t="s">
        <v>31</v>
      </c>
      <c r="L26" s="65" t="s">
        <v>32</v>
      </c>
      <c r="M26" s="65" t="s">
        <v>31</v>
      </c>
      <c r="N26" s="65" t="s">
        <v>31</v>
      </c>
      <c r="O26" s="65" t="s">
        <v>32</v>
      </c>
      <c r="P26" s="65"/>
      <c r="Q26" s="65"/>
      <c r="R26" s="65"/>
      <c r="S26" s="66">
        <f t="shared" si="1"/>
        <v>7</v>
      </c>
      <c r="T26" s="66">
        <f t="shared" si="2"/>
        <v>4</v>
      </c>
      <c r="U26" s="66">
        <f t="shared" si="3"/>
        <v>11</v>
      </c>
      <c r="V26" s="89">
        <f t="shared" si="4"/>
        <v>63.63636364</v>
      </c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</row>
    <row r="27" ht="15.75" customHeight="1">
      <c r="A27" s="17">
        <v>16.0</v>
      </c>
      <c r="B27" s="18" t="s">
        <v>61</v>
      </c>
      <c r="C27" s="25" t="s">
        <v>62</v>
      </c>
      <c r="D27" s="65" t="s">
        <v>32</v>
      </c>
      <c r="E27" s="65" t="s">
        <v>31</v>
      </c>
      <c r="F27" s="65" t="s">
        <v>31</v>
      </c>
      <c r="G27" s="65" t="s">
        <v>32</v>
      </c>
      <c r="H27" s="65" t="s">
        <v>32</v>
      </c>
      <c r="I27" s="65" t="s">
        <v>31</v>
      </c>
      <c r="J27" s="65"/>
      <c r="K27" s="65" t="s">
        <v>32</v>
      </c>
      <c r="L27" s="65" t="s">
        <v>32</v>
      </c>
      <c r="M27" s="65" t="s">
        <v>31</v>
      </c>
      <c r="N27" s="65" t="s">
        <v>32</v>
      </c>
      <c r="O27" s="65" t="s">
        <v>32</v>
      </c>
      <c r="P27" s="65"/>
      <c r="Q27" s="65"/>
      <c r="R27" s="65"/>
      <c r="S27" s="66">
        <f t="shared" si="1"/>
        <v>7</v>
      </c>
      <c r="T27" s="66">
        <f t="shared" si="2"/>
        <v>4</v>
      </c>
      <c r="U27" s="66">
        <f t="shared" si="3"/>
        <v>11</v>
      </c>
      <c r="V27" s="89">
        <f t="shared" si="4"/>
        <v>63.63636364</v>
      </c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</row>
    <row r="28" ht="15.75" customHeight="1">
      <c r="A28" s="17">
        <v>17.0</v>
      </c>
      <c r="B28" s="18" t="s">
        <v>63</v>
      </c>
      <c r="C28" s="25" t="s">
        <v>64</v>
      </c>
      <c r="D28" s="65" t="s">
        <v>32</v>
      </c>
      <c r="E28" s="65" t="s">
        <v>31</v>
      </c>
      <c r="F28" s="65" t="s">
        <v>32</v>
      </c>
      <c r="G28" s="65" t="s">
        <v>32</v>
      </c>
      <c r="H28" s="65" t="s">
        <v>32</v>
      </c>
      <c r="I28" s="65" t="s">
        <v>32</v>
      </c>
      <c r="J28" s="65"/>
      <c r="K28" s="65" t="s">
        <v>32</v>
      </c>
      <c r="L28" s="65" t="s">
        <v>32</v>
      </c>
      <c r="M28" s="65" t="s">
        <v>32</v>
      </c>
      <c r="N28" s="65" t="s">
        <v>32</v>
      </c>
      <c r="O28" s="65" t="s">
        <v>31</v>
      </c>
      <c r="P28" s="65"/>
      <c r="Q28" s="65"/>
      <c r="R28" s="65"/>
      <c r="S28" s="66">
        <f t="shared" si="1"/>
        <v>9</v>
      </c>
      <c r="T28" s="66">
        <f t="shared" si="2"/>
        <v>2</v>
      </c>
      <c r="U28" s="66">
        <f t="shared" si="3"/>
        <v>11</v>
      </c>
      <c r="V28" s="89">
        <f t="shared" si="4"/>
        <v>81.81818182</v>
      </c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</row>
    <row r="29" ht="15.75" customHeight="1">
      <c r="A29" s="17">
        <v>18.0</v>
      </c>
      <c r="B29" s="18" t="s">
        <v>65</v>
      </c>
      <c r="C29" s="25" t="s">
        <v>66</v>
      </c>
      <c r="D29" s="65" t="s">
        <v>32</v>
      </c>
      <c r="E29" s="65" t="s">
        <v>32</v>
      </c>
      <c r="F29" s="65" t="s">
        <v>32</v>
      </c>
      <c r="G29" s="65" t="s">
        <v>32</v>
      </c>
      <c r="H29" s="65" t="s">
        <v>31</v>
      </c>
      <c r="I29" s="65" t="s">
        <v>32</v>
      </c>
      <c r="J29" s="65"/>
      <c r="K29" s="65" t="s">
        <v>31</v>
      </c>
      <c r="L29" s="65" t="s">
        <v>32</v>
      </c>
      <c r="M29" s="65" t="s">
        <v>32</v>
      </c>
      <c r="N29" s="65" t="s">
        <v>32</v>
      </c>
      <c r="O29" s="65" t="s">
        <v>31</v>
      </c>
      <c r="P29" s="65"/>
      <c r="Q29" s="65"/>
      <c r="R29" s="65"/>
      <c r="S29" s="66">
        <f t="shared" si="1"/>
        <v>8</v>
      </c>
      <c r="T29" s="66">
        <f t="shared" si="2"/>
        <v>3</v>
      </c>
      <c r="U29" s="66">
        <f t="shared" si="3"/>
        <v>11</v>
      </c>
      <c r="V29" s="89">
        <f t="shared" si="4"/>
        <v>72.72727273</v>
      </c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</row>
    <row r="30" ht="15.75" customHeight="1">
      <c r="A30" s="17">
        <v>19.0</v>
      </c>
      <c r="B30" s="18" t="s">
        <v>67</v>
      </c>
      <c r="C30" s="25" t="s">
        <v>68</v>
      </c>
      <c r="D30" s="65" t="s">
        <v>32</v>
      </c>
      <c r="E30" s="65" t="s">
        <v>32</v>
      </c>
      <c r="F30" s="65" t="s">
        <v>32</v>
      </c>
      <c r="G30" s="65" t="s">
        <v>32</v>
      </c>
      <c r="H30" s="65" t="s">
        <v>32</v>
      </c>
      <c r="I30" s="65" t="s">
        <v>32</v>
      </c>
      <c r="J30" s="65"/>
      <c r="K30" s="65" t="s">
        <v>32</v>
      </c>
      <c r="L30" s="65" t="s">
        <v>32</v>
      </c>
      <c r="M30" s="65" t="s">
        <v>31</v>
      </c>
      <c r="N30" s="65" t="s">
        <v>32</v>
      </c>
      <c r="O30" s="65" t="s">
        <v>32</v>
      </c>
      <c r="P30" s="65"/>
      <c r="Q30" s="65"/>
      <c r="R30" s="65"/>
      <c r="S30" s="66">
        <f t="shared" si="1"/>
        <v>10</v>
      </c>
      <c r="T30" s="66">
        <f t="shared" si="2"/>
        <v>1</v>
      </c>
      <c r="U30" s="66">
        <f t="shared" si="3"/>
        <v>11</v>
      </c>
      <c r="V30" s="89">
        <f t="shared" si="4"/>
        <v>90.90909091</v>
      </c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</row>
    <row r="31" ht="15.75" customHeight="1">
      <c r="A31" s="17">
        <v>20.0</v>
      </c>
      <c r="B31" s="18" t="s">
        <v>69</v>
      </c>
      <c r="C31" s="25" t="s">
        <v>70</v>
      </c>
      <c r="D31" s="65" t="s">
        <v>32</v>
      </c>
      <c r="E31" s="65" t="s">
        <v>32</v>
      </c>
      <c r="F31" s="65" t="s">
        <v>32</v>
      </c>
      <c r="G31" s="65" t="s">
        <v>32</v>
      </c>
      <c r="H31" s="65" t="s">
        <v>32</v>
      </c>
      <c r="I31" s="65" t="s">
        <v>32</v>
      </c>
      <c r="J31" s="65"/>
      <c r="K31" s="65" t="s">
        <v>32</v>
      </c>
      <c r="L31" s="65" t="s">
        <v>32</v>
      </c>
      <c r="M31" s="65" t="s">
        <v>31</v>
      </c>
      <c r="N31" s="65" t="s">
        <v>32</v>
      </c>
      <c r="O31" s="65" t="s">
        <v>31</v>
      </c>
      <c r="P31" s="65"/>
      <c r="Q31" s="65"/>
      <c r="R31" s="65"/>
      <c r="S31" s="66">
        <f t="shared" si="1"/>
        <v>9</v>
      </c>
      <c r="T31" s="66">
        <f t="shared" si="2"/>
        <v>2</v>
      </c>
      <c r="U31" s="66">
        <f t="shared" si="3"/>
        <v>11</v>
      </c>
      <c r="V31" s="89">
        <f t="shared" si="4"/>
        <v>81.81818182</v>
      </c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</row>
    <row r="32" ht="15.75" customHeight="1">
      <c r="A32" s="17">
        <v>21.0</v>
      </c>
      <c r="B32" s="18" t="s">
        <v>71</v>
      </c>
      <c r="C32" s="25" t="s">
        <v>72</v>
      </c>
      <c r="D32" s="65" t="s">
        <v>32</v>
      </c>
      <c r="E32" s="65" t="s">
        <v>32</v>
      </c>
      <c r="F32" s="65" t="s">
        <v>31</v>
      </c>
      <c r="G32" s="65" t="s">
        <v>32</v>
      </c>
      <c r="H32" s="65" t="s">
        <v>32</v>
      </c>
      <c r="I32" s="65" t="s">
        <v>32</v>
      </c>
      <c r="J32" s="65"/>
      <c r="K32" s="65" t="s">
        <v>32</v>
      </c>
      <c r="L32" s="65" t="s">
        <v>32</v>
      </c>
      <c r="M32" s="65" t="s">
        <v>31</v>
      </c>
      <c r="N32" s="65" t="s">
        <v>32</v>
      </c>
      <c r="O32" s="65" t="s">
        <v>31</v>
      </c>
      <c r="P32" s="65"/>
      <c r="Q32" s="65"/>
      <c r="R32" s="65"/>
      <c r="S32" s="66">
        <f t="shared" si="1"/>
        <v>8</v>
      </c>
      <c r="T32" s="66">
        <f t="shared" si="2"/>
        <v>3</v>
      </c>
      <c r="U32" s="66">
        <f t="shared" si="3"/>
        <v>11</v>
      </c>
      <c r="V32" s="89">
        <f t="shared" si="4"/>
        <v>72.72727273</v>
      </c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</row>
    <row r="33" ht="15.75" customHeight="1">
      <c r="A33" s="17">
        <v>22.0</v>
      </c>
      <c r="B33" s="18" t="s">
        <v>73</v>
      </c>
      <c r="C33" s="25" t="s">
        <v>74</v>
      </c>
      <c r="D33" s="65" t="s">
        <v>32</v>
      </c>
      <c r="E33" s="65" t="s">
        <v>32</v>
      </c>
      <c r="F33" s="65" t="s">
        <v>32</v>
      </c>
      <c r="G33" s="65" t="s">
        <v>32</v>
      </c>
      <c r="H33" s="65" t="s">
        <v>32</v>
      </c>
      <c r="I33" s="65" t="s">
        <v>32</v>
      </c>
      <c r="J33" s="65"/>
      <c r="K33" s="65" t="s">
        <v>32</v>
      </c>
      <c r="L33" s="65" t="s">
        <v>32</v>
      </c>
      <c r="M33" s="65" t="s">
        <v>31</v>
      </c>
      <c r="N33" s="65" t="s">
        <v>32</v>
      </c>
      <c r="O33" s="65" t="s">
        <v>32</v>
      </c>
      <c r="P33" s="65"/>
      <c r="Q33" s="65"/>
      <c r="R33" s="65"/>
      <c r="S33" s="66">
        <f t="shared" si="1"/>
        <v>10</v>
      </c>
      <c r="T33" s="66">
        <f t="shared" si="2"/>
        <v>1</v>
      </c>
      <c r="U33" s="66">
        <f t="shared" si="3"/>
        <v>11</v>
      </c>
      <c r="V33" s="89">
        <f t="shared" si="4"/>
        <v>90.90909091</v>
      </c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</row>
    <row r="34" ht="15.75" customHeight="1">
      <c r="A34" s="17">
        <v>23.0</v>
      </c>
      <c r="B34" s="18" t="s">
        <v>75</v>
      </c>
      <c r="C34" s="25" t="s">
        <v>76</v>
      </c>
      <c r="D34" s="65" t="s">
        <v>31</v>
      </c>
      <c r="E34" s="65" t="s">
        <v>31</v>
      </c>
      <c r="F34" s="65" t="s">
        <v>32</v>
      </c>
      <c r="G34" s="65" t="s">
        <v>32</v>
      </c>
      <c r="H34" s="65" t="s">
        <v>31</v>
      </c>
      <c r="I34" s="65" t="s">
        <v>32</v>
      </c>
      <c r="J34" s="65"/>
      <c r="K34" s="65" t="s">
        <v>32</v>
      </c>
      <c r="L34" s="65" t="s">
        <v>32</v>
      </c>
      <c r="M34" s="65" t="s">
        <v>31</v>
      </c>
      <c r="N34" s="65" t="s">
        <v>32</v>
      </c>
      <c r="O34" s="65" t="s">
        <v>32</v>
      </c>
      <c r="P34" s="65"/>
      <c r="Q34" s="65"/>
      <c r="R34" s="65"/>
      <c r="S34" s="66">
        <f t="shared" si="1"/>
        <v>7</v>
      </c>
      <c r="T34" s="66">
        <f t="shared" si="2"/>
        <v>4</v>
      </c>
      <c r="U34" s="66">
        <f t="shared" si="3"/>
        <v>11</v>
      </c>
      <c r="V34" s="89">
        <f t="shared" si="4"/>
        <v>63.63636364</v>
      </c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</row>
    <row r="35" ht="15.75" customHeight="1">
      <c r="A35" s="17">
        <v>24.0</v>
      </c>
      <c r="B35" s="18" t="s">
        <v>77</v>
      </c>
      <c r="C35" s="25" t="s">
        <v>78</v>
      </c>
      <c r="D35" s="65" t="s">
        <v>32</v>
      </c>
      <c r="E35" s="65" t="s">
        <v>32</v>
      </c>
      <c r="F35" s="65" t="s">
        <v>32</v>
      </c>
      <c r="G35" s="65" t="s">
        <v>32</v>
      </c>
      <c r="H35" s="65" t="s">
        <v>32</v>
      </c>
      <c r="I35" s="65" t="s">
        <v>32</v>
      </c>
      <c r="J35" s="65"/>
      <c r="K35" s="65" t="s">
        <v>32</v>
      </c>
      <c r="L35" s="65" t="s">
        <v>32</v>
      </c>
      <c r="M35" s="65" t="s">
        <v>31</v>
      </c>
      <c r="N35" s="65" t="s">
        <v>32</v>
      </c>
      <c r="O35" s="65" t="s">
        <v>32</v>
      </c>
      <c r="P35" s="65"/>
      <c r="Q35" s="65"/>
      <c r="R35" s="65"/>
      <c r="S35" s="66">
        <f t="shared" si="1"/>
        <v>10</v>
      </c>
      <c r="T35" s="66">
        <f t="shared" si="2"/>
        <v>1</v>
      </c>
      <c r="U35" s="66">
        <f t="shared" si="3"/>
        <v>11</v>
      </c>
      <c r="V35" s="89">
        <f t="shared" si="4"/>
        <v>90.90909091</v>
      </c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</row>
    <row r="36" ht="15.75" customHeight="1">
      <c r="A36" s="17">
        <v>25.0</v>
      </c>
      <c r="B36" s="18" t="s">
        <v>79</v>
      </c>
      <c r="C36" s="25" t="s">
        <v>80</v>
      </c>
      <c r="D36" s="65" t="s">
        <v>32</v>
      </c>
      <c r="E36" s="65" t="s">
        <v>32</v>
      </c>
      <c r="F36" s="65" t="s">
        <v>32</v>
      </c>
      <c r="G36" s="65" t="s">
        <v>32</v>
      </c>
      <c r="H36" s="65" t="s">
        <v>32</v>
      </c>
      <c r="I36" s="65" t="s">
        <v>32</v>
      </c>
      <c r="J36" s="65"/>
      <c r="K36" s="65" t="s">
        <v>32</v>
      </c>
      <c r="L36" s="65" t="s">
        <v>31</v>
      </c>
      <c r="M36" s="65" t="s">
        <v>31</v>
      </c>
      <c r="N36" s="65" t="s">
        <v>32</v>
      </c>
      <c r="O36" s="65" t="s">
        <v>32</v>
      </c>
      <c r="P36" s="65"/>
      <c r="Q36" s="65"/>
      <c r="R36" s="65"/>
      <c r="S36" s="66">
        <f t="shared" si="1"/>
        <v>9</v>
      </c>
      <c r="T36" s="66">
        <f t="shared" si="2"/>
        <v>2</v>
      </c>
      <c r="U36" s="66">
        <f t="shared" si="3"/>
        <v>11</v>
      </c>
      <c r="V36" s="89">
        <f t="shared" si="4"/>
        <v>81.81818182</v>
      </c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</row>
    <row r="37" ht="15.75" customHeight="1">
      <c r="A37" s="17">
        <v>26.0</v>
      </c>
      <c r="B37" s="18" t="s">
        <v>81</v>
      </c>
      <c r="C37" s="25" t="s">
        <v>82</v>
      </c>
      <c r="D37" s="65" t="s">
        <v>32</v>
      </c>
      <c r="E37" s="65" t="s">
        <v>32</v>
      </c>
      <c r="F37" s="65" t="s">
        <v>32</v>
      </c>
      <c r="G37" s="65" t="s">
        <v>32</v>
      </c>
      <c r="H37" s="65" t="s">
        <v>32</v>
      </c>
      <c r="I37" s="65" t="s">
        <v>32</v>
      </c>
      <c r="J37" s="65"/>
      <c r="K37" s="65" t="s">
        <v>32</v>
      </c>
      <c r="L37" s="65" t="s">
        <v>31</v>
      </c>
      <c r="M37" s="65" t="s">
        <v>32</v>
      </c>
      <c r="N37" s="65" t="s">
        <v>32</v>
      </c>
      <c r="O37" s="65" t="s">
        <v>32</v>
      </c>
      <c r="P37" s="65"/>
      <c r="Q37" s="65"/>
      <c r="R37" s="65"/>
      <c r="S37" s="66">
        <f t="shared" si="1"/>
        <v>10</v>
      </c>
      <c r="T37" s="66">
        <f t="shared" si="2"/>
        <v>1</v>
      </c>
      <c r="U37" s="66">
        <f t="shared" si="3"/>
        <v>11</v>
      </c>
      <c r="V37" s="89">
        <f t="shared" si="4"/>
        <v>90.90909091</v>
      </c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</row>
    <row r="38" ht="15.75" customHeight="1">
      <c r="A38" s="17">
        <v>27.0</v>
      </c>
      <c r="B38" s="18" t="s">
        <v>83</v>
      </c>
      <c r="C38" s="25" t="s">
        <v>84</v>
      </c>
      <c r="D38" s="65" t="s">
        <v>32</v>
      </c>
      <c r="E38" s="65" t="s">
        <v>32</v>
      </c>
      <c r="F38" s="65" t="s">
        <v>32</v>
      </c>
      <c r="G38" s="65" t="s">
        <v>32</v>
      </c>
      <c r="H38" s="65" t="s">
        <v>32</v>
      </c>
      <c r="I38" s="65" t="s">
        <v>32</v>
      </c>
      <c r="J38" s="65"/>
      <c r="K38" s="65" t="s">
        <v>32</v>
      </c>
      <c r="L38" s="65" t="s">
        <v>32</v>
      </c>
      <c r="M38" s="65" t="s">
        <v>32</v>
      </c>
      <c r="N38" s="65" t="s">
        <v>32</v>
      </c>
      <c r="O38" s="65" t="s">
        <v>32</v>
      </c>
      <c r="P38" s="65"/>
      <c r="Q38" s="65"/>
      <c r="R38" s="65"/>
      <c r="S38" s="66">
        <f t="shared" si="1"/>
        <v>11</v>
      </c>
      <c r="T38" s="66">
        <f t="shared" si="2"/>
        <v>0</v>
      </c>
      <c r="U38" s="66">
        <f t="shared" si="3"/>
        <v>11</v>
      </c>
      <c r="V38" s="89">
        <f t="shared" si="4"/>
        <v>100</v>
      </c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</row>
    <row r="39" ht="15.75" customHeight="1">
      <c r="A39" s="17">
        <v>28.0</v>
      </c>
      <c r="B39" s="18" t="s">
        <v>85</v>
      </c>
      <c r="C39" s="25" t="s">
        <v>86</v>
      </c>
      <c r="D39" s="65" t="s">
        <v>32</v>
      </c>
      <c r="E39" s="65" t="s">
        <v>32</v>
      </c>
      <c r="F39" s="65" t="s">
        <v>32</v>
      </c>
      <c r="G39" s="65" t="s">
        <v>32</v>
      </c>
      <c r="H39" s="65" t="s">
        <v>32</v>
      </c>
      <c r="I39" s="65" t="s">
        <v>31</v>
      </c>
      <c r="J39" s="65"/>
      <c r="K39" s="65" t="s">
        <v>32</v>
      </c>
      <c r="L39" s="65" t="s">
        <v>32</v>
      </c>
      <c r="M39" s="65" t="s">
        <v>31</v>
      </c>
      <c r="N39" s="65" t="s">
        <v>31</v>
      </c>
      <c r="O39" s="65" t="s">
        <v>32</v>
      </c>
      <c r="P39" s="65"/>
      <c r="Q39" s="65"/>
      <c r="R39" s="65"/>
      <c r="S39" s="66">
        <f t="shared" si="1"/>
        <v>8</v>
      </c>
      <c r="T39" s="66">
        <f t="shared" si="2"/>
        <v>3</v>
      </c>
      <c r="U39" s="66">
        <f t="shared" si="3"/>
        <v>11</v>
      </c>
      <c r="V39" s="89">
        <f t="shared" si="4"/>
        <v>72.72727273</v>
      </c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</row>
    <row r="40" ht="15.75" customHeight="1">
      <c r="A40" s="17">
        <v>29.0</v>
      </c>
      <c r="B40" s="18" t="s">
        <v>87</v>
      </c>
      <c r="C40" s="25" t="s">
        <v>88</v>
      </c>
      <c r="D40" s="65" t="s">
        <v>31</v>
      </c>
      <c r="E40" s="65" t="s">
        <v>32</v>
      </c>
      <c r="F40" s="65" t="s">
        <v>32</v>
      </c>
      <c r="G40" s="65" t="s">
        <v>32</v>
      </c>
      <c r="H40" s="65" t="s">
        <v>32</v>
      </c>
      <c r="I40" s="65" t="s">
        <v>32</v>
      </c>
      <c r="J40" s="65"/>
      <c r="K40" s="65" t="s">
        <v>32</v>
      </c>
      <c r="L40" s="65" t="s">
        <v>32</v>
      </c>
      <c r="M40" s="65" t="s">
        <v>31</v>
      </c>
      <c r="N40" s="65" t="s">
        <v>32</v>
      </c>
      <c r="O40" s="65" t="s">
        <v>31</v>
      </c>
      <c r="P40" s="65"/>
      <c r="Q40" s="65"/>
      <c r="R40" s="65"/>
      <c r="S40" s="66">
        <f t="shared" si="1"/>
        <v>8</v>
      </c>
      <c r="T40" s="66">
        <f t="shared" si="2"/>
        <v>3</v>
      </c>
      <c r="U40" s="66">
        <f t="shared" si="3"/>
        <v>11</v>
      </c>
      <c r="V40" s="89">
        <f t="shared" si="4"/>
        <v>72.72727273</v>
      </c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</row>
    <row r="41" ht="15.75" customHeight="1">
      <c r="A41" s="17">
        <v>30.0</v>
      </c>
      <c r="B41" s="18" t="s">
        <v>89</v>
      </c>
      <c r="C41" s="25" t="s">
        <v>90</v>
      </c>
      <c r="D41" s="65" t="s">
        <v>32</v>
      </c>
      <c r="E41" s="65" t="s">
        <v>32</v>
      </c>
      <c r="F41" s="65" t="s">
        <v>32</v>
      </c>
      <c r="G41" s="65" t="s">
        <v>32</v>
      </c>
      <c r="H41" s="65" t="s">
        <v>31</v>
      </c>
      <c r="I41" s="65" t="s">
        <v>32</v>
      </c>
      <c r="J41" s="65"/>
      <c r="K41" s="65" t="s">
        <v>32</v>
      </c>
      <c r="L41" s="65" t="s">
        <v>32</v>
      </c>
      <c r="M41" s="65" t="s">
        <v>31</v>
      </c>
      <c r="N41" s="65" t="s">
        <v>31</v>
      </c>
      <c r="O41" s="65" t="s">
        <v>31</v>
      </c>
      <c r="P41" s="65"/>
      <c r="Q41" s="65"/>
      <c r="R41" s="65"/>
      <c r="S41" s="66">
        <f t="shared" si="1"/>
        <v>7</v>
      </c>
      <c r="T41" s="66">
        <f t="shared" si="2"/>
        <v>4</v>
      </c>
      <c r="U41" s="66">
        <f t="shared" si="3"/>
        <v>11</v>
      </c>
      <c r="V41" s="89">
        <f t="shared" si="4"/>
        <v>63.63636364</v>
      </c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</row>
    <row r="42" ht="15.75" customHeight="1">
      <c r="A42" s="17">
        <v>31.0</v>
      </c>
      <c r="B42" s="18" t="s">
        <v>91</v>
      </c>
      <c r="C42" s="25" t="s">
        <v>92</v>
      </c>
      <c r="D42" s="65" t="s">
        <v>32</v>
      </c>
      <c r="E42" s="65" t="s">
        <v>32</v>
      </c>
      <c r="F42" s="65" t="s">
        <v>32</v>
      </c>
      <c r="G42" s="65" t="s">
        <v>32</v>
      </c>
      <c r="H42" s="65" t="s">
        <v>31</v>
      </c>
      <c r="I42" s="65" t="s">
        <v>32</v>
      </c>
      <c r="J42" s="65"/>
      <c r="K42" s="65" t="s">
        <v>32</v>
      </c>
      <c r="L42" s="65" t="s">
        <v>32</v>
      </c>
      <c r="M42" s="65" t="s">
        <v>31</v>
      </c>
      <c r="N42" s="65" t="s">
        <v>32</v>
      </c>
      <c r="O42" s="65" t="s">
        <v>31</v>
      </c>
      <c r="P42" s="65"/>
      <c r="Q42" s="65"/>
      <c r="R42" s="65"/>
      <c r="S42" s="66">
        <f t="shared" si="1"/>
        <v>8</v>
      </c>
      <c r="T42" s="66">
        <f t="shared" si="2"/>
        <v>3</v>
      </c>
      <c r="U42" s="66">
        <f t="shared" si="3"/>
        <v>11</v>
      </c>
      <c r="V42" s="89">
        <f t="shared" si="4"/>
        <v>72.72727273</v>
      </c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</row>
    <row r="43" ht="15.75" customHeight="1">
      <c r="A43" s="17">
        <v>32.0</v>
      </c>
      <c r="B43" s="18" t="s">
        <v>93</v>
      </c>
      <c r="C43" s="25" t="s">
        <v>94</v>
      </c>
      <c r="D43" s="65" t="s">
        <v>32</v>
      </c>
      <c r="E43" s="65" t="s">
        <v>32</v>
      </c>
      <c r="F43" s="65" t="s">
        <v>32</v>
      </c>
      <c r="G43" s="65" t="s">
        <v>32</v>
      </c>
      <c r="H43" s="65" t="s">
        <v>31</v>
      </c>
      <c r="I43" s="65" t="s">
        <v>31</v>
      </c>
      <c r="J43" s="65"/>
      <c r="K43" s="65" t="s">
        <v>32</v>
      </c>
      <c r="L43" s="65" t="s">
        <v>32</v>
      </c>
      <c r="M43" s="65" t="s">
        <v>31</v>
      </c>
      <c r="N43" s="65" t="s">
        <v>32</v>
      </c>
      <c r="O43" s="65" t="s">
        <v>31</v>
      </c>
      <c r="P43" s="65"/>
      <c r="Q43" s="65"/>
      <c r="R43" s="65"/>
      <c r="S43" s="66">
        <f t="shared" si="1"/>
        <v>7</v>
      </c>
      <c r="T43" s="66">
        <f t="shared" si="2"/>
        <v>4</v>
      </c>
      <c r="U43" s="66">
        <f t="shared" si="3"/>
        <v>11</v>
      </c>
      <c r="V43" s="89">
        <f t="shared" si="4"/>
        <v>63.63636364</v>
      </c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</row>
    <row r="44" ht="15.75" customHeight="1">
      <c r="A44" s="17">
        <v>33.0</v>
      </c>
      <c r="B44" s="18" t="s">
        <v>95</v>
      </c>
      <c r="C44" s="25" t="s">
        <v>96</v>
      </c>
      <c r="D44" s="65" t="s">
        <v>32</v>
      </c>
      <c r="E44" s="65" t="s">
        <v>31</v>
      </c>
      <c r="F44" s="65" t="s">
        <v>31</v>
      </c>
      <c r="G44" s="65" t="s">
        <v>31</v>
      </c>
      <c r="H44" s="65" t="s">
        <v>32</v>
      </c>
      <c r="I44" s="65" t="s">
        <v>31</v>
      </c>
      <c r="J44" s="65"/>
      <c r="K44" s="65" t="s">
        <v>31</v>
      </c>
      <c r="L44" s="65" t="s">
        <v>32</v>
      </c>
      <c r="M44" s="65" t="s">
        <v>31</v>
      </c>
      <c r="N44" s="65" t="s">
        <v>31</v>
      </c>
      <c r="O44" s="65" t="s">
        <v>31</v>
      </c>
      <c r="P44" s="65"/>
      <c r="Q44" s="65"/>
      <c r="R44" s="65"/>
      <c r="S44" s="66">
        <f t="shared" si="1"/>
        <v>3</v>
      </c>
      <c r="T44" s="66">
        <f t="shared" si="2"/>
        <v>8</v>
      </c>
      <c r="U44" s="66">
        <f t="shared" si="3"/>
        <v>11</v>
      </c>
      <c r="V44" s="89">
        <f t="shared" si="4"/>
        <v>27.27272727</v>
      </c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</row>
    <row r="45" ht="15.75" customHeight="1">
      <c r="A45" s="17">
        <v>34.0</v>
      </c>
      <c r="B45" s="18" t="s">
        <v>97</v>
      </c>
      <c r="C45" s="25" t="s">
        <v>98</v>
      </c>
      <c r="D45" s="65" t="s">
        <v>32</v>
      </c>
      <c r="E45" s="65" t="s">
        <v>32</v>
      </c>
      <c r="F45" s="65" t="s">
        <v>32</v>
      </c>
      <c r="G45" s="65" t="s">
        <v>32</v>
      </c>
      <c r="H45" s="65" t="s">
        <v>32</v>
      </c>
      <c r="I45" s="65" t="s">
        <v>31</v>
      </c>
      <c r="J45" s="65"/>
      <c r="K45" s="65" t="s">
        <v>32</v>
      </c>
      <c r="L45" s="65" t="s">
        <v>31</v>
      </c>
      <c r="M45" s="65" t="s">
        <v>31</v>
      </c>
      <c r="N45" s="65" t="s">
        <v>32</v>
      </c>
      <c r="O45" s="65" t="s">
        <v>32</v>
      </c>
      <c r="P45" s="65"/>
      <c r="Q45" s="65"/>
      <c r="R45" s="65"/>
      <c r="S45" s="66">
        <f t="shared" si="1"/>
        <v>8</v>
      </c>
      <c r="T45" s="66">
        <f t="shared" si="2"/>
        <v>3</v>
      </c>
      <c r="U45" s="66">
        <f t="shared" si="3"/>
        <v>11</v>
      </c>
      <c r="V45" s="89">
        <f t="shared" si="4"/>
        <v>72.72727273</v>
      </c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</row>
    <row r="46" ht="15.75" customHeight="1">
      <c r="A46" s="17">
        <v>35.0</v>
      </c>
      <c r="B46" s="18" t="s">
        <v>99</v>
      </c>
      <c r="C46" s="25" t="s">
        <v>100</v>
      </c>
      <c r="D46" s="65" t="s">
        <v>32</v>
      </c>
      <c r="E46" s="65" t="s">
        <v>32</v>
      </c>
      <c r="F46" s="65" t="s">
        <v>32</v>
      </c>
      <c r="G46" s="65" t="s">
        <v>32</v>
      </c>
      <c r="H46" s="65" t="s">
        <v>32</v>
      </c>
      <c r="I46" s="65" t="s">
        <v>31</v>
      </c>
      <c r="J46" s="65"/>
      <c r="K46" s="65" t="s">
        <v>32</v>
      </c>
      <c r="L46" s="65" t="s">
        <v>31</v>
      </c>
      <c r="M46" s="65" t="s">
        <v>31</v>
      </c>
      <c r="N46" s="65" t="s">
        <v>31</v>
      </c>
      <c r="O46" s="65" t="s">
        <v>32</v>
      </c>
      <c r="P46" s="65"/>
      <c r="Q46" s="65"/>
      <c r="R46" s="65"/>
      <c r="S46" s="66">
        <f t="shared" si="1"/>
        <v>7</v>
      </c>
      <c r="T46" s="66">
        <f t="shared" si="2"/>
        <v>4</v>
      </c>
      <c r="U46" s="66">
        <f t="shared" si="3"/>
        <v>11</v>
      </c>
      <c r="V46" s="89">
        <f t="shared" si="4"/>
        <v>63.63636364</v>
      </c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</row>
    <row r="47" ht="15.75" customHeight="1">
      <c r="A47" s="17">
        <v>36.0</v>
      </c>
      <c r="B47" s="18" t="s">
        <v>101</v>
      </c>
      <c r="C47" s="25" t="s">
        <v>102</v>
      </c>
      <c r="D47" s="65" t="s">
        <v>32</v>
      </c>
      <c r="E47" s="65" t="s">
        <v>32</v>
      </c>
      <c r="F47" s="65" t="s">
        <v>32</v>
      </c>
      <c r="G47" s="65" t="s">
        <v>32</v>
      </c>
      <c r="H47" s="65" t="s">
        <v>32</v>
      </c>
      <c r="I47" s="65" t="s">
        <v>31</v>
      </c>
      <c r="J47" s="65"/>
      <c r="K47" s="65" t="s">
        <v>31</v>
      </c>
      <c r="L47" s="65" t="s">
        <v>31</v>
      </c>
      <c r="M47" s="65" t="s">
        <v>31</v>
      </c>
      <c r="N47" s="65" t="s">
        <v>31</v>
      </c>
      <c r="O47" s="65" t="s">
        <v>32</v>
      </c>
      <c r="P47" s="65"/>
      <c r="Q47" s="65"/>
      <c r="R47" s="65"/>
      <c r="S47" s="66">
        <f t="shared" si="1"/>
        <v>6</v>
      </c>
      <c r="T47" s="66">
        <f t="shared" si="2"/>
        <v>5</v>
      </c>
      <c r="U47" s="66">
        <f t="shared" si="3"/>
        <v>11</v>
      </c>
      <c r="V47" s="89">
        <f t="shared" si="4"/>
        <v>54.54545455</v>
      </c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</row>
    <row r="48" ht="15.75" customHeight="1">
      <c r="A48" s="17">
        <v>37.0</v>
      </c>
      <c r="B48" s="18" t="s">
        <v>103</v>
      </c>
      <c r="C48" s="25" t="s">
        <v>104</v>
      </c>
      <c r="D48" s="65" t="s">
        <v>32</v>
      </c>
      <c r="E48" s="65" t="s">
        <v>31</v>
      </c>
      <c r="F48" s="65" t="s">
        <v>31</v>
      </c>
      <c r="G48" s="65" t="s">
        <v>32</v>
      </c>
      <c r="H48" s="65" t="s">
        <v>32</v>
      </c>
      <c r="I48" s="65" t="s">
        <v>32</v>
      </c>
      <c r="J48" s="65"/>
      <c r="K48" s="65" t="s">
        <v>32</v>
      </c>
      <c r="L48" s="65" t="s">
        <v>32</v>
      </c>
      <c r="M48" s="65" t="s">
        <v>31</v>
      </c>
      <c r="N48" s="65" t="s">
        <v>32</v>
      </c>
      <c r="O48" s="65" t="s">
        <v>32</v>
      </c>
      <c r="P48" s="65"/>
      <c r="Q48" s="65"/>
      <c r="R48" s="65"/>
      <c r="S48" s="66">
        <f t="shared" si="1"/>
        <v>8</v>
      </c>
      <c r="T48" s="66">
        <f t="shared" si="2"/>
        <v>3</v>
      </c>
      <c r="U48" s="66">
        <f t="shared" si="3"/>
        <v>11</v>
      </c>
      <c r="V48" s="89">
        <f t="shared" si="4"/>
        <v>72.72727273</v>
      </c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</row>
    <row r="49" ht="15.75" customHeight="1">
      <c r="A49" s="91"/>
      <c r="B49" s="18"/>
      <c r="C49" s="2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6"/>
      <c r="T49" s="66"/>
      <c r="U49" s="66"/>
      <c r="V49" s="89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</row>
    <row r="50" ht="15.75" customHeight="1">
      <c r="A50" s="91"/>
      <c r="B50" s="18"/>
      <c r="C50" s="2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6"/>
      <c r="T50" s="66"/>
      <c r="U50" s="66"/>
      <c r="V50" s="89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</row>
    <row r="51" ht="15.75" customHeight="1">
      <c r="A51" s="91"/>
      <c r="B51" s="18"/>
      <c r="C51" s="2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6"/>
      <c r="T51" s="66"/>
      <c r="U51" s="66"/>
      <c r="V51" s="89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</row>
    <row r="52" ht="15.75" customHeight="1">
      <c r="A52" s="91"/>
      <c r="B52" s="92"/>
      <c r="C52" s="35" t="s">
        <v>179</v>
      </c>
      <c r="D52" s="36">
        <f t="shared" ref="D52:O52" si="5">COUNTIF(D12:D51,"P") + COUNTIF(D12:D51, "1")</f>
        <v>29</v>
      </c>
      <c r="E52" s="36">
        <f t="shared" si="5"/>
        <v>25</v>
      </c>
      <c r="F52" s="36">
        <f t="shared" si="5"/>
        <v>30</v>
      </c>
      <c r="G52" s="36">
        <f t="shared" si="5"/>
        <v>34</v>
      </c>
      <c r="H52" s="36">
        <f t="shared" si="5"/>
        <v>29</v>
      </c>
      <c r="I52" s="36">
        <f t="shared" si="5"/>
        <v>22</v>
      </c>
      <c r="J52" s="36">
        <f t="shared" si="5"/>
        <v>0</v>
      </c>
      <c r="K52" s="36">
        <f t="shared" si="5"/>
        <v>30</v>
      </c>
      <c r="L52" s="36">
        <f t="shared" si="5"/>
        <v>30</v>
      </c>
      <c r="M52" s="36">
        <f t="shared" si="5"/>
        <v>5</v>
      </c>
      <c r="N52" s="36">
        <f t="shared" si="5"/>
        <v>30</v>
      </c>
      <c r="O52" s="36">
        <f t="shared" si="5"/>
        <v>19</v>
      </c>
      <c r="P52" s="36"/>
      <c r="Q52" s="36"/>
      <c r="R52" s="36"/>
      <c r="S52" s="66"/>
      <c r="T52" s="66"/>
      <c r="U52" s="66"/>
      <c r="V52" s="89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</row>
    <row r="53" ht="15.75" customHeight="1">
      <c r="A53" s="77"/>
      <c r="B53" s="77"/>
      <c r="C53" s="37" t="s">
        <v>180</v>
      </c>
      <c r="D53" s="38">
        <f t="shared" ref="D53:O53" si="6">COUNTIF(D13:D51,"A") + COUNTIF(D13:D51, "1")</f>
        <v>7</v>
      </c>
      <c r="E53" s="38">
        <f t="shared" si="6"/>
        <v>12</v>
      </c>
      <c r="F53" s="38">
        <f t="shared" si="6"/>
        <v>7</v>
      </c>
      <c r="G53" s="38">
        <f t="shared" si="6"/>
        <v>3</v>
      </c>
      <c r="H53" s="38">
        <f t="shared" si="6"/>
        <v>8</v>
      </c>
      <c r="I53" s="93">
        <f t="shared" si="6"/>
        <v>14</v>
      </c>
      <c r="J53" s="38">
        <f t="shared" si="6"/>
        <v>0</v>
      </c>
      <c r="K53" s="38">
        <f t="shared" si="6"/>
        <v>6</v>
      </c>
      <c r="L53" s="38">
        <f t="shared" si="6"/>
        <v>7</v>
      </c>
      <c r="M53" s="38">
        <f t="shared" si="6"/>
        <v>31</v>
      </c>
      <c r="N53" s="38">
        <f t="shared" si="6"/>
        <v>7</v>
      </c>
      <c r="O53" s="38">
        <f t="shared" si="6"/>
        <v>17</v>
      </c>
      <c r="P53" s="94"/>
      <c r="Q53" s="94"/>
      <c r="R53" s="94"/>
      <c r="S53" s="48"/>
      <c r="T53" s="48"/>
      <c r="U53" s="48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</row>
    <row r="54" ht="15.75" customHeight="1">
      <c r="I54" s="7"/>
    </row>
    <row r="55" ht="15.75" customHeight="1">
      <c r="I55" s="7"/>
    </row>
    <row r="56" ht="15.75" customHeight="1">
      <c r="I56" s="7"/>
    </row>
    <row r="57" ht="15.75" customHeight="1">
      <c r="I57" s="7"/>
    </row>
    <row r="58" ht="15.75" customHeight="1">
      <c r="I58" s="7"/>
    </row>
    <row r="59" ht="15.75" customHeight="1">
      <c r="I59" s="7"/>
    </row>
    <row r="60" ht="15.75" customHeight="1">
      <c r="I60" s="7"/>
    </row>
    <row r="61" ht="15.75" customHeight="1">
      <c r="I61" s="7"/>
    </row>
    <row r="62" ht="15.75" customHeight="1">
      <c r="I62" s="7"/>
    </row>
    <row r="63" ht="15.75" customHeight="1">
      <c r="I63" s="7"/>
    </row>
    <row r="64" ht="15.75" customHeight="1">
      <c r="I64" s="7"/>
    </row>
    <row r="65" ht="15.75" customHeight="1">
      <c r="I65" s="7"/>
    </row>
    <row r="66" ht="15.75" customHeight="1">
      <c r="I66" s="7"/>
    </row>
    <row r="67" ht="15.75" customHeight="1">
      <c r="I67" s="7"/>
    </row>
    <row r="68" ht="15.75" customHeight="1">
      <c r="I68" s="7"/>
    </row>
    <row r="69" ht="15.75" customHeight="1">
      <c r="I69" s="7"/>
    </row>
    <row r="70" ht="15.75" customHeight="1">
      <c r="I70" s="7"/>
    </row>
    <row r="71" ht="15.75" customHeight="1">
      <c r="I71" s="7"/>
    </row>
    <row r="72" ht="15.75" customHeight="1">
      <c r="I72" s="7"/>
    </row>
    <row r="73" ht="15.75" customHeight="1">
      <c r="I73" s="7"/>
    </row>
    <row r="74" ht="15.75" customHeight="1">
      <c r="I74" s="7"/>
    </row>
    <row r="75" ht="15.75" customHeight="1">
      <c r="I75" s="7"/>
    </row>
    <row r="76" ht="15.75" customHeight="1">
      <c r="I76" s="7"/>
    </row>
    <row r="77" ht="15.75" customHeight="1">
      <c r="I77" s="7"/>
    </row>
    <row r="78" ht="15.75" customHeight="1">
      <c r="I78" s="7"/>
    </row>
    <row r="79" ht="15.75" customHeight="1">
      <c r="I79" s="7"/>
    </row>
    <row r="80" ht="15.75" customHeight="1">
      <c r="I80" s="7"/>
    </row>
    <row r="81" ht="15.75" customHeight="1">
      <c r="I81" s="7"/>
    </row>
    <row r="82" ht="15.75" customHeight="1">
      <c r="I82" s="7"/>
    </row>
    <row r="83" ht="15.75" customHeight="1">
      <c r="I83" s="7"/>
    </row>
    <row r="84" ht="15.75" customHeight="1">
      <c r="I84" s="7"/>
    </row>
    <row r="85" ht="15.75" customHeight="1">
      <c r="I85" s="7"/>
    </row>
    <row r="86" ht="15.75" customHeight="1">
      <c r="I86" s="7"/>
    </row>
    <row r="87" ht="15.75" customHeight="1">
      <c r="I87" s="7"/>
    </row>
    <row r="88" ht="15.75" customHeight="1">
      <c r="I88" s="7"/>
    </row>
    <row r="89" ht="15.75" customHeight="1">
      <c r="I89" s="7"/>
    </row>
    <row r="90" ht="15.75" customHeight="1">
      <c r="I90" s="7"/>
    </row>
    <row r="91" ht="15.75" customHeight="1">
      <c r="I91" s="7"/>
    </row>
    <row r="92" ht="15.75" customHeight="1">
      <c r="I92" s="7"/>
    </row>
    <row r="93" ht="15.75" customHeight="1">
      <c r="I93" s="7"/>
    </row>
    <row r="94" ht="15.75" customHeight="1">
      <c r="I94" s="7"/>
    </row>
    <row r="95" ht="15.75" customHeight="1">
      <c r="I95" s="7"/>
    </row>
    <row r="96" ht="15.75" customHeight="1">
      <c r="I96" s="7"/>
    </row>
    <row r="97" ht="15.75" customHeight="1">
      <c r="I97" s="7"/>
    </row>
    <row r="98" ht="15.75" customHeight="1">
      <c r="I98" s="7"/>
    </row>
    <row r="99" ht="15.75" customHeight="1">
      <c r="I99" s="7"/>
    </row>
    <row r="100" ht="15.75" customHeight="1">
      <c r="I100" s="7"/>
    </row>
    <row r="101" ht="15.75" customHeight="1">
      <c r="I101" s="7"/>
    </row>
    <row r="102" ht="15.75" customHeight="1">
      <c r="I102" s="7"/>
    </row>
    <row r="103" ht="15.75" customHeight="1">
      <c r="I103" s="7"/>
    </row>
    <row r="104" ht="15.75" customHeight="1">
      <c r="I104" s="7"/>
    </row>
    <row r="105" ht="15.75" customHeight="1">
      <c r="I105" s="7"/>
    </row>
    <row r="106" ht="15.75" customHeight="1">
      <c r="I106" s="7"/>
    </row>
    <row r="107" ht="15.75" customHeight="1">
      <c r="I107" s="7"/>
    </row>
    <row r="108" ht="15.75" customHeight="1">
      <c r="I108" s="7"/>
    </row>
    <row r="109" ht="15.75" customHeight="1">
      <c r="I109" s="7"/>
    </row>
    <row r="110" ht="15.75" customHeight="1">
      <c r="I110" s="7"/>
    </row>
    <row r="111" ht="15.75" customHeight="1">
      <c r="I111" s="7"/>
    </row>
    <row r="112" ht="15.75" customHeight="1">
      <c r="I112" s="7"/>
    </row>
    <row r="113" ht="15.75" customHeight="1">
      <c r="I113" s="7"/>
    </row>
    <row r="114" ht="15.75" customHeight="1">
      <c r="I114" s="7"/>
    </row>
    <row r="115" ht="15.75" customHeight="1">
      <c r="I115" s="7"/>
    </row>
    <row r="116" ht="15.75" customHeight="1">
      <c r="I116" s="7"/>
    </row>
    <row r="117" ht="15.75" customHeight="1">
      <c r="I117" s="7"/>
    </row>
    <row r="118" ht="15.75" customHeight="1">
      <c r="I118" s="7"/>
    </row>
    <row r="119" ht="15.75" customHeight="1">
      <c r="I119" s="7"/>
    </row>
    <row r="120" ht="15.75" customHeight="1">
      <c r="I120" s="7"/>
    </row>
    <row r="121" ht="15.75" customHeight="1">
      <c r="I121" s="7"/>
    </row>
    <row r="122" ht="15.75" customHeight="1">
      <c r="I122" s="7"/>
    </row>
    <row r="123" ht="15.75" customHeight="1">
      <c r="I123" s="7"/>
    </row>
    <row r="124" ht="15.75" customHeight="1">
      <c r="I124" s="7"/>
    </row>
    <row r="125" ht="15.75" customHeight="1">
      <c r="I125" s="7"/>
    </row>
    <row r="126" ht="15.75" customHeight="1">
      <c r="I126" s="7"/>
    </row>
    <row r="127" ht="15.75" customHeight="1">
      <c r="I127" s="7"/>
    </row>
    <row r="128" ht="15.75" customHeight="1">
      <c r="I128" s="7"/>
    </row>
    <row r="129" ht="15.75" customHeight="1">
      <c r="I129" s="7"/>
    </row>
    <row r="130" ht="15.75" customHeight="1">
      <c r="I130" s="7"/>
    </row>
    <row r="131" ht="15.75" customHeight="1">
      <c r="I131" s="7"/>
    </row>
    <row r="132" ht="15.75" customHeight="1">
      <c r="I132" s="7"/>
    </row>
    <row r="133" ht="15.75" customHeight="1">
      <c r="I133" s="7"/>
    </row>
    <row r="134" ht="15.75" customHeight="1">
      <c r="I134" s="7"/>
    </row>
    <row r="135" ht="15.75" customHeight="1">
      <c r="I135" s="7"/>
    </row>
    <row r="136" ht="15.75" customHeight="1">
      <c r="I136" s="7"/>
    </row>
    <row r="137" ht="15.75" customHeight="1">
      <c r="I137" s="7"/>
    </row>
    <row r="138" ht="15.75" customHeight="1">
      <c r="I138" s="7"/>
    </row>
    <row r="139" ht="15.75" customHeight="1">
      <c r="I139" s="7"/>
    </row>
    <row r="140" ht="15.75" customHeight="1">
      <c r="I140" s="7"/>
    </row>
    <row r="141" ht="15.75" customHeight="1">
      <c r="I141" s="7"/>
    </row>
    <row r="142" ht="15.75" customHeight="1">
      <c r="I142" s="7"/>
    </row>
    <row r="143" ht="15.75" customHeight="1">
      <c r="I143" s="7"/>
    </row>
    <row r="144" ht="15.75" customHeight="1">
      <c r="I144" s="7"/>
    </row>
    <row r="145" ht="15.75" customHeight="1">
      <c r="I145" s="7"/>
    </row>
    <row r="146" ht="15.75" customHeight="1">
      <c r="I146" s="7"/>
    </row>
    <row r="147" ht="15.75" customHeight="1">
      <c r="I147" s="7"/>
    </row>
    <row r="148" ht="15.75" customHeight="1">
      <c r="I148" s="7"/>
    </row>
    <row r="149" ht="15.75" customHeight="1">
      <c r="I149" s="7"/>
    </row>
    <row r="150" ht="15.75" customHeight="1">
      <c r="I150" s="7"/>
    </row>
    <row r="151" ht="15.75" customHeight="1">
      <c r="I151" s="7"/>
    </row>
    <row r="152" ht="15.75" customHeight="1">
      <c r="I152" s="7"/>
    </row>
    <row r="153" ht="15.75" customHeight="1">
      <c r="I153" s="7"/>
    </row>
    <row r="154" ht="15.75" customHeight="1">
      <c r="I154" s="7"/>
    </row>
    <row r="155" ht="15.75" customHeight="1">
      <c r="I155" s="7"/>
    </row>
    <row r="156" ht="15.75" customHeight="1">
      <c r="I156" s="7"/>
    </row>
    <row r="157" ht="15.75" customHeight="1">
      <c r="I157" s="7"/>
    </row>
    <row r="158" ht="15.75" customHeight="1">
      <c r="I158" s="7"/>
    </row>
    <row r="159" ht="15.75" customHeight="1">
      <c r="I159" s="7"/>
    </row>
    <row r="160" ht="15.75" customHeight="1">
      <c r="I160" s="7"/>
    </row>
    <row r="161" ht="15.75" customHeight="1">
      <c r="I161" s="7"/>
    </row>
    <row r="162" ht="15.75" customHeight="1">
      <c r="I162" s="7"/>
    </row>
    <row r="163" ht="15.75" customHeight="1">
      <c r="I163" s="7"/>
    </row>
    <row r="164" ht="15.75" customHeight="1">
      <c r="I164" s="7"/>
    </row>
    <row r="165" ht="15.75" customHeight="1">
      <c r="I165" s="7"/>
    </row>
    <row r="166" ht="15.75" customHeight="1">
      <c r="I166" s="7"/>
    </row>
    <row r="167" ht="15.75" customHeight="1">
      <c r="I167" s="7"/>
    </row>
    <row r="168" ht="15.75" customHeight="1">
      <c r="I168" s="7"/>
    </row>
    <row r="169" ht="15.75" customHeight="1">
      <c r="I169" s="7"/>
    </row>
    <row r="170" ht="15.75" customHeight="1">
      <c r="I170" s="7"/>
    </row>
    <row r="171" ht="15.75" customHeight="1">
      <c r="I171" s="7"/>
    </row>
    <row r="172" ht="15.75" customHeight="1">
      <c r="I172" s="7"/>
    </row>
    <row r="173" ht="15.75" customHeight="1">
      <c r="I173" s="7"/>
    </row>
    <row r="174" ht="15.75" customHeight="1">
      <c r="I174" s="7"/>
    </row>
    <row r="175" ht="15.75" customHeight="1">
      <c r="I175" s="7"/>
    </row>
    <row r="176" ht="15.75" customHeight="1">
      <c r="I176" s="7"/>
    </row>
    <row r="177" ht="15.75" customHeight="1">
      <c r="I177" s="7"/>
    </row>
    <row r="178" ht="15.75" customHeight="1">
      <c r="I178" s="7"/>
    </row>
    <row r="179" ht="15.75" customHeight="1">
      <c r="I179" s="7"/>
    </row>
    <row r="180" ht="15.75" customHeight="1">
      <c r="I180" s="7"/>
    </row>
    <row r="181" ht="15.75" customHeight="1">
      <c r="I181" s="7"/>
    </row>
    <row r="182" ht="15.75" customHeight="1">
      <c r="I182" s="7"/>
    </row>
    <row r="183" ht="15.75" customHeight="1">
      <c r="I183" s="7"/>
    </row>
    <row r="184" ht="15.75" customHeight="1">
      <c r="I184" s="7"/>
    </row>
    <row r="185" ht="15.75" customHeight="1">
      <c r="I185" s="7"/>
    </row>
    <row r="186" ht="15.75" customHeight="1">
      <c r="I186" s="7"/>
    </row>
    <row r="187" ht="15.75" customHeight="1">
      <c r="I187" s="7"/>
    </row>
    <row r="188" ht="15.75" customHeight="1">
      <c r="I188" s="7"/>
    </row>
    <row r="189" ht="15.75" customHeight="1">
      <c r="I189" s="7"/>
    </row>
    <row r="190" ht="15.75" customHeight="1">
      <c r="I190" s="7"/>
    </row>
    <row r="191" ht="15.75" customHeight="1">
      <c r="I191" s="7"/>
    </row>
    <row r="192" ht="15.75" customHeight="1">
      <c r="I192" s="7"/>
    </row>
    <row r="193" ht="15.75" customHeight="1">
      <c r="I193" s="7"/>
    </row>
    <row r="194" ht="15.75" customHeight="1">
      <c r="I194" s="7"/>
    </row>
    <row r="195" ht="15.75" customHeight="1">
      <c r="I195" s="7"/>
    </row>
    <row r="196" ht="15.75" customHeight="1">
      <c r="I196" s="7"/>
    </row>
    <row r="197" ht="15.75" customHeight="1">
      <c r="I197" s="7"/>
    </row>
    <row r="198" ht="15.75" customHeight="1">
      <c r="I198" s="7"/>
    </row>
    <row r="199" ht="15.75" customHeight="1">
      <c r="I199" s="7"/>
    </row>
    <row r="200" ht="15.75" customHeight="1">
      <c r="I200" s="7"/>
    </row>
    <row r="201" ht="15.75" customHeight="1">
      <c r="I201" s="7"/>
    </row>
    <row r="202" ht="15.75" customHeight="1">
      <c r="I202" s="7"/>
    </row>
    <row r="203" ht="15.75" customHeight="1">
      <c r="I203" s="7"/>
    </row>
    <row r="204" ht="15.75" customHeight="1">
      <c r="I204" s="7"/>
    </row>
    <row r="205" ht="15.75" customHeight="1">
      <c r="I205" s="7"/>
    </row>
    <row r="206" ht="15.75" customHeight="1">
      <c r="I206" s="7"/>
    </row>
    <row r="207" ht="15.75" customHeight="1">
      <c r="I207" s="7"/>
    </row>
    <row r="208" ht="15.75" customHeight="1">
      <c r="I208" s="7"/>
    </row>
    <row r="209" ht="15.75" customHeight="1">
      <c r="I209" s="7"/>
    </row>
    <row r="210" ht="15.75" customHeight="1">
      <c r="I210" s="7"/>
    </row>
    <row r="211" ht="15.75" customHeight="1">
      <c r="I211" s="7"/>
    </row>
    <row r="212" ht="15.75" customHeight="1">
      <c r="I212" s="7"/>
    </row>
    <row r="213" ht="15.75" customHeight="1">
      <c r="I213" s="7"/>
    </row>
    <row r="214" ht="15.75" customHeight="1">
      <c r="I214" s="7"/>
    </row>
    <row r="215" ht="15.75" customHeight="1">
      <c r="I215" s="7"/>
    </row>
    <row r="216" ht="15.75" customHeight="1">
      <c r="I216" s="7"/>
    </row>
    <row r="217" ht="15.75" customHeight="1">
      <c r="I217" s="7"/>
    </row>
    <row r="218" ht="15.75" customHeight="1">
      <c r="I218" s="7"/>
    </row>
    <row r="219" ht="15.75" customHeight="1">
      <c r="I219" s="7"/>
    </row>
    <row r="220" ht="15.75" customHeight="1">
      <c r="I220" s="7"/>
    </row>
    <row r="221" ht="15.75" customHeight="1">
      <c r="I221" s="7"/>
    </row>
    <row r="222" ht="15.75" customHeight="1">
      <c r="I222" s="7"/>
    </row>
    <row r="223" ht="15.75" customHeight="1">
      <c r="I223" s="7"/>
    </row>
    <row r="224" ht="15.75" customHeight="1">
      <c r="I224" s="7"/>
    </row>
    <row r="225" ht="15.75" customHeight="1">
      <c r="I225" s="7"/>
    </row>
    <row r="226" ht="15.75" customHeight="1">
      <c r="I226" s="7"/>
    </row>
    <row r="227" ht="15.75" customHeight="1">
      <c r="I227" s="7"/>
    </row>
    <row r="228" ht="15.75" customHeight="1">
      <c r="I228" s="7"/>
    </row>
    <row r="229" ht="15.75" customHeight="1">
      <c r="I229" s="7"/>
    </row>
    <row r="230" ht="15.75" customHeight="1">
      <c r="I230" s="7"/>
    </row>
    <row r="231" ht="15.75" customHeight="1">
      <c r="I231" s="7"/>
    </row>
    <row r="232" ht="15.75" customHeight="1">
      <c r="I232" s="7"/>
    </row>
    <row r="233" ht="15.75" customHeight="1">
      <c r="I233" s="7"/>
    </row>
    <row r="234" ht="15.75" customHeight="1">
      <c r="I234" s="7"/>
    </row>
    <row r="235" ht="15.75" customHeight="1">
      <c r="I235" s="7"/>
    </row>
    <row r="236" ht="15.75" customHeight="1">
      <c r="I236" s="7"/>
    </row>
    <row r="237" ht="15.75" customHeight="1">
      <c r="I237" s="7"/>
    </row>
    <row r="238" ht="15.75" customHeight="1">
      <c r="I238" s="7"/>
    </row>
    <row r="239" ht="15.75" customHeight="1">
      <c r="I239" s="7"/>
    </row>
    <row r="240" ht="15.75" customHeight="1">
      <c r="I240" s="7"/>
    </row>
    <row r="241" ht="15.75" customHeight="1">
      <c r="I241" s="7"/>
    </row>
    <row r="242" ht="15.75" customHeight="1">
      <c r="I242" s="7"/>
    </row>
    <row r="243" ht="15.75" customHeight="1">
      <c r="I243" s="7"/>
    </row>
    <row r="244" ht="15.75" customHeight="1">
      <c r="I244" s="7"/>
    </row>
    <row r="245" ht="15.75" customHeight="1">
      <c r="I245" s="7"/>
    </row>
    <row r="246" ht="15.75" customHeight="1">
      <c r="I246" s="7"/>
    </row>
    <row r="247" ht="15.75" customHeight="1">
      <c r="I247" s="7"/>
    </row>
    <row r="248" ht="15.75" customHeight="1">
      <c r="I248" s="7"/>
    </row>
    <row r="249" ht="15.75" customHeight="1">
      <c r="I249" s="7"/>
    </row>
    <row r="250" ht="15.75" customHeight="1">
      <c r="I250" s="7"/>
    </row>
    <row r="251" ht="15.75" customHeight="1">
      <c r="I251" s="7"/>
    </row>
    <row r="252" ht="15.75" customHeight="1">
      <c r="I252" s="7"/>
    </row>
    <row r="253" ht="15.75" customHeight="1">
      <c r="I253" s="7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9:H9"/>
    <mergeCell ref="I9:J9"/>
    <mergeCell ref="K9:N9"/>
    <mergeCell ref="O9:R9"/>
    <mergeCell ref="A1:T1"/>
    <mergeCell ref="A2:AG2"/>
    <mergeCell ref="A3:AG3"/>
    <mergeCell ref="A4:AG4"/>
    <mergeCell ref="A5:AG5"/>
    <mergeCell ref="A6:AG6"/>
    <mergeCell ref="A7:AG7"/>
  </mergeCells>
  <conditionalFormatting sqref="D12:R51">
    <cfRule type="containsText" dxfId="2" priority="1" operator="containsText" text="P">
      <formula>NOT(ISERROR(SEARCH(("P"),(D12))))</formula>
    </cfRule>
  </conditionalFormatting>
  <conditionalFormatting sqref="D12:R51">
    <cfRule type="containsText" dxfId="3" priority="2" operator="containsText" text="A">
      <formula>NOT(ISERROR(SEARCH(("A"),(D12))))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2.0"/>
    <col customWidth="1" min="3" max="3" width="36.43"/>
    <col customWidth="1" min="4" max="4" width="7.0"/>
    <col customWidth="1" min="5" max="5" width="7.29"/>
    <col customWidth="1" min="6" max="6" width="6.43"/>
    <col customWidth="1" min="7" max="7" width="6.0"/>
    <col customWidth="1" min="8" max="8" width="6.57"/>
    <col customWidth="1" min="9" max="9" width="6.0"/>
    <col customWidth="1" min="10" max="12" width="7.57"/>
    <col customWidth="1" min="13" max="14" width="6.57"/>
    <col customWidth="1" min="15" max="16" width="6.71"/>
    <col customWidth="1" min="17" max="17" width="7.29"/>
    <col customWidth="1" min="18" max="18" width="6.0"/>
    <col customWidth="1" min="19" max="19" width="7.43"/>
    <col customWidth="1" min="20" max="21" width="6.86"/>
    <col customWidth="1" min="22" max="22" width="7.0"/>
    <col customWidth="1" min="23" max="23" width="8.86"/>
    <col customWidth="1" min="24" max="24" width="7.71"/>
    <col customWidth="1" min="25" max="25" width="6.86"/>
    <col customWidth="1" min="26" max="26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95"/>
      <c r="AF1" s="95"/>
      <c r="AG1" s="95"/>
      <c r="AH1" s="95"/>
      <c r="AI1" s="95"/>
      <c r="AJ1" s="95"/>
      <c r="AK1" s="96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95"/>
      <c r="AF2" s="95"/>
      <c r="AG2" s="95"/>
      <c r="AH2" s="95"/>
      <c r="AI2" s="95"/>
      <c r="AJ2" s="95"/>
      <c r="AK2" s="96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95"/>
      <c r="AF3" s="95"/>
      <c r="AG3" s="95"/>
      <c r="AH3" s="95"/>
      <c r="AI3" s="95"/>
      <c r="AJ3" s="95"/>
      <c r="AK3" s="96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95"/>
      <c r="AF4" s="95"/>
      <c r="AG4" s="95"/>
      <c r="AH4" s="95"/>
      <c r="AI4" s="95"/>
      <c r="AJ4" s="95"/>
      <c r="AK4" s="96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95"/>
      <c r="AF5" s="95"/>
      <c r="AG5" s="95"/>
      <c r="AH5" s="95"/>
      <c r="AI5" s="95"/>
      <c r="AJ5" s="95"/>
      <c r="AK5" s="96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"/>
      <c r="AE6" s="95"/>
      <c r="AF6" s="95"/>
      <c r="AG6" s="95"/>
      <c r="AH6" s="95"/>
      <c r="AI6" s="95"/>
      <c r="AJ6" s="95"/>
      <c r="AK6" s="96"/>
    </row>
    <row r="7">
      <c r="A7" s="97"/>
      <c r="B7" s="97"/>
      <c r="C7" s="97"/>
      <c r="D7" s="98"/>
      <c r="E7" s="98"/>
      <c r="F7" s="98"/>
      <c r="G7" s="98"/>
      <c r="H7" s="97"/>
      <c r="I7" s="97"/>
      <c r="J7" s="97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7"/>
      <c r="W7" s="98"/>
      <c r="X7" s="98"/>
      <c r="Y7" s="98"/>
      <c r="Z7" s="99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</row>
    <row r="8">
      <c r="A8" s="101"/>
      <c r="B8" s="101"/>
      <c r="C8" s="102"/>
      <c r="D8" s="103" t="s">
        <v>313</v>
      </c>
      <c r="E8" s="2"/>
      <c r="F8" s="2"/>
      <c r="G8" s="3"/>
      <c r="H8" s="103" t="s">
        <v>314</v>
      </c>
      <c r="I8" s="2"/>
      <c r="J8" s="2"/>
      <c r="K8" s="3"/>
      <c r="L8" s="104" t="s">
        <v>8</v>
      </c>
      <c r="M8" s="46"/>
      <c r="N8" s="46"/>
      <c r="O8" s="46"/>
      <c r="P8" s="46"/>
      <c r="Q8" s="105" t="s">
        <v>304</v>
      </c>
      <c r="R8" s="46"/>
      <c r="S8" s="46"/>
      <c r="T8" s="46"/>
      <c r="U8" s="47"/>
      <c r="V8" s="106"/>
      <c r="W8" s="107" t="s">
        <v>10</v>
      </c>
      <c r="X8" s="107" t="s">
        <v>11</v>
      </c>
      <c r="Y8" s="107" t="s">
        <v>12</v>
      </c>
      <c r="Z8" s="108" t="s">
        <v>182</v>
      </c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</row>
    <row r="9">
      <c r="A9" s="109"/>
      <c r="B9" s="109"/>
      <c r="C9" s="110"/>
      <c r="D9" s="107">
        <v>1.0</v>
      </c>
      <c r="E9" s="107">
        <v>8.0</v>
      </c>
      <c r="F9" s="107">
        <v>30.0</v>
      </c>
      <c r="G9" s="107"/>
      <c r="H9" s="107">
        <v>1.0</v>
      </c>
      <c r="I9" s="107">
        <v>8.0</v>
      </c>
      <c r="J9" s="107">
        <v>15.0</v>
      </c>
      <c r="K9" s="107"/>
      <c r="L9" s="107">
        <v>27.0</v>
      </c>
      <c r="M9" s="111">
        <v>45727.0</v>
      </c>
      <c r="N9" s="107">
        <v>4.0</v>
      </c>
      <c r="O9" s="107"/>
      <c r="P9" s="107"/>
      <c r="Q9" s="107">
        <v>10.0</v>
      </c>
      <c r="R9" s="107"/>
      <c r="S9" s="107"/>
      <c r="T9" s="107"/>
      <c r="U9" s="107"/>
      <c r="V9" s="107"/>
      <c r="W9" s="107"/>
      <c r="X9" s="107"/>
      <c r="Y9" s="107"/>
      <c r="Z9" s="108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</row>
    <row r="10">
      <c r="A10" s="112" t="s">
        <v>26</v>
      </c>
      <c r="B10" s="107" t="s">
        <v>27</v>
      </c>
      <c r="C10" s="107" t="s">
        <v>315</v>
      </c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13"/>
      <c r="X10" s="113"/>
      <c r="Y10" s="113"/>
      <c r="Z10" s="114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</row>
    <row r="11">
      <c r="A11" s="115">
        <v>31.0</v>
      </c>
      <c r="B11" s="116" t="s">
        <v>243</v>
      </c>
      <c r="C11" s="110" t="s">
        <v>244</v>
      </c>
      <c r="D11" s="117" t="s">
        <v>32</v>
      </c>
      <c r="E11" s="117" t="s">
        <v>32</v>
      </c>
      <c r="F11" s="118" t="s">
        <v>316</v>
      </c>
      <c r="G11" s="118"/>
      <c r="H11" s="118" t="s">
        <v>32</v>
      </c>
      <c r="I11" s="118" t="s">
        <v>32</v>
      </c>
      <c r="J11" s="118" t="s">
        <v>32</v>
      </c>
      <c r="K11" s="118"/>
      <c r="L11" s="118" t="s">
        <v>32</v>
      </c>
      <c r="M11" s="118" t="s">
        <v>32</v>
      </c>
      <c r="N11" s="118"/>
      <c r="O11" s="118"/>
      <c r="P11" s="118"/>
      <c r="Q11" s="118" t="s">
        <v>32</v>
      </c>
      <c r="R11" s="118"/>
      <c r="S11" s="118"/>
      <c r="T11" s="118"/>
      <c r="U11" s="118"/>
      <c r="V11" s="118"/>
      <c r="W11" s="119">
        <f t="shared" ref="W11:W38" si="1">COUNTIF(D11:V11,"P")+COUNTIF(D11:V11,"1")</f>
        <v>8</v>
      </c>
      <c r="X11" s="119">
        <f t="shared" ref="X11:X38" si="2">COUNTIF(D11:V11,"A")+COUNTIF(D11:V11,"0")</f>
        <v>0</v>
      </c>
      <c r="Y11" s="119">
        <f t="shared" ref="Y11:Y38" si="3">SUM(W11:X11)</f>
        <v>8</v>
      </c>
      <c r="Z11" s="120">
        <f t="shared" ref="Z11:Z38" si="4">(W11/Y11)*100</f>
        <v>100</v>
      </c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</row>
    <row r="12">
      <c r="A12" s="115">
        <v>32.0</v>
      </c>
      <c r="B12" s="116" t="s">
        <v>245</v>
      </c>
      <c r="C12" s="110" t="s">
        <v>246</v>
      </c>
      <c r="D12" s="117" t="s">
        <v>32</v>
      </c>
      <c r="E12" s="117" t="s">
        <v>32</v>
      </c>
      <c r="F12" s="118" t="s">
        <v>32</v>
      </c>
      <c r="G12" s="118"/>
      <c r="H12" s="118" t="s">
        <v>32</v>
      </c>
      <c r="I12" s="118" t="s">
        <v>32</v>
      </c>
      <c r="J12" s="118" t="s">
        <v>32</v>
      </c>
      <c r="K12" s="118"/>
      <c r="L12" s="118" t="s">
        <v>31</v>
      </c>
      <c r="M12" s="118" t="s">
        <v>32</v>
      </c>
      <c r="N12" s="118"/>
      <c r="O12" s="118"/>
      <c r="P12" s="118"/>
      <c r="Q12" s="118" t="s">
        <v>32</v>
      </c>
      <c r="R12" s="118"/>
      <c r="S12" s="118"/>
      <c r="T12" s="118"/>
      <c r="U12" s="118"/>
      <c r="V12" s="118"/>
      <c r="W12" s="119">
        <f t="shared" si="1"/>
        <v>8</v>
      </c>
      <c r="X12" s="119">
        <f t="shared" si="2"/>
        <v>1</v>
      </c>
      <c r="Y12" s="119">
        <f t="shared" si="3"/>
        <v>9</v>
      </c>
      <c r="Z12" s="120">
        <f t="shared" si="4"/>
        <v>88.88888889</v>
      </c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</row>
    <row r="13">
      <c r="A13" s="115">
        <v>33.0</v>
      </c>
      <c r="B13" s="116" t="s">
        <v>247</v>
      </c>
      <c r="C13" s="110" t="s">
        <v>248</v>
      </c>
      <c r="D13" s="117" t="s">
        <v>32</v>
      </c>
      <c r="E13" s="117" t="s">
        <v>32</v>
      </c>
      <c r="F13" s="118" t="s">
        <v>32</v>
      </c>
      <c r="G13" s="118"/>
      <c r="H13" s="118" t="s">
        <v>32</v>
      </c>
      <c r="I13" s="118" t="s">
        <v>32</v>
      </c>
      <c r="J13" s="118" t="s">
        <v>32</v>
      </c>
      <c r="K13" s="118"/>
      <c r="L13" s="118" t="s">
        <v>31</v>
      </c>
      <c r="M13" s="118" t="s">
        <v>32</v>
      </c>
      <c r="N13" s="118"/>
      <c r="O13" s="118"/>
      <c r="P13" s="118"/>
      <c r="Q13" s="118" t="s">
        <v>32</v>
      </c>
      <c r="R13" s="118"/>
      <c r="S13" s="118"/>
      <c r="T13" s="118"/>
      <c r="U13" s="118"/>
      <c r="V13" s="118"/>
      <c r="W13" s="119">
        <f t="shared" si="1"/>
        <v>8</v>
      </c>
      <c r="X13" s="119">
        <f t="shared" si="2"/>
        <v>1</v>
      </c>
      <c r="Y13" s="119">
        <f t="shared" si="3"/>
        <v>9</v>
      </c>
      <c r="Z13" s="120">
        <f t="shared" si="4"/>
        <v>88.88888889</v>
      </c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</row>
    <row r="14">
      <c r="A14" s="115">
        <v>34.0</v>
      </c>
      <c r="B14" s="116" t="s">
        <v>249</v>
      </c>
      <c r="C14" s="110" t="s">
        <v>250</v>
      </c>
      <c r="D14" s="117" t="s">
        <v>31</v>
      </c>
      <c r="E14" s="117" t="s">
        <v>32</v>
      </c>
      <c r="F14" s="118" t="s">
        <v>32</v>
      </c>
      <c r="G14" s="118"/>
      <c r="H14" s="118" t="s">
        <v>32</v>
      </c>
      <c r="I14" s="118" t="s">
        <v>32</v>
      </c>
      <c r="J14" s="118" t="s">
        <v>32</v>
      </c>
      <c r="K14" s="118"/>
      <c r="L14" s="118" t="s">
        <v>31</v>
      </c>
      <c r="M14" s="118" t="s">
        <v>32</v>
      </c>
      <c r="N14" s="118"/>
      <c r="O14" s="118"/>
      <c r="P14" s="118"/>
      <c r="Q14" s="118" t="s">
        <v>32</v>
      </c>
      <c r="R14" s="118"/>
      <c r="S14" s="118"/>
      <c r="T14" s="118"/>
      <c r="U14" s="118"/>
      <c r="V14" s="118"/>
      <c r="W14" s="119">
        <f t="shared" si="1"/>
        <v>7</v>
      </c>
      <c r="X14" s="119">
        <f t="shared" si="2"/>
        <v>2</v>
      </c>
      <c r="Y14" s="119">
        <f t="shared" si="3"/>
        <v>9</v>
      </c>
      <c r="Z14" s="120">
        <f t="shared" si="4"/>
        <v>77.77777778</v>
      </c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</row>
    <row r="15">
      <c r="A15" s="115">
        <v>35.0</v>
      </c>
      <c r="B15" s="116" t="s">
        <v>251</v>
      </c>
      <c r="C15" s="110" t="s">
        <v>252</v>
      </c>
      <c r="D15" s="117" t="s">
        <v>32</v>
      </c>
      <c r="E15" s="117" t="s">
        <v>32</v>
      </c>
      <c r="F15" s="118" t="s">
        <v>32</v>
      </c>
      <c r="G15" s="118"/>
      <c r="H15" s="118" t="s">
        <v>32</v>
      </c>
      <c r="I15" s="118" t="s">
        <v>32</v>
      </c>
      <c r="J15" s="118" t="s">
        <v>32</v>
      </c>
      <c r="K15" s="118"/>
      <c r="L15" s="118" t="s">
        <v>31</v>
      </c>
      <c r="M15" s="118" t="s">
        <v>31</v>
      </c>
      <c r="N15" s="118"/>
      <c r="O15" s="118"/>
      <c r="P15" s="118"/>
      <c r="Q15" s="118" t="s">
        <v>32</v>
      </c>
      <c r="R15" s="118"/>
      <c r="S15" s="118"/>
      <c r="T15" s="118"/>
      <c r="U15" s="118"/>
      <c r="V15" s="118"/>
      <c r="W15" s="119">
        <f t="shared" si="1"/>
        <v>7</v>
      </c>
      <c r="X15" s="119">
        <f t="shared" si="2"/>
        <v>2</v>
      </c>
      <c r="Y15" s="119">
        <f t="shared" si="3"/>
        <v>9</v>
      </c>
      <c r="Z15" s="120">
        <f t="shared" si="4"/>
        <v>77.77777778</v>
      </c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</row>
    <row r="16">
      <c r="A16" s="115">
        <v>36.0</v>
      </c>
      <c r="B16" s="116" t="s">
        <v>253</v>
      </c>
      <c r="C16" s="110" t="s">
        <v>254</v>
      </c>
      <c r="D16" s="117" t="s">
        <v>31</v>
      </c>
      <c r="E16" s="117" t="s">
        <v>32</v>
      </c>
      <c r="F16" s="118" t="s">
        <v>32</v>
      </c>
      <c r="G16" s="118"/>
      <c r="H16" s="118" t="s">
        <v>32</v>
      </c>
      <c r="I16" s="118" t="s">
        <v>32</v>
      </c>
      <c r="J16" s="118" t="s">
        <v>32</v>
      </c>
      <c r="K16" s="118"/>
      <c r="L16" s="118" t="s">
        <v>31</v>
      </c>
      <c r="M16" s="118" t="s">
        <v>32</v>
      </c>
      <c r="N16" s="118"/>
      <c r="O16" s="118"/>
      <c r="P16" s="118"/>
      <c r="Q16" s="118" t="s">
        <v>32</v>
      </c>
      <c r="R16" s="118"/>
      <c r="S16" s="118"/>
      <c r="T16" s="118"/>
      <c r="U16" s="118"/>
      <c r="V16" s="118"/>
      <c r="W16" s="119">
        <f t="shared" si="1"/>
        <v>7</v>
      </c>
      <c r="X16" s="119">
        <f t="shared" si="2"/>
        <v>2</v>
      </c>
      <c r="Y16" s="119">
        <f t="shared" si="3"/>
        <v>9</v>
      </c>
      <c r="Z16" s="120">
        <f t="shared" si="4"/>
        <v>77.77777778</v>
      </c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</row>
    <row r="17">
      <c r="A17" s="115">
        <v>37.0</v>
      </c>
      <c r="B17" s="116" t="s">
        <v>255</v>
      </c>
      <c r="C17" s="110" t="s">
        <v>256</v>
      </c>
      <c r="D17" s="117" t="s">
        <v>31</v>
      </c>
      <c r="E17" s="117" t="s">
        <v>32</v>
      </c>
      <c r="F17" s="118" t="s">
        <v>32</v>
      </c>
      <c r="G17" s="118"/>
      <c r="H17" s="118" t="s">
        <v>32</v>
      </c>
      <c r="I17" s="118" t="s">
        <v>32</v>
      </c>
      <c r="J17" s="118" t="s">
        <v>32</v>
      </c>
      <c r="K17" s="118"/>
      <c r="L17" s="118" t="s">
        <v>31</v>
      </c>
      <c r="M17" s="118" t="s">
        <v>32</v>
      </c>
      <c r="N17" s="118"/>
      <c r="O17" s="118"/>
      <c r="P17" s="118"/>
      <c r="Q17" s="118" t="s">
        <v>32</v>
      </c>
      <c r="R17" s="118"/>
      <c r="S17" s="118"/>
      <c r="T17" s="118"/>
      <c r="U17" s="118"/>
      <c r="V17" s="118"/>
      <c r="W17" s="119">
        <f t="shared" si="1"/>
        <v>7</v>
      </c>
      <c r="X17" s="119">
        <f t="shared" si="2"/>
        <v>2</v>
      </c>
      <c r="Y17" s="119">
        <f t="shared" si="3"/>
        <v>9</v>
      </c>
      <c r="Z17" s="120">
        <f t="shared" si="4"/>
        <v>77.77777778</v>
      </c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</row>
    <row r="18">
      <c r="A18" s="115">
        <v>38.0</v>
      </c>
      <c r="B18" s="116" t="s">
        <v>257</v>
      </c>
      <c r="C18" s="110" t="s">
        <v>258</v>
      </c>
      <c r="D18" s="117" t="s">
        <v>32</v>
      </c>
      <c r="E18" s="117" t="s">
        <v>32</v>
      </c>
      <c r="F18" s="118" t="s">
        <v>32</v>
      </c>
      <c r="G18" s="118"/>
      <c r="H18" s="118" t="s">
        <v>32</v>
      </c>
      <c r="I18" s="118" t="s">
        <v>32</v>
      </c>
      <c r="J18" s="118" t="s">
        <v>31</v>
      </c>
      <c r="K18" s="118"/>
      <c r="L18" s="118" t="s">
        <v>31</v>
      </c>
      <c r="M18" s="118" t="s">
        <v>32</v>
      </c>
      <c r="N18" s="118"/>
      <c r="O18" s="118"/>
      <c r="P18" s="118"/>
      <c r="Q18" s="118" t="s">
        <v>32</v>
      </c>
      <c r="R18" s="118"/>
      <c r="S18" s="118"/>
      <c r="T18" s="118"/>
      <c r="U18" s="118"/>
      <c r="V18" s="118"/>
      <c r="W18" s="119">
        <f t="shared" si="1"/>
        <v>7</v>
      </c>
      <c r="X18" s="119">
        <f t="shared" si="2"/>
        <v>2</v>
      </c>
      <c r="Y18" s="119">
        <f t="shared" si="3"/>
        <v>9</v>
      </c>
      <c r="Z18" s="120">
        <f t="shared" si="4"/>
        <v>77.77777778</v>
      </c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</row>
    <row r="19">
      <c r="A19" s="115">
        <v>39.0</v>
      </c>
      <c r="B19" s="116" t="s">
        <v>259</v>
      </c>
      <c r="C19" s="110" t="s">
        <v>260</v>
      </c>
      <c r="D19" s="117" t="s">
        <v>31</v>
      </c>
      <c r="E19" s="117" t="s">
        <v>32</v>
      </c>
      <c r="F19" s="118" t="s">
        <v>32</v>
      </c>
      <c r="G19" s="118"/>
      <c r="H19" s="118" t="s">
        <v>32</v>
      </c>
      <c r="I19" s="118" t="s">
        <v>32</v>
      </c>
      <c r="J19" s="118" t="s">
        <v>32</v>
      </c>
      <c r="K19" s="118"/>
      <c r="L19" s="118" t="s">
        <v>31</v>
      </c>
      <c r="M19" s="118" t="s">
        <v>32</v>
      </c>
      <c r="N19" s="118"/>
      <c r="O19" s="118"/>
      <c r="P19" s="118"/>
      <c r="Q19" s="118" t="s">
        <v>32</v>
      </c>
      <c r="R19" s="118"/>
      <c r="S19" s="118"/>
      <c r="T19" s="118"/>
      <c r="U19" s="118"/>
      <c r="V19" s="118"/>
      <c r="W19" s="119">
        <f t="shared" si="1"/>
        <v>7</v>
      </c>
      <c r="X19" s="119">
        <f t="shared" si="2"/>
        <v>2</v>
      </c>
      <c r="Y19" s="119">
        <f t="shared" si="3"/>
        <v>9</v>
      </c>
      <c r="Z19" s="120">
        <f t="shared" si="4"/>
        <v>77.77777778</v>
      </c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</row>
    <row r="20">
      <c r="A20" s="115">
        <v>40.0</v>
      </c>
      <c r="B20" s="116" t="s">
        <v>261</v>
      </c>
      <c r="C20" s="110" t="s">
        <v>262</v>
      </c>
      <c r="D20" s="117" t="s">
        <v>32</v>
      </c>
      <c r="E20" s="117" t="s">
        <v>31</v>
      </c>
      <c r="F20" s="118" t="s">
        <v>32</v>
      </c>
      <c r="G20" s="118"/>
      <c r="H20" s="118" t="s">
        <v>32</v>
      </c>
      <c r="I20" s="118" t="s">
        <v>32</v>
      </c>
      <c r="J20" s="118" t="s">
        <v>32</v>
      </c>
      <c r="K20" s="118"/>
      <c r="L20" s="118" t="s">
        <v>31</v>
      </c>
      <c r="M20" s="118" t="s">
        <v>32</v>
      </c>
      <c r="N20" s="118"/>
      <c r="O20" s="118"/>
      <c r="P20" s="118"/>
      <c r="Q20" s="118" t="s">
        <v>32</v>
      </c>
      <c r="R20" s="118"/>
      <c r="S20" s="118"/>
      <c r="T20" s="118"/>
      <c r="U20" s="118"/>
      <c r="V20" s="118"/>
      <c r="W20" s="119">
        <f t="shared" si="1"/>
        <v>7</v>
      </c>
      <c r="X20" s="119">
        <f t="shared" si="2"/>
        <v>2</v>
      </c>
      <c r="Y20" s="119">
        <f t="shared" si="3"/>
        <v>9</v>
      </c>
      <c r="Z20" s="120">
        <f t="shared" si="4"/>
        <v>77.77777778</v>
      </c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</row>
    <row r="21" ht="15.75" customHeight="1">
      <c r="A21" s="115">
        <v>41.0</v>
      </c>
      <c r="B21" s="116" t="s">
        <v>263</v>
      </c>
      <c r="C21" s="110" t="s">
        <v>264</v>
      </c>
      <c r="D21" s="117" t="s">
        <v>32</v>
      </c>
      <c r="E21" s="117" t="s">
        <v>32</v>
      </c>
      <c r="F21" s="118" t="s">
        <v>32</v>
      </c>
      <c r="G21" s="118"/>
      <c r="H21" s="118" t="s">
        <v>32</v>
      </c>
      <c r="I21" s="118" t="s">
        <v>32</v>
      </c>
      <c r="J21" s="118" t="s">
        <v>32</v>
      </c>
      <c r="K21" s="118"/>
      <c r="L21" s="118" t="s">
        <v>31</v>
      </c>
      <c r="M21" s="118" t="s">
        <v>32</v>
      </c>
      <c r="N21" s="118"/>
      <c r="O21" s="118"/>
      <c r="P21" s="118"/>
      <c r="Q21" s="118" t="s">
        <v>32</v>
      </c>
      <c r="R21" s="118"/>
      <c r="S21" s="118"/>
      <c r="T21" s="118"/>
      <c r="U21" s="118"/>
      <c r="V21" s="118"/>
      <c r="W21" s="119">
        <f t="shared" si="1"/>
        <v>8</v>
      </c>
      <c r="X21" s="119">
        <f t="shared" si="2"/>
        <v>1</v>
      </c>
      <c r="Y21" s="119">
        <f t="shared" si="3"/>
        <v>9</v>
      </c>
      <c r="Z21" s="120">
        <f t="shared" si="4"/>
        <v>88.88888889</v>
      </c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</row>
    <row r="22" ht="15.75" customHeight="1">
      <c r="A22" s="115">
        <v>42.0</v>
      </c>
      <c r="B22" s="116" t="s">
        <v>265</v>
      </c>
      <c r="C22" s="110" t="s">
        <v>266</v>
      </c>
      <c r="D22" s="117" t="s">
        <v>32</v>
      </c>
      <c r="E22" s="117" t="s">
        <v>32</v>
      </c>
      <c r="F22" s="118" t="s">
        <v>32</v>
      </c>
      <c r="G22" s="118"/>
      <c r="H22" s="118" t="s">
        <v>32</v>
      </c>
      <c r="I22" s="118" t="s">
        <v>32</v>
      </c>
      <c r="J22" s="118" t="s">
        <v>32</v>
      </c>
      <c r="K22" s="118"/>
      <c r="L22" s="118" t="s">
        <v>32</v>
      </c>
      <c r="M22" s="118" t="s">
        <v>32</v>
      </c>
      <c r="N22" s="118"/>
      <c r="O22" s="118"/>
      <c r="P22" s="118"/>
      <c r="Q22" s="118" t="s">
        <v>32</v>
      </c>
      <c r="R22" s="118"/>
      <c r="S22" s="118"/>
      <c r="T22" s="118"/>
      <c r="U22" s="118"/>
      <c r="V22" s="118"/>
      <c r="W22" s="119">
        <f t="shared" si="1"/>
        <v>9</v>
      </c>
      <c r="X22" s="119">
        <f t="shared" si="2"/>
        <v>0</v>
      </c>
      <c r="Y22" s="119">
        <f t="shared" si="3"/>
        <v>9</v>
      </c>
      <c r="Z22" s="120">
        <f t="shared" si="4"/>
        <v>100</v>
      </c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</row>
    <row r="23" ht="15.75" customHeight="1">
      <c r="A23" s="115">
        <v>43.0</v>
      </c>
      <c r="B23" s="116" t="s">
        <v>267</v>
      </c>
      <c r="C23" s="110" t="s">
        <v>268</v>
      </c>
      <c r="D23" s="117" t="s">
        <v>32</v>
      </c>
      <c r="E23" s="117" t="s">
        <v>32</v>
      </c>
      <c r="F23" s="118" t="s">
        <v>32</v>
      </c>
      <c r="G23" s="118"/>
      <c r="H23" s="118" t="s">
        <v>32</v>
      </c>
      <c r="I23" s="118" t="s">
        <v>32</v>
      </c>
      <c r="J23" s="118" t="s">
        <v>31</v>
      </c>
      <c r="K23" s="118"/>
      <c r="L23" s="118" t="s">
        <v>32</v>
      </c>
      <c r="M23" s="118" t="s">
        <v>32</v>
      </c>
      <c r="N23" s="118"/>
      <c r="O23" s="118"/>
      <c r="P23" s="118"/>
      <c r="Q23" s="118" t="s">
        <v>31</v>
      </c>
      <c r="R23" s="118"/>
      <c r="S23" s="118"/>
      <c r="T23" s="118"/>
      <c r="U23" s="118"/>
      <c r="V23" s="118"/>
      <c r="W23" s="119">
        <f t="shared" si="1"/>
        <v>7</v>
      </c>
      <c r="X23" s="119">
        <f t="shared" si="2"/>
        <v>2</v>
      </c>
      <c r="Y23" s="119">
        <f t="shared" si="3"/>
        <v>9</v>
      </c>
      <c r="Z23" s="120">
        <f t="shared" si="4"/>
        <v>77.77777778</v>
      </c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</row>
    <row r="24" ht="15.75" customHeight="1">
      <c r="A24" s="115">
        <v>44.0</v>
      </c>
      <c r="B24" s="116" t="s">
        <v>269</v>
      </c>
      <c r="C24" s="110" t="s">
        <v>270</v>
      </c>
      <c r="D24" s="117" t="s">
        <v>32</v>
      </c>
      <c r="E24" s="117" t="s">
        <v>31</v>
      </c>
      <c r="F24" s="118" t="s">
        <v>32</v>
      </c>
      <c r="G24" s="118"/>
      <c r="H24" s="118" t="s">
        <v>32</v>
      </c>
      <c r="I24" s="118" t="s">
        <v>32</v>
      </c>
      <c r="J24" s="118" t="s">
        <v>31</v>
      </c>
      <c r="K24" s="118"/>
      <c r="L24" s="118" t="s">
        <v>31</v>
      </c>
      <c r="M24" s="118" t="s">
        <v>32</v>
      </c>
      <c r="N24" s="118"/>
      <c r="O24" s="118"/>
      <c r="P24" s="118"/>
      <c r="Q24" s="118" t="s">
        <v>32</v>
      </c>
      <c r="R24" s="118"/>
      <c r="S24" s="118"/>
      <c r="T24" s="118"/>
      <c r="U24" s="118"/>
      <c r="V24" s="118"/>
      <c r="W24" s="119">
        <f t="shared" si="1"/>
        <v>6</v>
      </c>
      <c r="X24" s="119">
        <f t="shared" si="2"/>
        <v>3</v>
      </c>
      <c r="Y24" s="119">
        <f t="shared" si="3"/>
        <v>9</v>
      </c>
      <c r="Z24" s="120">
        <f t="shared" si="4"/>
        <v>66.66666667</v>
      </c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</row>
    <row r="25" ht="15.75" customHeight="1">
      <c r="A25" s="115">
        <v>46.0</v>
      </c>
      <c r="B25" s="116" t="s">
        <v>271</v>
      </c>
      <c r="C25" s="110" t="s">
        <v>272</v>
      </c>
      <c r="D25" s="117" t="s">
        <v>31</v>
      </c>
      <c r="E25" s="117" t="s">
        <v>32</v>
      </c>
      <c r="F25" s="118" t="s">
        <v>32</v>
      </c>
      <c r="G25" s="118"/>
      <c r="H25" s="118" t="s">
        <v>32</v>
      </c>
      <c r="I25" s="118" t="s">
        <v>31</v>
      </c>
      <c r="J25" s="118" t="s">
        <v>32</v>
      </c>
      <c r="K25" s="118"/>
      <c r="L25" s="118" t="s">
        <v>31</v>
      </c>
      <c r="M25" s="118" t="s">
        <v>32</v>
      </c>
      <c r="N25" s="118"/>
      <c r="O25" s="118"/>
      <c r="P25" s="118"/>
      <c r="Q25" s="118" t="s">
        <v>32</v>
      </c>
      <c r="R25" s="118"/>
      <c r="S25" s="118"/>
      <c r="T25" s="118"/>
      <c r="U25" s="118"/>
      <c r="V25" s="118"/>
      <c r="W25" s="119">
        <f t="shared" si="1"/>
        <v>6</v>
      </c>
      <c r="X25" s="119">
        <f t="shared" si="2"/>
        <v>3</v>
      </c>
      <c r="Y25" s="119">
        <f t="shared" si="3"/>
        <v>9</v>
      </c>
      <c r="Z25" s="120">
        <f t="shared" si="4"/>
        <v>66.66666667</v>
      </c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</row>
    <row r="26" ht="15.75" customHeight="1">
      <c r="A26" s="115">
        <v>47.0</v>
      </c>
      <c r="B26" s="116" t="s">
        <v>273</v>
      </c>
      <c r="C26" s="110" t="s">
        <v>274</v>
      </c>
      <c r="D26" s="117" t="s">
        <v>31</v>
      </c>
      <c r="E26" s="117" t="s">
        <v>32</v>
      </c>
      <c r="F26" s="118" t="s">
        <v>32</v>
      </c>
      <c r="G26" s="118"/>
      <c r="H26" s="118" t="s">
        <v>32</v>
      </c>
      <c r="I26" s="118" t="s">
        <v>32</v>
      </c>
      <c r="J26" s="118" t="s">
        <v>32</v>
      </c>
      <c r="K26" s="118"/>
      <c r="L26" s="118" t="s">
        <v>32</v>
      </c>
      <c r="M26" s="118" t="s">
        <v>32</v>
      </c>
      <c r="N26" s="118"/>
      <c r="O26" s="118"/>
      <c r="P26" s="118"/>
      <c r="Q26" s="118" t="s">
        <v>32</v>
      </c>
      <c r="R26" s="118"/>
      <c r="S26" s="118"/>
      <c r="T26" s="118"/>
      <c r="U26" s="118"/>
      <c r="V26" s="118"/>
      <c r="W26" s="119">
        <f t="shared" si="1"/>
        <v>8</v>
      </c>
      <c r="X26" s="119">
        <f t="shared" si="2"/>
        <v>1</v>
      </c>
      <c r="Y26" s="119">
        <f t="shared" si="3"/>
        <v>9</v>
      </c>
      <c r="Z26" s="120">
        <f t="shared" si="4"/>
        <v>88.88888889</v>
      </c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</row>
    <row r="27" ht="15.75" customHeight="1">
      <c r="A27" s="115">
        <v>48.0</v>
      </c>
      <c r="B27" s="116" t="s">
        <v>275</v>
      </c>
      <c r="C27" s="110" t="s">
        <v>276</v>
      </c>
      <c r="D27" s="117" t="s">
        <v>32</v>
      </c>
      <c r="E27" s="117" t="s">
        <v>32</v>
      </c>
      <c r="F27" s="118" t="s">
        <v>32</v>
      </c>
      <c r="G27" s="118"/>
      <c r="H27" s="118" t="s">
        <v>32</v>
      </c>
      <c r="I27" s="118" t="s">
        <v>31</v>
      </c>
      <c r="J27" s="118" t="s">
        <v>32</v>
      </c>
      <c r="K27" s="118"/>
      <c r="L27" s="118" t="s">
        <v>31</v>
      </c>
      <c r="M27" s="118" t="s">
        <v>32</v>
      </c>
      <c r="N27" s="118"/>
      <c r="O27" s="118"/>
      <c r="P27" s="118"/>
      <c r="Q27" s="118" t="s">
        <v>31</v>
      </c>
      <c r="R27" s="118"/>
      <c r="S27" s="118"/>
      <c r="T27" s="118"/>
      <c r="U27" s="118"/>
      <c r="V27" s="118"/>
      <c r="W27" s="119">
        <f t="shared" si="1"/>
        <v>6</v>
      </c>
      <c r="X27" s="119">
        <f t="shared" si="2"/>
        <v>3</v>
      </c>
      <c r="Y27" s="119">
        <f t="shared" si="3"/>
        <v>9</v>
      </c>
      <c r="Z27" s="120">
        <f t="shared" si="4"/>
        <v>66.66666667</v>
      </c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</row>
    <row r="28" ht="15.75" customHeight="1">
      <c r="A28" s="115">
        <v>49.0</v>
      </c>
      <c r="B28" s="116" t="s">
        <v>277</v>
      </c>
      <c r="C28" s="110" t="s">
        <v>278</v>
      </c>
      <c r="D28" s="117" t="s">
        <v>32</v>
      </c>
      <c r="E28" s="117" t="s">
        <v>32</v>
      </c>
      <c r="F28" s="118" t="s">
        <v>32</v>
      </c>
      <c r="G28" s="118"/>
      <c r="H28" s="118" t="s">
        <v>32</v>
      </c>
      <c r="I28" s="118" t="s">
        <v>32</v>
      </c>
      <c r="J28" s="118" t="s">
        <v>32</v>
      </c>
      <c r="K28" s="118"/>
      <c r="L28" s="118" t="s">
        <v>32</v>
      </c>
      <c r="M28" s="118" t="s">
        <v>31</v>
      </c>
      <c r="N28" s="118"/>
      <c r="O28" s="118"/>
      <c r="P28" s="118"/>
      <c r="Q28" s="118" t="s">
        <v>32</v>
      </c>
      <c r="R28" s="118"/>
      <c r="S28" s="118"/>
      <c r="T28" s="118"/>
      <c r="U28" s="118"/>
      <c r="V28" s="118"/>
      <c r="W28" s="119">
        <f t="shared" si="1"/>
        <v>8</v>
      </c>
      <c r="X28" s="119">
        <f t="shared" si="2"/>
        <v>1</v>
      </c>
      <c r="Y28" s="119">
        <f t="shared" si="3"/>
        <v>9</v>
      </c>
      <c r="Z28" s="120">
        <f t="shared" si="4"/>
        <v>88.88888889</v>
      </c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</row>
    <row r="29" ht="15.75" customHeight="1">
      <c r="A29" s="115">
        <v>50.0</v>
      </c>
      <c r="B29" s="116" t="s">
        <v>279</v>
      </c>
      <c r="C29" s="110" t="s">
        <v>280</v>
      </c>
      <c r="D29" s="117" t="s">
        <v>31</v>
      </c>
      <c r="E29" s="117" t="s">
        <v>32</v>
      </c>
      <c r="F29" s="121" t="s">
        <v>32</v>
      </c>
      <c r="G29" s="121"/>
      <c r="H29" s="118" t="s">
        <v>32</v>
      </c>
      <c r="I29" s="118" t="s">
        <v>32</v>
      </c>
      <c r="J29" s="121" t="s">
        <v>32</v>
      </c>
      <c r="K29" s="121"/>
      <c r="L29" s="118" t="s">
        <v>31</v>
      </c>
      <c r="M29" s="118" t="s">
        <v>32</v>
      </c>
      <c r="N29" s="118"/>
      <c r="O29" s="118"/>
      <c r="P29" s="118"/>
      <c r="Q29" s="118" t="s">
        <v>32</v>
      </c>
      <c r="R29" s="118"/>
      <c r="S29" s="118"/>
      <c r="T29" s="118"/>
      <c r="U29" s="118"/>
      <c r="V29" s="118"/>
      <c r="W29" s="119">
        <f t="shared" si="1"/>
        <v>7</v>
      </c>
      <c r="X29" s="119">
        <f t="shared" si="2"/>
        <v>2</v>
      </c>
      <c r="Y29" s="119">
        <f t="shared" si="3"/>
        <v>9</v>
      </c>
      <c r="Z29" s="120">
        <f t="shared" si="4"/>
        <v>77.77777778</v>
      </c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</row>
    <row r="30" ht="15.75" customHeight="1">
      <c r="A30" s="115">
        <v>51.0</v>
      </c>
      <c r="B30" s="116" t="s">
        <v>281</v>
      </c>
      <c r="C30" s="110" t="s">
        <v>282</v>
      </c>
      <c r="D30" s="117" t="s">
        <v>32</v>
      </c>
      <c r="E30" s="117" t="s">
        <v>32</v>
      </c>
      <c r="F30" s="121" t="s">
        <v>32</v>
      </c>
      <c r="G30" s="121"/>
      <c r="H30" s="118" t="s">
        <v>32</v>
      </c>
      <c r="I30" s="118" t="s">
        <v>32</v>
      </c>
      <c r="J30" s="121" t="s">
        <v>32</v>
      </c>
      <c r="K30" s="121"/>
      <c r="L30" s="118" t="s">
        <v>32</v>
      </c>
      <c r="M30" s="118" t="s">
        <v>32</v>
      </c>
      <c r="N30" s="118"/>
      <c r="O30" s="118"/>
      <c r="P30" s="118"/>
      <c r="Q30" s="118" t="s">
        <v>31</v>
      </c>
      <c r="R30" s="118"/>
      <c r="S30" s="118"/>
      <c r="T30" s="118"/>
      <c r="U30" s="118"/>
      <c r="V30" s="118"/>
      <c r="W30" s="119">
        <f t="shared" si="1"/>
        <v>8</v>
      </c>
      <c r="X30" s="119">
        <f t="shared" si="2"/>
        <v>1</v>
      </c>
      <c r="Y30" s="119">
        <f t="shared" si="3"/>
        <v>9</v>
      </c>
      <c r="Z30" s="120">
        <f t="shared" si="4"/>
        <v>88.88888889</v>
      </c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</row>
    <row r="31" ht="15.75" customHeight="1">
      <c r="A31" s="115">
        <v>52.0</v>
      </c>
      <c r="B31" s="116" t="s">
        <v>283</v>
      </c>
      <c r="C31" s="110" t="s">
        <v>284</v>
      </c>
      <c r="D31" s="117" t="s">
        <v>32</v>
      </c>
      <c r="E31" s="117" t="s">
        <v>32</v>
      </c>
      <c r="F31" s="118" t="s">
        <v>32</v>
      </c>
      <c r="G31" s="118"/>
      <c r="H31" s="118" t="s">
        <v>32</v>
      </c>
      <c r="I31" s="118" t="s">
        <v>32</v>
      </c>
      <c r="J31" s="118" t="s">
        <v>32</v>
      </c>
      <c r="K31" s="118"/>
      <c r="L31" s="118" t="s">
        <v>31</v>
      </c>
      <c r="M31" s="118" t="s">
        <v>32</v>
      </c>
      <c r="N31" s="118"/>
      <c r="O31" s="118"/>
      <c r="P31" s="118"/>
      <c r="Q31" s="118" t="s">
        <v>32</v>
      </c>
      <c r="R31" s="118"/>
      <c r="S31" s="118"/>
      <c r="T31" s="118"/>
      <c r="U31" s="118"/>
      <c r="V31" s="118"/>
      <c r="W31" s="119">
        <f t="shared" si="1"/>
        <v>8</v>
      </c>
      <c r="X31" s="119">
        <f t="shared" si="2"/>
        <v>1</v>
      </c>
      <c r="Y31" s="119">
        <f t="shared" si="3"/>
        <v>9</v>
      </c>
      <c r="Z31" s="120">
        <f t="shared" si="4"/>
        <v>88.88888889</v>
      </c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</row>
    <row r="32" ht="15.75" customHeight="1">
      <c r="A32" s="115">
        <v>53.0</v>
      </c>
      <c r="B32" s="116" t="s">
        <v>285</v>
      </c>
      <c r="C32" s="110" t="s">
        <v>286</v>
      </c>
      <c r="D32" s="117" t="s">
        <v>32</v>
      </c>
      <c r="E32" s="117" t="s">
        <v>32</v>
      </c>
      <c r="F32" s="118" t="s">
        <v>32</v>
      </c>
      <c r="G32" s="118"/>
      <c r="H32" s="118" t="s">
        <v>32</v>
      </c>
      <c r="I32" s="118" t="s">
        <v>32</v>
      </c>
      <c r="J32" s="118" t="s">
        <v>32</v>
      </c>
      <c r="K32" s="118"/>
      <c r="L32" s="118" t="s">
        <v>31</v>
      </c>
      <c r="M32" s="118" t="s">
        <v>32</v>
      </c>
      <c r="N32" s="118"/>
      <c r="O32" s="118"/>
      <c r="P32" s="118"/>
      <c r="Q32" s="118" t="s">
        <v>32</v>
      </c>
      <c r="R32" s="118"/>
      <c r="S32" s="118"/>
      <c r="T32" s="118"/>
      <c r="U32" s="118"/>
      <c r="V32" s="118"/>
      <c r="W32" s="119">
        <f t="shared" si="1"/>
        <v>8</v>
      </c>
      <c r="X32" s="119">
        <f t="shared" si="2"/>
        <v>1</v>
      </c>
      <c r="Y32" s="119">
        <f t="shared" si="3"/>
        <v>9</v>
      </c>
      <c r="Z32" s="120">
        <f t="shared" si="4"/>
        <v>88.88888889</v>
      </c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</row>
    <row r="33" ht="15.75" customHeight="1">
      <c r="A33" s="115">
        <v>54.0</v>
      </c>
      <c r="B33" s="116" t="s">
        <v>287</v>
      </c>
      <c r="C33" s="110" t="s">
        <v>288</v>
      </c>
      <c r="D33" s="117" t="s">
        <v>31</v>
      </c>
      <c r="E33" s="117" t="s">
        <v>31</v>
      </c>
      <c r="F33" s="118" t="s">
        <v>31</v>
      </c>
      <c r="G33" s="118"/>
      <c r="H33" s="118" t="s">
        <v>31</v>
      </c>
      <c r="I33" s="118" t="s">
        <v>31</v>
      </c>
      <c r="J33" s="118" t="s">
        <v>31</v>
      </c>
      <c r="K33" s="118"/>
      <c r="L33" s="118" t="s">
        <v>31</v>
      </c>
      <c r="M33" s="118" t="s">
        <v>31</v>
      </c>
      <c r="N33" s="118"/>
      <c r="O33" s="118"/>
      <c r="P33" s="118"/>
      <c r="Q33" s="118" t="s">
        <v>31</v>
      </c>
      <c r="R33" s="118"/>
      <c r="S33" s="118"/>
      <c r="T33" s="118"/>
      <c r="U33" s="118"/>
      <c r="V33" s="118"/>
      <c r="W33" s="119">
        <f t="shared" si="1"/>
        <v>0</v>
      </c>
      <c r="X33" s="119">
        <f t="shared" si="2"/>
        <v>9</v>
      </c>
      <c r="Y33" s="119">
        <f t="shared" si="3"/>
        <v>9</v>
      </c>
      <c r="Z33" s="120">
        <f t="shared" si="4"/>
        <v>0</v>
      </c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</row>
    <row r="34" ht="15.75" customHeight="1">
      <c r="A34" s="115">
        <v>55.0</v>
      </c>
      <c r="B34" s="116" t="s">
        <v>289</v>
      </c>
      <c r="C34" s="110" t="s">
        <v>290</v>
      </c>
      <c r="D34" s="117" t="s">
        <v>32</v>
      </c>
      <c r="E34" s="117" t="s">
        <v>32</v>
      </c>
      <c r="F34" s="118" t="s">
        <v>32</v>
      </c>
      <c r="G34" s="118"/>
      <c r="H34" s="118" t="s">
        <v>32</v>
      </c>
      <c r="I34" s="118" t="s">
        <v>32</v>
      </c>
      <c r="J34" s="118" t="s">
        <v>32</v>
      </c>
      <c r="K34" s="118"/>
      <c r="L34" s="118" t="s">
        <v>31</v>
      </c>
      <c r="M34" s="118" t="s">
        <v>32</v>
      </c>
      <c r="N34" s="118"/>
      <c r="O34" s="118"/>
      <c r="P34" s="118"/>
      <c r="Q34" s="118" t="s">
        <v>32</v>
      </c>
      <c r="R34" s="118"/>
      <c r="S34" s="118"/>
      <c r="T34" s="118"/>
      <c r="U34" s="118"/>
      <c r="V34" s="118"/>
      <c r="W34" s="119">
        <f t="shared" si="1"/>
        <v>8</v>
      </c>
      <c r="X34" s="119">
        <f t="shared" si="2"/>
        <v>1</v>
      </c>
      <c r="Y34" s="119">
        <f t="shared" si="3"/>
        <v>9</v>
      </c>
      <c r="Z34" s="120">
        <f t="shared" si="4"/>
        <v>88.88888889</v>
      </c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</row>
    <row r="35" ht="15.75" customHeight="1">
      <c r="A35" s="115">
        <v>56.0</v>
      </c>
      <c r="B35" s="116" t="s">
        <v>291</v>
      </c>
      <c r="C35" s="110" t="s">
        <v>292</v>
      </c>
      <c r="D35" s="117" t="s">
        <v>32</v>
      </c>
      <c r="E35" s="117" t="s">
        <v>32</v>
      </c>
      <c r="F35" s="118" t="s">
        <v>32</v>
      </c>
      <c r="G35" s="118"/>
      <c r="H35" s="118" t="s">
        <v>32</v>
      </c>
      <c r="I35" s="118" t="s">
        <v>32</v>
      </c>
      <c r="J35" s="118" t="s">
        <v>32</v>
      </c>
      <c r="K35" s="118"/>
      <c r="L35" s="118" t="s">
        <v>31</v>
      </c>
      <c r="M35" s="118" t="s">
        <v>32</v>
      </c>
      <c r="N35" s="118"/>
      <c r="O35" s="118"/>
      <c r="P35" s="118"/>
      <c r="Q35" s="118" t="s">
        <v>32</v>
      </c>
      <c r="R35" s="118"/>
      <c r="S35" s="118"/>
      <c r="T35" s="118"/>
      <c r="U35" s="118"/>
      <c r="V35" s="118"/>
      <c r="W35" s="119">
        <f t="shared" si="1"/>
        <v>8</v>
      </c>
      <c r="X35" s="119">
        <f t="shared" si="2"/>
        <v>1</v>
      </c>
      <c r="Y35" s="119">
        <f t="shared" si="3"/>
        <v>9</v>
      </c>
      <c r="Z35" s="120">
        <f t="shared" si="4"/>
        <v>88.88888889</v>
      </c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</row>
    <row r="36" ht="15.75" customHeight="1">
      <c r="A36" s="115">
        <v>57.0</v>
      </c>
      <c r="B36" s="116" t="s">
        <v>293</v>
      </c>
      <c r="C36" s="110" t="s">
        <v>294</v>
      </c>
      <c r="D36" s="117" t="s">
        <v>32</v>
      </c>
      <c r="E36" s="117" t="s">
        <v>32</v>
      </c>
      <c r="F36" s="118" t="s">
        <v>32</v>
      </c>
      <c r="G36" s="118"/>
      <c r="H36" s="118" t="s">
        <v>32</v>
      </c>
      <c r="I36" s="118" t="s">
        <v>32</v>
      </c>
      <c r="J36" s="118" t="s">
        <v>32</v>
      </c>
      <c r="K36" s="118"/>
      <c r="L36" s="118" t="s">
        <v>31</v>
      </c>
      <c r="M36" s="118" t="s">
        <v>32</v>
      </c>
      <c r="N36" s="118"/>
      <c r="O36" s="118"/>
      <c r="P36" s="118"/>
      <c r="Q36" s="118" t="s">
        <v>32</v>
      </c>
      <c r="R36" s="118"/>
      <c r="S36" s="118"/>
      <c r="T36" s="118"/>
      <c r="U36" s="118"/>
      <c r="V36" s="118"/>
      <c r="W36" s="119">
        <f t="shared" si="1"/>
        <v>8</v>
      </c>
      <c r="X36" s="119">
        <f t="shared" si="2"/>
        <v>1</v>
      </c>
      <c r="Y36" s="119">
        <f t="shared" si="3"/>
        <v>9</v>
      </c>
      <c r="Z36" s="120">
        <f t="shared" si="4"/>
        <v>88.88888889</v>
      </c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</row>
    <row r="37" ht="15.75" customHeight="1">
      <c r="A37" s="115">
        <v>58.0</v>
      </c>
      <c r="B37" s="116" t="s">
        <v>295</v>
      </c>
      <c r="C37" s="110" t="s">
        <v>296</v>
      </c>
      <c r="D37" s="117" t="s">
        <v>32</v>
      </c>
      <c r="E37" s="117" t="s">
        <v>32</v>
      </c>
      <c r="F37" s="118" t="s">
        <v>32</v>
      </c>
      <c r="G37" s="118"/>
      <c r="H37" s="118" t="s">
        <v>32</v>
      </c>
      <c r="I37" s="118" t="s">
        <v>31</v>
      </c>
      <c r="J37" s="118" t="s">
        <v>32</v>
      </c>
      <c r="K37" s="118"/>
      <c r="L37" s="118" t="s">
        <v>32</v>
      </c>
      <c r="M37" s="118" t="s">
        <v>32</v>
      </c>
      <c r="N37" s="118"/>
      <c r="O37" s="118"/>
      <c r="P37" s="118"/>
      <c r="Q37" s="118" t="s">
        <v>32</v>
      </c>
      <c r="R37" s="118"/>
      <c r="S37" s="118"/>
      <c r="T37" s="118"/>
      <c r="U37" s="118"/>
      <c r="V37" s="118"/>
      <c r="W37" s="119">
        <f t="shared" si="1"/>
        <v>8</v>
      </c>
      <c r="X37" s="119">
        <f t="shared" si="2"/>
        <v>1</v>
      </c>
      <c r="Y37" s="119">
        <f t="shared" si="3"/>
        <v>9</v>
      </c>
      <c r="Z37" s="120">
        <f t="shared" si="4"/>
        <v>88.88888889</v>
      </c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</row>
    <row r="38" ht="15.75" customHeight="1">
      <c r="A38" s="115">
        <v>60.0</v>
      </c>
      <c r="B38" s="116" t="s">
        <v>297</v>
      </c>
      <c r="C38" s="110" t="s">
        <v>298</v>
      </c>
      <c r="D38" s="117" t="s">
        <v>31</v>
      </c>
      <c r="E38" s="117" t="s">
        <v>31</v>
      </c>
      <c r="F38" s="118" t="s">
        <v>32</v>
      </c>
      <c r="G38" s="118"/>
      <c r="H38" s="118" t="s">
        <v>32</v>
      </c>
      <c r="I38" s="118" t="s">
        <v>32</v>
      </c>
      <c r="J38" s="118" t="s">
        <v>32</v>
      </c>
      <c r="K38" s="118"/>
      <c r="L38" s="118" t="s">
        <v>31</v>
      </c>
      <c r="M38" s="118" t="s">
        <v>32</v>
      </c>
      <c r="N38" s="118"/>
      <c r="O38" s="118"/>
      <c r="P38" s="118"/>
      <c r="Q38" s="118" t="s">
        <v>32</v>
      </c>
      <c r="R38" s="118"/>
      <c r="S38" s="118"/>
      <c r="T38" s="118"/>
      <c r="U38" s="118"/>
      <c r="V38" s="118"/>
      <c r="W38" s="119">
        <f t="shared" si="1"/>
        <v>6</v>
      </c>
      <c r="X38" s="119">
        <f t="shared" si="2"/>
        <v>3</v>
      </c>
      <c r="Y38" s="119">
        <f t="shared" si="3"/>
        <v>9</v>
      </c>
      <c r="Z38" s="120">
        <f t="shared" si="4"/>
        <v>66.66666667</v>
      </c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</row>
    <row r="39" ht="15.75" customHeight="1">
      <c r="A39" s="122">
        <v>61.0</v>
      </c>
      <c r="B39" s="123" t="s">
        <v>317</v>
      </c>
      <c r="C39" s="110" t="s">
        <v>318</v>
      </c>
      <c r="D39" s="117" t="s">
        <v>31</v>
      </c>
      <c r="E39" s="117" t="s">
        <v>31</v>
      </c>
      <c r="F39" s="118" t="s">
        <v>32</v>
      </c>
      <c r="G39" s="118"/>
      <c r="H39" s="118" t="s">
        <v>32</v>
      </c>
      <c r="I39" s="118" t="s">
        <v>32</v>
      </c>
      <c r="J39" s="118" t="s">
        <v>32</v>
      </c>
      <c r="K39" s="118"/>
      <c r="L39" s="118" t="s">
        <v>31</v>
      </c>
      <c r="M39" s="118" t="s">
        <v>32</v>
      </c>
      <c r="N39" s="118"/>
      <c r="O39" s="118"/>
      <c r="P39" s="118"/>
      <c r="Q39" s="118" t="s">
        <v>32</v>
      </c>
      <c r="R39" s="118"/>
      <c r="S39" s="118"/>
      <c r="T39" s="118"/>
      <c r="U39" s="118"/>
      <c r="V39" s="118"/>
      <c r="W39" s="119"/>
      <c r="X39" s="119"/>
      <c r="Y39" s="119"/>
      <c r="Z39" s="12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</row>
    <row r="40" ht="15.75" customHeight="1">
      <c r="A40" s="124"/>
      <c r="B40" s="92"/>
      <c r="C40" s="57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6"/>
      <c r="X40" s="66"/>
      <c r="Y40" s="66"/>
      <c r="Z40" s="71"/>
    </row>
    <row r="41" ht="15.75" customHeight="1">
      <c r="A41" s="72"/>
      <c r="B41" s="72"/>
      <c r="C41" s="48"/>
      <c r="D41" s="73"/>
      <c r="E41" s="73"/>
      <c r="F41" s="48"/>
      <c r="G41" s="48"/>
      <c r="H41" s="73"/>
      <c r="I41" s="73"/>
      <c r="J41" s="73"/>
      <c r="K41" s="73"/>
      <c r="L41" s="73"/>
      <c r="M41" s="73"/>
      <c r="N41" s="73"/>
      <c r="O41" s="73"/>
      <c r="P41" s="73"/>
      <c r="Q41" s="65"/>
      <c r="R41" s="48"/>
      <c r="S41" s="48"/>
      <c r="T41" s="48"/>
      <c r="U41" s="48"/>
      <c r="V41" s="48"/>
      <c r="W41" s="75"/>
      <c r="X41" s="75"/>
      <c r="Y41" s="75"/>
      <c r="Z41" s="76"/>
    </row>
    <row r="42" ht="15.75" customHeight="1">
      <c r="A42" s="72"/>
      <c r="B42" s="72"/>
      <c r="C42" s="48"/>
      <c r="D42" s="73"/>
      <c r="E42" s="73"/>
      <c r="F42" s="48"/>
      <c r="G42" s="48"/>
      <c r="H42" s="73"/>
      <c r="I42" s="73"/>
      <c r="J42" s="73"/>
      <c r="K42" s="73"/>
      <c r="L42" s="73"/>
      <c r="M42" s="73"/>
      <c r="N42" s="73"/>
      <c r="O42" s="73"/>
      <c r="P42" s="73"/>
      <c r="Q42" s="48"/>
      <c r="R42" s="48"/>
      <c r="S42" s="48"/>
      <c r="T42" s="48"/>
      <c r="U42" s="48"/>
      <c r="V42" s="48"/>
      <c r="W42" s="75"/>
      <c r="X42" s="75"/>
      <c r="Y42" s="75"/>
      <c r="Z42" s="76"/>
    </row>
    <row r="43" ht="15.75" customHeight="1">
      <c r="A43" s="72"/>
      <c r="B43" s="72"/>
      <c r="C43" s="35" t="s">
        <v>179</v>
      </c>
      <c r="D43" s="36">
        <f t="shared" ref="D43:V43" si="5">COUNTIF(D11:D39,"P") + COUNTIF(D11:D39, "1")</f>
        <v>19</v>
      </c>
      <c r="E43" s="36">
        <f t="shared" si="5"/>
        <v>24</v>
      </c>
      <c r="F43" s="36">
        <f t="shared" si="5"/>
        <v>27</v>
      </c>
      <c r="G43" s="36">
        <f t="shared" si="5"/>
        <v>0</v>
      </c>
      <c r="H43" s="36">
        <f t="shared" si="5"/>
        <v>28</v>
      </c>
      <c r="I43" s="36">
        <f t="shared" si="5"/>
        <v>25</v>
      </c>
      <c r="J43" s="36">
        <f t="shared" si="5"/>
        <v>25</v>
      </c>
      <c r="K43" s="36">
        <f t="shared" si="5"/>
        <v>0</v>
      </c>
      <c r="L43" s="36">
        <f t="shared" si="5"/>
        <v>7</v>
      </c>
      <c r="M43" s="36">
        <f t="shared" si="5"/>
        <v>26</v>
      </c>
      <c r="N43" s="36">
        <f t="shared" si="5"/>
        <v>0</v>
      </c>
      <c r="O43" s="36">
        <f t="shared" si="5"/>
        <v>0</v>
      </c>
      <c r="P43" s="36">
        <f t="shared" si="5"/>
        <v>0</v>
      </c>
      <c r="Q43" s="36">
        <f t="shared" si="5"/>
        <v>25</v>
      </c>
      <c r="R43" s="36">
        <f t="shared" si="5"/>
        <v>0</v>
      </c>
      <c r="S43" s="36">
        <f t="shared" si="5"/>
        <v>0</v>
      </c>
      <c r="T43" s="36">
        <f t="shared" si="5"/>
        <v>0</v>
      </c>
      <c r="U43" s="36">
        <f t="shared" si="5"/>
        <v>0</v>
      </c>
      <c r="V43" s="36">
        <f t="shared" si="5"/>
        <v>0</v>
      </c>
      <c r="W43" s="36">
        <f t="shared" ref="W43:Y43" si="6">COUNTIF(W10:W42,"P") + COUNTIF(W10:W42, "1")</f>
        <v>0</v>
      </c>
      <c r="X43" s="36">
        <f t="shared" si="6"/>
        <v>12</v>
      </c>
      <c r="Y43" s="36">
        <f t="shared" si="6"/>
        <v>0</v>
      </c>
      <c r="Z43" s="36"/>
    </row>
    <row r="44" ht="15.75" customHeight="1">
      <c r="A44" s="77"/>
      <c r="B44" s="48"/>
      <c r="C44" s="37" t="s">
        <v>180</v>
      </c>
      <c r="D44" s="93">
        <f t="shared" ref="D44:V44" si="7">COUNTIF(D11:D39,"A") + COUNTIF(D11:D39, "1")</f>
        <v>10</v>
      </c>
      <c r="E44" s="93">
        <f t="shared" si="7"/>
        <v>5</v>
      </c>
      <c r="F44" s="93">
        <f t="shared" si="7"/>
        <v>1</v>
      </c>
      <c r="G44" s="93">
        <f t="shared" si="7"/>
        <v>0</v>
      </c>
      <c r="H44" s="93">
        <f t="shared" si="7"/>
        <v>1</v>
      </c>
      <c r="I44" s="93">
        <f t="shared" si="7"/>
        <v>4</v>
      </c>
      <c r="J44" s="93">
        <f t="shared" si="7"/>
        <v>4</v>
      </c>
      <c r="K44" s="93">
        <f t="shared" si="7"/>
        <v>0</v>
      </c>
      <c r="L44" s="93">
        <f t="shared" si="7"/>
        <v>22</v>
      </c>
      <c r="M44" s="93">
        <f t="shared" si="7"/>
        <v>3</v>
      </c>
      <c r="N44" s="93">
        <f t="shared" si="7"/>
        <v>0</v>
      </c>
      <c r="O44" s="93">
        <f t="shared" si="7"/>
        <v>0</v>
      </c>
      <c r="P44" s="93">
        <f t="shared" si="7"/>
        <v>0</v>
      </c>
      <c r="Q44" s="93">
        <f t="shared" si="7"/>
        <v>4</v>
      </c>
      <c r="R44" s="93">
        <f t="shared" si="7"/>
        <v>0</v>
      </c>
      <c r="S44" s="93">
        <f t="shared" si="7"/>
        <v>0</v>
      </c>
      <c r="T44" s="93">
        <f t="shared" si="7"/>
        <v>0</v>
      </c>
      <c r="U44" s="93">
        <f t="shared" si="7"/>
        <v>0</v>
      </c>
      <c r="V44" s="93">
        <f t="shared" si="7"/>
        <v>0</v>
      </c>
      <c r="W44" s="93">
        <f t="shared" ref="W44:Y44" si="8">COUNTIF(W12:W42,"A") + COUNTIF(W12:W42, "1")</f>
        <v>0</v>
      </c>
      <c r="X44" s="93">
        <f t="shared" si="8"/>
        <v>12</v>
      </c>
      <c r="Y44" s="93">
        <f t="shared" si="8"/>
        <v>0</v>
      </c>
      <c r="Z44" s="93"/>
    </row>
    <row r="45" ht="15.75" customHeight="1">
      <c r="A45" s="77"/>
      <c r="B45" s="77"/>
      <c r="C45" s="77"/>
      <c r="D45" s="78"/>
      <c r="E45" s="7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8"/>
      <c r="Y45" s="48"/>
      <c r="Z45" s="79"/>
    </row>
    <row r="46" ht="15.75" customHeight="1">
      <c r="A46" s="77"/>
      <c r="B46" s="77"/>
      <c r="C46" s="125" t="s">
        <v>319</v>
      </c>
      <c r="D46" s="126">
        <f t="shared" ref="D46:G46" si="9">COUNTIF(D12:D38,"P") + COUNTIF(D12:D38, "1")</f>
        <v>18</v>
      </c>
      <c r="E46" s="126">
        <f t="shared" si="9"/>
        <v>23</v>
      </c>
      <c r="F46" s="126">
        <f t="shared" si="9"/>
        <v>26</v>
      </c>
      <c r="G46" s="126">
        <f t="shared" si="9"/>
        <v>0</v>
      </c>
      <c r="H46" s="126">
        <f>COUNTIF(H12:H39,"P") + COUNTIF(H12:H39, "1")</f>
        <v>27</v>
      </c>
      <c r="I46" s="126">
        <f t="shared" ref="I46:J46" si="10">COUNTIF(I12:I38,"P") + COUNTIF(I12:I38, "1")</f>
        <v>23</v>
      </c>
      <c r="J46" s="126">
        <f t="shared" si="10"/>
        <v>23</v>
      </c>
      <c r="K46" s="126"/>
      <c r="L46" s="126"/>
      <c r="M46" s="126">
        <f t="shared" ref="M46:V46" si="11">COUNTIF(M12:M38,"P") + COUNTIF(M12:M38, "1")</f>
        <v>24</v>
      </c>
      <c r="N46" s="126">
        <f t="shared" si="11"/>
        <v>0</v>
      </c>
      <c r="O46" s="126">
        <f t="shared" si="11"/>
        <v>0</v>
      </c>
      <c r="P46" s="126">
        <f t="shared" si="11"/>
        <v>0</v>
      </c>
      <c r="Q46" s="126">
        <f t="shared" si="11"/>
        <v>23</v>
      </c>
      <c r="R46" s="126">
        <f t="shared" si="11"/>
        <v>0</v>
      </c>
      <c r="S46" s="126">
        <f t="shared" si="11"/>
        <v>0</v>
      </c>
      <c r="T46" s="126">
        <f t="shared" si="11"/>
        <v>0</v>
      </c>
      <c r="U46" s="126">
        <f t="shared" si="11"/>
        <v>0</v>
      </c>
      <c r="V46" s="126">
        <f t="shared" si="11"/>
        <v>0</v>
      </c>
      <c r="W46" s="35"/>
      <c r="X46" s="48"/>
      <c r="Y46" s="48"/>
      <c r="Z46" s="79"/>
    </row>
    <row r="47" ht="15.75" customHeight="1">
      <c r="A47" s="77"/>
      <c r="B47" s="127"/>
      <c r="C47" s="125" t="s">
        <v>320</v>
      </c>
      <c r="D47" s="126">
        <f t="shared" ref="D47:G47" si="12">COUNTIF(D12:D38,"A") + COUNTIF(D12:D38, "0")</f>
        <v>9</v>
      </c>
      <c r="E47" s="126">
        <f t="shared" si="12"/>
        <v>4</v>
      </c>
      <c r="F47" s="126">
        <f t="shared" si="12"/>
        <v>1</v>
      </c>
      <c r="G47" s="126">
        <f t="shared" si="12"/>
        <v>0</v>
      </c>
      <c r="H47" s="126">
        <f>COUNTIF(H12:H39,"A") + COUNTIF(H12:H39, "0")</f>
        <v>1</v>
      </c>
      <c r="I47" s="126">
        <f t="shared" ref="I47:J47" si="13">COUNTIF(I12:I38,"A") + COUNTIF(I12:I38, "0")</f>
        <v>4</v>
      </c>
      <c r="J47" s="126">
        <f t="shared" si="13"/>
        <v>4</v>
      </c>
      <c r="K47" s="126"/>
      <c r="L47" s="126"/>
      <c r="M47" s="126">
        <f t="shared" ref="M47:V47" si="14">COUNTIF(M12:M38,"A") + COUNTIF(M12:M38, "0")</f>
        <v>3</v>
      </c>
      <c r="N47" s="126">
        <f t="shared" si="14"/>
        <v>0</v>
      </c>
      <c r="O47" s="126">
        <f t="shared" si="14"/>
        <v>0</v>
      </c>
      <c r="P47" s="126">
        <f t="shared" si="14"/>
        <v>0</v>
      </c>
      <c r="Q47" s="126">
        <f t="shared" si="14"/>
        <v>4</v>
      </c>
      <c r="R47" s="126">
        <f t="shared" si="14"/>
        <v>0</v>
      </c>
      <c r="S47" s="126">
        <f t="shared" si="14"/>
        <v>0</v>
      </c>
      <c r="T47" s="126">
        <f t="shared" si="14"/>
        <v>0</v>
      </c>
      <c r="U47" s="126">
        <f t="shared" si="14"/>
        <v>0</v>
      </c>
      <c r="V47" s="126">
        <f t="shared" si="14"/>
        <v>0</v>
      </c>
      <c r="W47" s="35"/>
      <c r="X47" s="48"/>
      <c r="Y47" s="48"/>
      <c r="Z47" s="7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8:K8"/>
    <mergeCell ref="L8:P8"/>
    <mergeCell ref="D8:G8"/>
    <mergeCell ref="Q8:U8"/>
    <mergeCell ref="A1:AD1"/>
    <mergeCell ref="A2:AD2"/>
    <mergeCell ref="A3:AD3"/>
    <mergeCell ref="A4:AD4"/>
    <mergeCell ref="A5:AD5"/>
    <mergeCell ref="A6:AD6"/>
  </mergeCells>
  <conditionalFormatting sqref="D11:P40 Q11:Q41 R11:V40">
    <cfRule type="containsText" dxfId="2" priority="1" operator="containsText" text="P">
      <formula>NOT(ISERROR(SEARCH(("P"),(D11))))</formula>
    </cfRule>
  </conditionalFormatting>
  <conditionalFormatting sqref="D11:P40 Q11:Q41 R11:V40">
    <cfRule type="containsText" dxfId="3" priority="2" operator="containsText" text="A">
      <formula>NOT(ISERROR(SEARCH(("A"),(D11))))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1.29"/>
    <col customWidth="1" min="3" max="3" width="37.14"/>
    <col customWidth="1" min="4" max="4" width="5.14"/>
    <col customWidth="1" min="5" max="5" width="6.14"/>
    <col customWidth="1" min="6" max="7" width="6.43"/>
    <col customWidth="1" min="8" max="8" width="6.57"/>
    <col customWidth="1" min="9" max="9" width="6.29"/>
    <col customWidth="1" min="10" max="10" width="5.14"/>
    <col customWidth="1" min="11" max="11" width="6.29"/>
    <col customWidth="1" min="12" max="12" width="5.71"/>
    <col customWidth="1" min="13" max="14" width="6.71"/>
    <col customWidth="1" min="15" max="16" width="6.57"/>
    <col customWidth="1" min="17" max="17" width="6.14"/>
    <col customWidth="1" min="18" max="19" width="5.71"/>
    <col customWidth="1" min="20" max="20" width="6.29"/>
    <col customWidth="1" min="21" max="21" width="6.57"/>
    <col customWidth="1" min="22" max="22" width="7.14"/>
    <col customWidth="1" min="23" max="23" width="7.57"/>
    <col customWidth="1" min="24" max="24" width="7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128"/>
      <c r="AF1" s="128"/>
      <c r="AG1" s="128"/>
      <c r="AH1" s="128"/>
      <c r="AI1" s="128"/>
      <c r="AJ1" s="128"/>
      <c r="AK1" s="128"/>
      <c r="AL1" s="128"/>
      <c r="AM1" s="128"/>
      <c r="AN1" s="129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128"/>
      <c r="AF2" s="128"/>
      <c r="AG2" s="128"/>
      <c r="AH2" s="128"/>
      <c r="AI2" s="128"/>
      <c r="AJ2" s="128"/>
      <c r="AK2" s="128"/>
      <c r="AL2" s="128"/>
      <c r="AM2" s="128"/>
      <c r="AN2" s="129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128"/>
      <c r="AF3" s="128"/>
      <c r="AG3" s="128"/>
      <c r="AH3" s="128"/>
      <c r="AI3" s="128"/>
      <c r="AJ3" s="128"/>
      <c r="AK3" s="128"/>
      <c r="AL3" s="128"/>
      <c r="AM3" s="128"/>
      <c r="AN3" s="129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  <c r="AE4" s="128"/>
      <c r="AF4" s="128"/>
      <c r="AG4" s="128"/>
      <c r="AH4" s="128"/>
      <c r="AI4" s="128"/>
      <c r="AJ4" s="128"/>
      <c r="AK4" s="128"/>
      <c r="AL4" s="128"/>
      <c r="AM4" s="128"/>
      <c r="AN4" s="129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128"/>
      <c r="AF5" s="128"/>
      <c r="AG5" s="128"/>
      <c r="AH5" s="128"/>
      <c r="AI5" s="128"/>
      <c r="AJ5" s="128"/>
      <c r="AK5" s="128"/>
      <c r="AL5" s="128"/>
      <c r="AM5" s="128"/>
      <c r="AN5" s="129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"/>
      <c r="AE6" s="128"/>
      <c r="AF6" s="128"/>
      <c r="AG6" s="128"/>
      <c r="AH6" s="128"/>
      <c r="AI6" s="128"/>
      <c r="AJ6" s="128"/>
      <c r="AK6" s="128"/>
      <c r="AL6" s="128"/>
      <c r="AM6" s="128"/>
      <c r="AN6" s="129"/>
    </row>
    <row r="7">
      <c r="A7" s="97"/>
      <c r="B7" s="97"/>
      <c r="C7" s="97"/>
      <c r="D7" s="97"/>
      <c r="E7" s="97"/>
      <c r="F7" s="97"/>
      <c r="G7" s="97"/>
      <c r="H7" s="98"/>
      <c r="I7" s="98"/>
      <c r="J7" s="98"/>
      <c r="K7" s="98"/>
      <c r="L7" s="98"/>
      <c r="M7" s="98"/>
      <c r="N7" s="98"/>
      <c r="O7" s="109"/>
      <c r="P7" s="109"/>
      <c r="Q7" s="98"/>
      <c r="R7" s="98"/>
      <c r="S7" s="98"/>
      <c r="T7" s="98"/>
      <c r="U7" s="98"/>
      <c r="V7" s="98"/>
      <c r="W7" s="98"/>
      <c r="X7" s="98"/>
      <c r="Y7" s="98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</row>
    <row r="8">
      <c r="A8" s="97"/>
      <c r="B8" s="97"/>
      <c r="C8" s="97"/>
      <c r="D8" s="103" t="s">
        <v>313</v>
      </c>
      <c r="E8" s="2"/>
      <c r="F8" s="2"/>
      <c r="G8" s="2"/>
      <c r="H8" s="2"/>
      <c r="I8" s="103" t="s">
        <v>321</v>
      </c>
      <c r="J8" s="2"/>
      <c r="K8" s="3"/>
      <c r="L8" s="104" t="s">
        <v>322</v>
      </c>
      <c r="M8" s="46"/>
      <c r="N8" s="46"/>
      <c r="O8" s="47"/>
      <c r="P8" s="104" t="s">
        <v>304</v>
      </c>
      <c r="Q8" s="46"/>
      <c r="R8" s="46"/>
      <c r="S8" s="46"/>
      <c r="T8" s="47"/>
      <c r="U8" s="113"/>
      <c r="V8" s="113" t="s">
        <v>10</v>
      </c>
      <c r="W8" s="113" t="s">
        <v>11</v>
      </c>
      <c r="X8" s="113" t="s">
        <v>12</v>
      </c>
      <c r="Y8" s="113" t="s">
        <v>182</v>
      </c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</row>
    <row r="9">
      <c r="A9" s="98"/>
      <c r="B9" s="98"/>
      <c r="C9" s="98"/>
      <c r="D9" s="107">
        <v>4.0</v>
      </c>
      <c r="E9" s="107">
        <v>11.0</v>
      </c>
      <c r="F9" s="107">
        <v>18.0</v>
      </c>
      <c r="G9" s="107">
        <v>20.0</v>
      </c>
      <c r="H9" s="107"/>
      <c r="I9" s="107">
        <v>3.0</v>
      </c>
      <c r="J9" s="107">
        <v>10.0</v>
      </c>
      <c r="K9" s="107">
        <v>17.0</v>
      </c>
      <c r="L9" s="131">
        <v>15.0</v>
      </c>
      <c r="M9" s="107">
        <v>8.0</v>
      </c>
      <c r="N9" s="107">
        <v>29.0</v>
      </c>
      <c r="O9" s="107"/>
      <c r="P9" s="107">
        <v>12.0</v>
      </c>
      <c r="Q9" s="113"/>
      <c r="R9" s="113"/>
      <c r="S9" s="107"/>
      <c r="T9" s="107"/>
      <c r="U9" s="107"/>
      <c r="V9" s="113"/>
      <c r="W9" s="113"/>
      <c r="X9" s="113"/>
      <c r="Y9" s="113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</row>
    <row r="10">
      <c r="A10" s="132" t="s">
        <v>26</v>
      </c>
      <c r="B10" s="133" t="s">
        <v>27</v>
      </c>
      <c r="C10" s="133" t="s">
        <v>28</v>
      </c>
      <c r="D10" s="117"/>
      <c r="E10" s="117"/>
      <c r="F10" s="118"/>
      <c r="G10" s="118"/>
      <c r="H10" s="118"/>
      <c r="I10" s="118"/>
      <c r="J10" s="134"/>
      <c r="K10" s="118"/>
      <c r="L10" s="134"/>
      <c r="M10" s="134"/>
      <c r="N10" s="134"/>
      <c r="O10" s="118"/>
      <c r="P10" s="118"/>
      <c r="Q10" s="118"/>
      <c r="R10" s="118"/>
      <c r="S10" s="113"/>
      <c r="T10" s="113"/>
      <c r="U10" s="113"/>
      <c r="V10" s="113"/>
      <c r="W10" s="113"/>
      <c r="X10" s="113"/>
      <c r="Y10" s="113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</row>
    <row r="11">
      <c r="A11" s="115">
        <v>1.0</v>
      </c>
      <c r="B11" s="135" t="s">
        <v>183</v>
      </c>
      <c r="C11" s="136" t="s">
        <v>184</v>
      </c>
      <c r="D11" s="117" t="s">
        <v>32</v>
      </c>
      <c r="E11" s="117" t="s">
        <v>32</v>
      </c>
      <c r="F11" s="118" t="s">
        <v>32</v>
      </c>
      <c r="G11" s="118" t="s">
        <v>31</v>
      </c>
      <c r="H11" s="118"/>
      <c r="I11" s="118" t="s">
        <v>31</v>
      </c>
      <c r="J11" s="118" t="s">
        <v>32</v>
      </c>
      <c r="K11" s="118" t="s">
        <v>31</v>
      </c>
      <c r="L11" s="134" t="s">
        <v>32</v>
      </c>
      <c r="M11" s="134" t="s">
        <v>32</v>
      </c>
      <c r="N11" s="134" t="s">
        <v>31</v>
      </c>
      <c r="O11" s="118"/>
      <c r="P11" s="118" t="s">
        <v>32</v>
      </c>
      <c r="Q11" s="118"/>
      <c r="R11" s="118"/>
      <c r="S11" s="118"/>
      <c r="T11" s="118"/>
      <c r="U11" s="118"/>
      <c r="V11" s="119">
        <f t="shared" ref="V11:V40" si="1">COUNTIF(D11:U11,"P") + COUNTIF(D11:U11, "1")</f>
        <v>7</v>
      </c>
      <c r="W11" s="119">
        <f t="shared" ref="W11:W40" si="2">COUNTIF(D11:U11,"A") + COUNTIF(D11:U11,"0")</f>
        <v>4</v>
      </c>
      <c r="X11" s="119">
        <f t="shared" ref="X11:X40" si="3">SUM(V11:W11)</f>
        <v>11</v>
      </c>
      <c r="Y11" s="137">
        <f t="shared" ref="Y11:Y40" si="4">(V11/X11)*100</f>
        <v>63.63636364</v>
      </c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</row>
    <row r="12">
      <c r="A12" s="115">
        <v>2.0</v>
      </c>
      <c r="B12" s="116" t="s">
        <v>185</v>
      </c>
      <c r="C12" s="139" t="s">
        <v>186</v>
      </c>
      <c r="D12" s="117" t="s">
        <v>32</v>
      </c>
      <c r="E12" s="117" t="s">
        <v>32</v>
      </c>
      <c r="F12" s="118" t="s">
        <v>32</v>
      </c>
      <c r="G12" s="118" t="s">
        <v>32</v>
      </c>
      <c r="H12" s="118"/>
      <c r="I12" s="118" t="s">
        <v>31</v>
      </c>
      <c r="J12" s="118" t="s">
        <v>32</v>
      </c>
      <c r="K12" s="118" t="s">
        <v>31</v>
      </c>
      <c r="L12" s="134" t="s">
        <v>32</v>
      </c>
      <c r="M12" s="134" t="s">
        <v>31</v>
      </c>
      <c r="N12" s="134" t="s">
        <v>31</v>
      </c>
      <c r="O12" s="118"/>
      <c r="P12" s="118" t="s">
        <v>32</v>
      </c>
      <c r="Q12" s="118"/>
      <c r="R12" s="118"/>
      <c r="S12" s="118"/>
      <c r="T12" s="118"/>
      <c r="U12" s="118"/>
      <c r="V12" s="119">
        <f t="shared" si="1"/>
        <v>7</v>
      </c>
      <c r="W12" s="119">
        <f t="shared" si="2"/>
        <v>4</v>
      </c>
      <c r="X12" s="119">
        <f t="shared" si="3"/>
        <v>11</v>
      </c>
      <c r="Y12" s="137">
        <f t="shared" si="4"/>
        <v>63.63636364</v>
      </c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</row>
    <row r="13">
      <c r="A13" s="115">
        <v>3.0</v>
      </c>
      <c r="B13" s="116" t="s">
        <v>187</v>
      </c>
      <c r="C13" s="139" t="s">
        <v>188</v>
      </c>
      <c r="D13" s="117" t="s">
        <v>32</v>
      </c>
      <c r="E13" s="117" t="s">
        <v>32</v>
      </c>
      <c r="F13" s="118" t="s">
        <v>32</v>
      </c>
      <c r="G13" s="118" t="s">
        <v>32</v>
      </c>
      <c r="H13" s="118"/>
      <c r="I13" s="118" t="s">
        <v>32</v>
      </c>
      <c r="J13" s="118" t="s">
        <v>32</v>
      </c>
      <c r="K13" s="118" t="s">
        <v>32</v>
      </c>
      <c r="L13" s="134" t="s">
        <v>32</v>
      </c>
      <c r="M13" s="134" t="s">
        <v>32</v>
      </c>
      <c r="N13" s="22" t="s">
        <v>32</v>
      </c>
      <c r="O13" s="118"/>
      <c r="P13" s="118" t="s">
        <v>32</v>
      </c>
      <c r="Q13" s="118"/>
      <c r="R13" s="118"/>
      <c r="S13" s="118"/>
      <c r="T13" s="118"/>
      <c r="U13" s="118"/>
      <c r="V13" s="119">
        <f t="shared" si="1"/>
        <v>11</v>
      </c>
      <c r="W13" s="119">
        <f t="shared" si="2"/>
        <v>0</v>
      </c>
      <c r="X13" s="119">
        <f t="shared" si="3"/>
        <v>11</v>
      </c>
      <c r="Y13" s="137">
        <f t="shared" si="4"/>
        <v>100</v>
      </c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</row>
    <row r="14">
      <c r="A14" s="115">
        <v>4.0</v>
      </c>
      <c r="B14" s="116" t="s">
        <v>189</v>
      </c>
      <c r="C14" s="139" t="s">
        <v>190</v>
      </c>
      <c r="D14" s="117" t="s">
        <v>32</v>
      </c>
      <c r="E14" s="117" t="s">
        <v>32</v>
      </c>
      <c r="F14" s="118" t="s">
        <v>32</v>
      </c>
      <c r="G14" s="118" t="s">
        <v>32</v>
      </c>
      <c r="H14" s="118"/>
      <c r="I14" s="118" t="s">
        <v>31</v>
      </c>
      <c r="J14" s="118" t="s">
        <v>32</v>
      </c>
      <c r="K14" s="118" t="s">
        <v>32</v>
      </c>
      <c r="L14" s="134" t="s">
        <v>32</v>
      </c>
      <c r="M14" s="134" t="s">
        <v>32</v>
      </c>
      <c r="N14" s="22" t="s">
        <v>32</v>
      </c>
      <c r="O14" s="118"/>
      <c r="P14" s="118" t="s">
        <v>32</v>
      </c>
      <c r="Q14" s="118"/>
      <c r="R14" s="118"/>
      <c r="S14" s="118"/>
      <c r="T14" s="118"/>
      <c r="U14" s="118"/>
      <c r="V14" s="119">
        <f t="shared" si="1"/>
        <v>10</v>
      </c>
      <c r="W14" s="119">
        <f t="shared" si="2"/>
        <v>1</v>
      </c>
      <c r="X14" s="119">
        <f t="shared" si="3"/>
        <v>11</v>
      </c>
      <c r="Y14" s="137">
        <f t="shared" si="4"/>
        <v>90.90909091</v>
      </c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</row>
    <row r="15">
      <c r="A15" s="115">
        <v>5.0</v>
      </c>
      <c r="B15" s="116" t="s">
        <v>191</v>
      </c>
      <c r="C15" s="139" t="s">
        <v>192</v>
      </c>
      <c r="D15" s="117" t="s">
        <v>32</v>
      </c>
      <c r="E15" s="117" t="s">
        <v>32</v>
      </c>
      <c r="F15" s="118" t="s">
        <v>32</v>
      </c>
      <c r="G15" s="118" t="s">
        <v>32</v>
      </c>
      <c r="H15" s="118"/>
      <c r="I15" s="118" t="s">
        <v>32</v>
      </c>
      <c r="J15" s="118" t="s">
        <v>32</v>
      </c>
      <c r="K15" s="118" t="s">
        <v>32</v>
      </c>
      <c r="L15" s="134" t="s">
        <v>32</v>
      </c>
      <c r="M15" s="134" t="s">
        <v>32</v>
      </c>
      <c r="N15" s="22" t="s">
        <v>32</v>
      </c>
      <c r="O15" s="118"/>
      <c r="P15" s="118" t="s">
        <v>32</v>
      </c>
      <c r="Q15" s="118"/>
      <c r="R15" s="118"/>
      <c r="S15" s="118"/>
      <c r="T15" s="118"/>
      <c r="U15" s="118"/>
      <c r="V15" s="119">
        <f t="shared" si="1"/>
        <v>11</v>
      </c>
      <c r="W15" s="119">
        <f t="shared" si="2"/>
        <v>0</v>
      </c>
      <c r="X15" s="119">
        <f t="shared" si="3"/>
        <v>11</v>
      </c>
      <c r="Y15" s="137">
        <f t="shared" si="4"/>
        <v>100</v>
      </c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</row>
    <row r="16">
      <c r="A16" s="115">
        <v>6.0</v>
      </c>
      <c r="B16" s="116" t="s">
        <v>193</v>
      </c>
      <c r="C16" s="139" t="s">
        <v>194</v>
      </c>
      <c r="D16" s="117" t="s">
        <v>31</v>
      </c>
      <c r="E16" s="117" t="s">
        <v>32</v>
      </c>
      <c r="F16" s="118" t="s">
        <v>31</v>
      </c>
      <c r="G16" s="118" t="s">
        <v>32</v>
      </c>
      <c r="H16" s="118"/>
      <c r="I16" s="118" t="s">
        <v>32</v>
      </c>
      <c r="J16" s="118" t="s">
        <v>32</v>
      </c>
      <c r="K16" s="118" t="s">
        <v>32</v>
      </c>
      <c r="L16" s="134" t="s">
        <v>31</v>
      </c>
      <c r="M16" s="134" t="s">
        <v>32</v>
      </c>
      <c r="N16" s="22" t="s">
        <v>32</v>
      </c>
      <c r="O16" s="118"/>
      <c r="P16" s="118" t="s">
        <v>31</v>
      </c>
      <c r="Q16" s="118"/>
      <c r="R16" s="118"/>
      <c r="S16" s="118"/>
      <c r="T16" s="118"/>
      <c r="U16" s="118"/>
      <c r="V16" s="119">
        <f t="shared" si="1"/>
        <v>7</v>
      </c>
      <c r="W16" s="119">
        <f t="shared" si="2"/>
        <v>4</v>
      </c>
      <c r="X16" s="119">
        <f t="shared" si="3"/>
        <v>11</v>
      </c>
      <c r="Y16" s="137">
        <f t="shared" si="4"/>
        <v>63.63636364</v>
      </c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</row>
    <row r="17">
      <c r="A17" s="115">
        <v>7.0</v>
      </c>
      <c r="B17" s="116" t="s">
        <v>195</v>
      </c>
      <c r="C17" s="139" t="s">
        <v>196</v>
      </c>
      <c r="D17" s="117" t="s">
        <v>32</v>
      </c>
      <c r="E17" s="117" t="s">
        <v>31</v>
      </c>
      <c r="F17" s="118" t="s">
        <v>31</v>
      </c>
      <c r="G17" s="118" t="s">
        <v>32</v>
      </c>
      <c r="H17" s="118"/>
      <c r="I17" s="118" t="s">
        <v>32</v>
      </c>
      <c r="J17" s="118" t="s">
        <v>32</v>
      </c>
      <c r="K17" s="118" t="s">
        <v>32</v>
      </c>
      <c r="L17" s="134" t="s">
        <v>31</v>
      </c>
      <c r="M17" s="134" t="s">
        <v>32</v>
      </c>
      <c r="N17" s="134" t="s">
        <v>31</v>
      </c>
      <c r="O17" s="118"/>
      <c r="P17" s="118" t="s">
        <v>32</v>
      </c>
      <c r="Q17" s="118"/>
      <c r="R17" s="118"/>
      <c r="S17" s="118"/>
      <c r="T17" s="118"/>
      <c r="U17" s="118"/>
      <c r="V17" s="119">
        <f t="shared" si="1"/>
        <v>7</v>
      </c>
      <c r="W17" s="119">
        <f t="shared" si="2"/>
        <v>4</v>
      </c>
      <c r="X17" s="119">
        <f t="shared" si="3"/>
        <v>11</v>
      </c>
      <c r="Y17" s="137">
        <f t="shared" si="4"/>
        <v>63.63636364</v>
      </c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</row>
    <row r="18">
      <c r="A18" s="115">
        <v>8.0</v>
      </c>
      <c r="B18" s="116" t="s">
        <v>197</v>
      </c>
      <c r="C18" s="139" t="s">
        <v>198</v>
      </c>
      <c r="D18" s="117" t="s">
        <v>32</v>
      </c>
      <c r="E18" s="117" t="s">
        <v>32</v>
      </c>
      <c r="F18" s="118" t="s">
        <v>32</v>
      </c>
      <c r="G18" s="118" t="s">
        <v>32</v>
      </c>
      <c r="H18" s="118"/>
      <c r="I18" s="118" t="s">
        <v>32</v>
      </c>
      <c r="J18" s="118" t="s">
        <v>32</v>
      </c>
      <c r="K18" s="118" t="s">
        <v>32</v>
      </c>
      <c r="L18" s="134" t="s">
        <v>32</v>
      </c>
      <c r="M18" s="134" t="s">
        <v>32</v>
      </c>
      <c r="N18" s="134" t="s">
        <v>31</v>
      </c>
      <c r="O18" s="118"/>
      <c r="P18" s="118" t="s">
        <v>32</v>
      </c>
      <c r="Q18" s="118"/>
      <c r="R18" s="118"/>
      <c r="S18" s="118"/>
      <c r="T18" s="118"/>
      <c r="U18" s="118"/>
      <c r="V18" s="119">
        <f t="shared" si="1"/>
        <v>10</v>
      </c>
      <c r="W18" s="119">
        <f t="shared" si="2"/>
        <v>1</v>
      </c>
      <c r="X18" s="119">
        <f t="shared" si="3"/>
        <v>11</v>
      </c>
      <c r="Y18" s="137">
        <f t="shared" si="4"/>
        <v>90.90909091</v>
      </c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</row>
    <row r="19">
      <c r="A19" s="115">
        <v>9.0</v>
      </c>
      <c r="B19" s="116" t="s">
        <v>199</v>
      </c>
      <c r="C19" s="139" t="s">
        <v>200</v>
      </c>
      <c r="D19" s="117" t="s">
        <v>32</v>
      </c>
      <c r="E19" s="117" t="s">
        <v>31</v>
      </c>
      <c r="F19" s="118" t="s">
        <v>32</v>
      </c>
      <c r="G19" s="118" t="s">
        <v>32</v>
      </c>
      <c r="H19" s="118"/>
      <c r="I19" s="118" t="s">
        <v>32</v>
      </c>
      <c r="J19" s="118" t="s">
        <v>32</v>
      </c>
      <c r="K19" s="118" t="s">
        <v>31</v>
      </c>
      <c r="L19" s="134" t="s">
        <v>32</v>
      </c>
      <c r="M19" s="134" t="s">
        <v>32</v>
      </c>
      <c r="N19" s="22" t="s">
        <v>32</v>
      </c>
      <c r="O19" s="118"/>
      <c r="P19" s="118" t="s">
        <v>31</v>
      </c>
      <c r="Q19" s="118"/>
      <c r="R19" s="118"/>
      <c r="S19" s="118"/>
      <c r="T19" s="118"/>
      <c r="U19" s="118"/>
      <c r="V19" s="119">
        <f t="shared" si="1"/>
        <v>8</v>
      </c>
      <c r="W19" s="119">
        <f t="shared" si="2"/>
        <v>3</v>
      </c>
      <c r="X19" s="119">
        <f t="shared" si="3"/>
        <v>11</v>
      </c>
      <c r="Y19" s="137">
        <f t="shared" si="4"/>
        <v>72.72727273</v>
      </c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</row>
    <row r="20">
      <c r="A20" s="115">
        <v>10.0</v>
      </c>
      <c r="B20" s="116" t="s">
        <v>201</v>
      </c>
      <c r="C20" s="139" t="s">
        <v>202</v>
      </c>
      <c r="D20" s="117" t="s">
        <v>32</v>
      </c>
      <c r="E20" s="117" t="s">
        <v>32</v>
      </c>
      <c r="F20" s="118" t="s">
        <v>32</v>
      </c>
      <c r="G20" s="118" t="s">
        <v>31</v>
      </c>
      <c r="H20" s="118"/>
      <c r="I20" s="118" t="s">
        <v>32</v>
      </c>
      <c r="J20" s="118" t="s">
        <v>32</v>
      </c>
      <c r="K20" s="118" t="s">
        <v>32</v>
      </c>
      <c r="L20" s="134" t="s">
        <v>31</v>
      </c>
      <c r="M20" s="134" t="s">
        <v>32</v>
      </c>
      <c r="N20" s="134" t="s">
        <v>31</v>
      </c>
      <c r="O20" s="118"/>
      <c r="P20" s="118" t="s">
        <v>32</v>
      </c>
      <c r="Q20" s="118"/>
      <c r="R20" s="118"/>
      <c r="S20" s="118"/>
      <c r="T20" s="118"/>
      <c r="U20" s="118"/>
      <c r="V20" s="119">
        <f t="shared" si="1"/>
        <v>8</v>
      </c>
      <c r="W20" s="119">
        <f t="shared" si="2"/>
        <v>3</v>
      </c>
      <c r="X20" s="119">
        <f t="shared" si="3"/>
        <v>11</v>
      </c>
      <c r="Y20" s="137">
        <f t="shared" si="4"/>
        <v>72.72727273</v>
      </c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</row>
    <row r="21" ht="15.75" customHeight="1">
      <c r="A21" s="115">
        <v>11.0</v>
      </c>
      <c r="B21" s="116" t="s">
        <v>203</v>
      </c>
      <c r="C21" s="139" t="s">
        <v>204</v>
      </c>
      <c r="D21" s="117" t="s">
        <v>32</v>
      </c>
      <c r="E21" s="117" t="s">
        <v>32</v>
      </c>
      <c r="F21" s="118" t="s">
        <v>32</v>
      </c>
      <c r="G21" s="118" t="s">
        <v>31</v>
      </c>
      <c r="H21" s="118"/>
      <c r="I21" s="118" t="s">
        <v>32</v>
      </c>
      <c r="J21" s="118" t="s">
        <v>32</v>
      </c>
      <c r="K21" s="118" t="s">
        <v>31</v>
      </c>
      <c r="L21" s="134" t="s">
        <v>31</v>
      </c>
      <c r="M21" s="134" t="s">
        <v>32</v>
      </c>
      <c r="N21" s="134" t="s">
        <v>31</v>
      </c>
      <c r="O21" s="118"/>
      <c r="P21" s="118" t="s">
        <v>32</v>
      </c>
      <c r="Q21" s="118"/>
      <c r="R21" s="118"/>
      <c r="S21" s="118"/>
      <c r="T21" s="118"/>
      <c r="U21" s="118"/>
      <c r="V21" s="119">
        <f t="shared" si="1"/>
        <v>7</v>
      </c>
      <c r="W21" s="119">
        <f t="shared" si="2"/>
        <v>4</v>
      </c>
      <c r="X21" s="119">
        <f t="shared" si="3"/>
        <v>11</v>
      </c>
      <c r="Y21" s="137">
        <f t="shared" si="4"/>
        <v>63.63636364</v>
      </c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</row>
    <row r="22" ht="15.75" customHeight="1">
      <c r="A22" s="115">
        <v>12.0</v>
      </c>
      <c r="B22" s="116" t="s">
        <v>205</v>
      </c>
      <c r="C22" s="139" t="s">
        <v>206</v>
      </c>
      <c r="D22" s="117" t="s">
        <v>32</v>
      </c>
      <c r="E22" s="117" t="s">
        <v>32</v>
      </c>
      <c r="F22" s="118" t="s">
        <v>31</v>
      </c>
      <c r="G22" s="118" t="s">
        <v>32</v>
      </c>
      <c r="H22" s="118"/>
      <c r="I22" s="118" t="s">
        <v>32</v>
      </c>
      <c r="J22" s="118" t="s">
        <v>32</v>
      </c>
      <c r="K22" s="118" t="s">
        <v>32</v>
      </c>
      <c r="L22" s="134" t="s">
        <v>31</v>
      </c>
      <c r="M22" s="134" t="s">
        <v>31</v>
      </c>
      <c r="N22" s="134" t="s">
        <v>31</v>
      </c>
      <c r="O22" s="118"/>
      <c r="P22" s="118" t="s">
        <v>32</v>
      </c>
      <c r="Q22" s="118"/>
      <c r="R22" s="118"/>
      <c r="S22" s="118"/>
      <c r="T22" s="118"/>
      <c r="U22" s="118"/>
      <c r="V22" s="119">
        <f t="shared" si="1"/>
        <v>7</v>
      </c>
      <c r="W22" s="119">
        <f t="shared" si="2"/>
        <v>4</v>
      </c>
      <c r="X22" s="119">
        <f t="shared" si="3"/>
        <v>11</v>
      </c>
      <c r="Y22" s="137">
        <f t="shared" si="4"/>
        <v>63.63636364</v>
      </c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</row>
    <row r="23" ht="15.75" customHeight="1">
      <c r="A23" s="115">
        <v>13.0</v>
      </c>
      <c r="B23" s="116" t="s">
        <v>207</v>
      </c>
      <c r="C23" s="139" t="s">
        <v>208</v>
      </c>
      <c r="D23" s="117" t="s">
        <v>32</v>
      </c>
      <c r="E23" s="117" t="s">
        <v>32</v>
      </c>
      <c r="F23" s="118" t="s">
        <v>32</v>
      </c>
      <c r="G23" s="118" t="s">
        <v>32</v>
      </c>
      <c r="H23" s="118"/>
      <c r="I23" s="118" t="s">
        <v>32</v>
      </c>
      <c r="J23" s="118" t="s">
        <v>32</v>
      </c>
      <c r="K23" s="118" t="s">
        <v>32</v>
      </c>
      <c r="L23" s="134" t="s">
        <v>32</v>
      </c>
      <c r="M23" s="134" t="s">
        <v>32</v>
      </c>
      <c r="N23" s="22" t="s">
        <v>32</v>
      </c>
      <c r="O23" s="118"/>
      <c r="P23" s="118" t="s">
        <v>32</v>
      </c>
      <c r="Q23" s="118"/>
      <c r="R23" s="118"/>
      <c r="S23" s="118"/>
      <c r="T23" s="118"/>
      <c r="U23" s="118"/>
      <c r="V23" s="119">
        <f t="shared" si="1"/>
        <v>11</v>
      </c>
      <c r="W23" s="119">
        <f t="shared" si="2"/>
        <v>0</v>
      </c>
      <c r="X23" s="119">
        <f t="shared" si="3"/>
        <v>11</v>
      </c>
      <c r="Y23" s="137">
        <f t="shared" si="4"/>
        <v>100</v>
      </c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</row>
    <row r="24" ht="15.75" customHeight="1">
      <c r="A24" s="115">
        <v>14.0</v>
      </c>
      <c r="B24" s="116" t="s">
        <v>209</v>
      </c>
      <c r="C24" s="139" t="s">
        <v>210</v>
      </c>
      <c r="D24" s="117" t="s">
        <v>32</v>
      </c>
      <c r="E24" s="117" t="s">
        <v>32</v>
      </c>
      <c r="F24" s="118" t="s">
        <v>32</v>
      </c>
      <c r="G24" s="118" t="s">
        <v>32</v>
      </c>
      <c r="H24" s="118"/>
      <c r="I24" s="118" t="s">
        <v>32</v>
      </c>
      <c r="J24" s="118" t="s">
        <v>32</v>
      </c>
      <c r="K24" s="118" t="s">
        <v>32</v>
      </c>
      <c r="L24" s="134" t="s">
        <v>31</v>
      </c>
      <c r="M24" s="134" t="s">
        <v>31</v>
      </c>
      <c r="N24" s="22" t="s">
        <v>32</v>
      </c>
      <c r="O24" s="118"/>
      <c r="P24" s="118" t="s">
        <v>32</v>
      </c>
      <c r="Q24" s="118"/>
      <c r="R24" s="118"/>
      <c r="S24" s="118"/>
      <c r="T24" s="118"/>
      <c r="U24" s="118"/>
      <c r="V24" s="119">
        <f t="shared" si="1"/>
        <v>9</v>
      </c>
      <c r="W24" s="119">
        <f t="shared" si="2"/>
        <v>2</v>
      </c>
      <c r="X24" s="119">
        <f t="shared" si="3"/>
        <v>11</v>
      </c>
      <c r="Y24" s="137">
        <f t="shared" si="4"/>
        <v>81.81818182</v>
      </c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</row>
    <row r="25" ht="15.75" customHeight="1">
      <c r="A25" s="115">
        <v>15.0</v>
      </c>
      <c r="B25" s="116" t="s">
        <v>211</v>
      </c>
      <c r="C25" s="139" t="s">
        <v>212</v>
      </c>
      <c r="D25" s="117" t="s">
        <v>31</v>
      </c>
      <c r="E25" s="117" t="s">
        <v>31</v>
      </c>
      <c r="F25" s="118" t="s">
        <v>31</v>
      </c>
      <c r="G25" s="118" t="s">
        <v>32</v>
      </c>
      <c r="H25" s="118"/>
      <c r="I25" s="118" t="s">
        <v>32</v>
      </c>
      <c r="J25" s="118" t="s">
        <v>32</v>
      </c>
      <c r="K25" s="118" t="s">
        <v>32</v>
      </c>
      <c r="L25" s="134" t="s">
        <v>31</v>
      </c>
      <c r="M25" s="134" t="s">
        <v>31</v>
      </c>
      <c r="N25" s="134" t="s">
        <v>31</v>
      </c>
      <c r="O25" s="118"/>
      <c r="P25" s="118" t="s">
        <v>32</v>
      </c>
      <c r="Q25" s="118"/>
      <c r="R25" s="118"/>
      <c r="S25" s="118"/>
      <c r="T25" s="118"/>
      <c r="U25" s="118"/>
      <c r="V25" s="119">
        <f t="shared" si="1"/>
        <v>5</v>
      </c>
      <c r="W25" s="119">
        <f t="shared" si="2"/>
        <v>6</v>
      </c>
      <c r="X25" s="119">
        <f t="shared" si="3"/>
        <v>11</v>
      </c>
      <c r="Y25" s="137">
        <f t="shared" si="4"/>
        <v>45.45454545</v>
      </c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</row>
    <row r="26" ht="15.75" customHeight="1">
      <c r="A26" s="115">
        <v>16.0</v>
      </c>
      <c r="B26" s="116" t="s">
        <v>213</v>
      </c>
      <c r="C26" s="139" t="s">
        <v>214</v>
      </c>
      <c r="D26" s="117" t="s">
        <v>32</v>
      </c>
      <c r="E26" s="117" t="s">
        <v>32</v>
      </c>
      <c r="F26" s="118" t="s">
        <v>31</v>
      </c>
      <c r="G26" s="118" t="s">
        <v>31</v>
      </c>
      <c r="H26" s="118"/>
      <c r="I26" s="118" t="s">
        <v>31</v>
      </c>
      <c r="J26" s="118" t="s">
        <v>31</v>
      </c>
      <c r="K26" s="118" t="s">
        <v>31</v>
      </c>
      <c r="L26" s="134" t="s">
        <v>31</v>
      </c>
      <c r="M26" s="134" t="s">
        <v>31</v>
      </c>
      <c r="N26" s="134" t="s">
        <v>31</v>
      </c>
      <c r="O26" s="118"/>
      <c r="P26" s="118" t="s">
        <v>31</v>
      </c>
      <c r="Q26" s="118"/>
      <c r="R26" s="118"/>
      <c r="S26" s="118"/>
      <c r="T26" s="118"/>
      <c r="U26" s="118"/>
      <c r="V26" s="119">
        <f t="shared" si="1"/>
        <v>2</v>
      </c>
      <c r="W26" s="119">
        <f t="shared" si="2"/>
        <v>9</v>
      </c>
      <c r="X26" s="119">
        <f t="shared" si="3"/>
        <v>11</v>
      </c>
      <c r="Y26" s="137">
        <f t="shared" si="4"/>
        <v>18.18181818</v>
      </c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</row>
    <row r="27" ht="15.75" customHeight="1">
      <c r="A27" s="115">
        <v>17.0</v>
      </c>
      <c r="B27" s="116" t="s">
        <v>215</v>
      </c>
      <c r="C27" s="139" t="s">
        <v>216</v>
      </c>
      <c r="D27" s="117" t="s">
        <v>32</v>
      </c>
      <c r="E27" s="117" t="s">
        <v>32</v>
      </c>
      <c r="F27" s="118" t="s">
        <v>32</v>
      </c>
      <c r="G27" s="118" t="s">
        <v>32</v>
      </c>
      <c r="H27" s="118"/>
      <c r="I27" s="118" t="s">
        <v>32</v>
      </c>
      <c r="J27" s="118" t="s">
        <v>32</v>
      </c>
      <c r="K27" s="118" t="s">
        <v>32</v>
      </c>
      <c r="L27" s="134" t="s">
        <v>32</v>
      </c>
      <c r="M27" s="134" t="s">
        <v>32</v>
      </c>
      <c r="N27" s="134" t="s">
        <v>31</v>
      </c>
      <c r="O27" s="118"/>
      <c r="P27" s="118" t="s">
        <v>31</v>
      </c>
      <c r="Q27" s="118"/>
      <c r="R27" s="118"/>
      <c r="S27" s="118"/>
      <c r="T27" s="118"/>
      <c r="U27" s="118"/>
      <c r="V27" s="119">
        <f t="shared" si="1"/>
        <v>9</v>
      </c>
      <c r="W27" s="119">
        <f t="shared" si="2"/>
        <v>2</v>
      </c>
      <c r="X27" s="119">
        <f t="shared" si="3"/>
        <v>11</v>
      </c>
      <c r="Y27" s="137">
        <f t="shared" si="4"/>
        <v>81.81818182</v>
      </c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</row>
    <row r="28" ht="15.75" customHeight="1">
      <c r="A28" s="115">
        <v>18.0</v>
      </c>
      <c r="B28" s="116" t="s">
        <v>217</v>
      </c>
      <c r="C28" s="139" t="s">
        <v>218</v>
      </c>
      <c r="D28" s="117" t="s">
        <v>31</v>
      </c>
      <c r="E28" s="117" t="s">
        <v>31</v>
      </c>
      <c r="F28" s="118" t="s">
        <v>32</v>
      </c>
      <c r="G28" s="118" t="s">
        <v>32</v>
      </c>
      <c r="H28" s="118"/>
      <c r="I28" s="118" t="s">
        <v>32</v>
      </c>
      <c r="J28" s="118" t="s">
        <v>32</v>
      </c>
      <c r="K28" s="118" t="s">
        <v>32</v>
      </c>
      <c r="L28" s="134" t="s">
        <v>32</v>
      </c>
      <c r="M28" s="134" t="s">
        <v>32</v>
      </c>
      <c r="N28" s="22" t="s">
        <v>32</v>
      </c>
      <c r="O28" s="118"/>
      <c r="P28" s="118" t="s">
        <v>32</v>
      </c>
      <c r="Q28" s="118"/>
      <c r="R28" s="118"/>
      <c r="S28" s="118"/>
      <c r="T28" s="118"/>
      <c r="U28" s="118"/>
      <c r="V28" s="119">
        <f t="shared" si="1"/>
        <v>9</v>
      </c>
      <c r="W28" s="119">
        <f t="shared" si="2"/>
        <v>2</v>
      </c>
      <c r="X28" s="119">
        <f t="shared" si="3"/>
        <v>11</v>
      </c>
      <c r="Y28" s="137">
        <f t="shared" si="4"/>
        <v>81.81818182</v>
      </c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</row>
    <row r="29" ht="15.75" customHeight="1">
      <c r="A29" s="115">
        <v>19.0</v>
      </c>
      <c r="B29" s="116" t="s">
        <v>219</v>
      </c>
      <c r="C29" s="139" t="s">
        <v>220</v>
      </c>
      <c r="D29" s="117" t="s">
        <v>32</v>
      </c>
      <c r="E29" s="117" t="s">
        <v>32</v>
      </c>
      <c r="F29" s="118" t="s">
        <v>32</v>
      </c>
      <c r="G29" s="118" t="s">
        <v>32</v>
      </c>
      <c r="H29" s="118"/>
      <c r="I29" s="118" t="s">
        <v>32</v>
      </c>
      <c r="J29" s="118" t="s">
        <v>32</v>
      </c>
      <c r="K29" s="118" t="s">
        <v>32</v>
      </c>
      <c r="L29" s="134" t="s">
        <v>31</v>
      </c>
      <c r="M29" s="134" t="s">
        <v>31</v>
      </c>
      <c r="N29" s="134" t="s">
        <v>31</v>
      </c>
      <c r="O29" s="118"/>
      <c r="P29" s="118" t="s">
        <v>31</v>
      </c>
      <c r="Q29" s="118"/>
      <c r="R29" s="118"/>
      <c r="S29" s="118"/>
      <c r="T29" s="118"/>
      <c r="U29" s="118"/>
      <c r="V29" s="119">
        <f t="shared" si="1"/>
        <v>7</v>
      </c>
      <c r="W29" s="119">
        <f t="shared" si="2"/>
        <v>4</v>
      </c>
      <c r="X29" s="119">
        <f t="shared" si="3"/>
        <v>11</v>
      </c>
      <c r="Y29" s="137">
        <f t="shared" si="4"/>
        <v>63.63636364</v>
      </c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</row>
    <row r="30" ht="15.75" customHeight="1">
      <c r="A30" s="115">
        <v>20.0</v>
      </c>
      <c r="B30" s="116" t="s">
        <v>221</v>
      </c>
      <c r="C30" s="139" t="s">
        <v>222</v>
      </c>
      <c r="D30" s="117" t="s">
        <v>32</v>
      </c>
      <c r="E30" s="117" t="s">
        <v>32</v>
      </c>
      <c r="F30" s="118" t="s">
        <v>32</v>
      </c>
      <c r="G30" s="118" t="s">
        <v>32</v>
      </c>
      <c r="H30" s="118"/>
      <c r="I30" s="118" t="s">
        <v>32</v>
      </c>
      <c r="J30" s="118" t="s">
        <v>32</v>
      </c>
      <c r="K30" s="118" t="s">
        <v>32</v>
      </c>
      <c r="L30" s="134" t="s">
        <v>32</v>
      </c>
      <c r="M30" s="134" t="s">
        <v>32</v>
      </c>
      <c r="N30" s="134" t="s">
        <v>31</v>
      </c>
      <c r="O30" s="118"/>
      <c r="P30" s="118" t="s">
        <v>32</v>
      </c>
      <c r="Q30" s="118"/>
      <c r="R30" s="118"/>
      <c r="S30" s="118"/>
      <c r="T30" s="118"/>
      <c r="U30" s="118"/>
      <c r="V30" s="119">
        <f t="shared" si="1"/>
        <v>10</v>
      </c>
      <c r="W30" s="119">
        <f t="shared" si="2"/>
        <v>1</v>
      </c>
      <c r="X30" s="119">
        <f t="shared" si="3"/>
        <v>11</v>
      </c>
      <c r="Y30" s="137">
        <f t="shared" si="4"/>
        <v>90.90909091</v>
      </c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</row>
    <row r="31" ht="15.75" customHeight="1">
      <c r="A31" s="115">
        <v>21.0</v>
      </c>
      <c r="B31" s="116" t="s">
        <v>223</v>
      </c>
      <c r="C31" s="139" t="s">
        <v>224</v>
      </c>
      <c r="D31" s="117" t="s">
        <v>32</v>
      </c>
      <c r="E31" s="117" t="s">
        <v>32</v>
      </c>
      <c r="F31" s="118" t="s">
        <v>32</v>
      </c>
      <c r="G31" s="118" t="s">
        <v>32</v>
      </c>
      <c r="H31" s="118"/>
      <c r="I31" s="118" t="s">
        <v>31</v>
      </c>
      <c r="J31" s="118" t="s">
        <v>32</v>
      </c>
      <c r="K31" s="118" t="s">
        <v>32</v>
      </c>
      <c r="L31" s="134" t="s">
        <v>31</v>
      </c>
      <c r="M31" s="134" t="s">
        <v>32</v>
      </c>
      <c r="N31" s="22" t="s">
        <v>32</v>
      </c>
      <c r="O31" s="118"/>
      <c r="P31" s="118" t="s">
        <v>32</v>
      </c>
      <c r="Q31" s="118"/>
      <c r="R31" s="118"/>
      <c r="S31" s="118"/>
      <c r="T31" s="118"/>
      <c r="U31" s="118"/>
      <c r="V31" s="119">
        <f t="shared" si="1"/>
        <v>9</v>
      </c>
      <c r="W31" s="119">
        <f t="shared" si="2"/>
        <v>2</v>
      </c>
      <c r="X31" s="119">
        <f t="shared" si="3"/>
        <v>11</v>
      </c>
      <c r="Y31" s="137">
        <f t="shared" si="4"/>
        <v>81.81818182</v>
      </c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</row>
    <row r="32" ht="15.75" customHeight="1">
      <c r="A32" s="115">
        <v>22.0</v>
      </c>
      <c r="B32" s="116" t="s">
        <v>225</v>
      </c>
      <c r="C32" s="139" t="s">
        <v>226</v>
      </c>
      <c r="D32" s="117" t="s">
        <v>32</v>
      </c>
      <c r="E32" s="117" t="s">
        <v>32</v>
      </c>
      <c r="F32" s="118" t="s">
        <v>31</v>
      </c>
      <c r="G32" s="118" t="s">
        <v>31</v>
      </c>
      <c r="H32" s="118"/>
      <c r="I32" s="118" t="s">
        <v>32</v>
      </c>
      <c r="J32" s="118" t="s">
        <v>32</v>
      </c>
      <c r="K32" s="118" t="s">
        <v>32</v>
      </c>
      <c r="L32" s="134" t="s">
        <v>32</v>
      </c>
      <c r="M32" s="134" t="s">
        <v>32</v>
      </c>
      <c r="N32" s="134" t="s">
        <v>31</v>
      </c>
      <c r="O32" s="118"/>
      <c r="P32" s="118" t="s">
        <v>32</v>
      </c>
      <c r="Q32" s="118"/>
      <c r="R32" s="118"/>
      <c r="S32" s="118"/>
      <c r="T32" s="118"/>
      <c r="U32" s="118"/>
      <c r="V32" s="119">
        <f t="shared" si="1"/>
        <v>8</v>
      </c>
      <c r="W32" s="119">
        <f t="shared" si="2"/>
        <v>3</v>
      </c>
      <c r="X32" s="119">
        <f t="shared" si="3"/>
        <v>11</v>
      </c>
      <c r="Y32" s="137">
        <f t="shared" si="4"/>
        <v>72.72727273</v>
      </c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</row>
    <row r="33" ht="15.75" customHeight="1">
      <c r="A33" s="115">
        <v>23.0</v>
      </c>
      <c r="B33" s="116" t="s">
        <v>227</v>
      </c>
      <c r="C33" s="139" t="s">
        <v>228</v>
      </c>
      <c r="D33" s="117" t="s">
        <v>32</v>
      </c>
      <c r="E33" s="117" t="s">
        <v>32</v>
      </c>
      <c r="F33" s="118" t="s">
        <v>32</v>
      </c>
      <c r="G33" s="118" t="s">
        <v>32</v>
      </c>
      <c r="H33" s="118"/>
      <c r="I33" s="118" t="s">
        <v>32</v>
      </c>
      <c r="J33" s="118" t="s">
        <v>32</v>
      </c>
      <c r="K33" s="118" t="s">
        <v>32</v>
      </c>
      <c r="L33" s="134" t="s">
        <v>32</v>
      </c>
      <c r="M33" s="134" t="s">
        <v>32</v>
      </c>
      <c r="N33" s="134" t="s">
        <v>31</v>
      </c>
      <c r="O33" s="118"/>
      <c r="P33" s="118" t="s">
        <v>32</v>
      </c>
      <c r="Q33" s="118"/>
      <c r="R33" s="118"/>
      <c r="S33" s="118"/>
      <c r="T33" s="118"/>
      <c r="U33" s="118"/>
      <c r="V33" s="119">
        <f t="shared" si="1"/>
        <v>10</v>
      </c>
      <c r="W33" s="119">
        <f t="shared" si="2"/>
        <v>1</v>
      </c>
      <c r="X33" s="119">
        <f t="shared" si="3"/>
        <v>11</v>
      </c>
      <c r="Y33" s="137">
        <f t="shared" si="4"/>
        <v>90.90909091</v>
      </c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</row>
    <row r="34" ht="15.75" customHeight="1">
      <c r="A34" s="115">
        <v>24.0</v>
      </c>
      <c r="B34" s="116" t="s">
        <v>229</v>
      </c>
      <c r="C34" s="139" t="s">
        <v>230</v>
      </c>
      <c r="D34" s="117" t="s">
        <v>32</v>
      </c>
      <c r="E34" s="117" t="s">
        <v>32</v>
      </c>
      <c r="F34" s="118" t="s">
        <v>32</v>
      </c>
      <c r="G34" s="118" t="s">
        <v>32</v>
      </c>
      <c r="H34" s="118"/>
      <c r="I34" s="118" t="s">
        <v>32</v>
      </c>
      <c r="J34" s="118" t="s">
        <v>32</v>
      </c>
      <c r="K34" s="118" t="s">
        <v>32</v>
      </c>
      <c r="L34" s="134" t="s">
        <v>32</v>
      </c>
      <c r="M34" s="134" t="s">
        <v>32</v>
      </c>
      <c r="N34" s="22" t="s">
        <v>32</v>
      </c>
      <c r="O34" s="118"/>
      <c r="P34" s="118" t="s">
        <v>32</v>
      </c>
      <c r="Q34" s="118"/>
      <c r="R34" s="118"/>
      <c r="S34" s="118"/>
      <c r="T34" s="118"/>
      <c r="U34" s="118"/>
      <c r="V34" s="119">
        <f t="shared" si="1"/>
        <v>11</v>
      </c>
      <c r="W34" s="119">
        <f t="shared" si="2"/>
        <v>0</v>
      </c>
      <c r="X34" s="119">
        <f t="shared" si="3"/>
        <v>11</v>
      </c>
      <c r="Y34" s="137">
        <f t="shared" si="4"/>
        <v>100</v>
      </c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</row>
    <row r="35" ht="15.75" customHeight="1">
      <c r="A35" s="115">
        <v>25.0</v>
      </c>
      <c r="B35" s="116" t="s">
        <v>231</v>
      </c>
      <c r="C35" s="139" t="s">
        <v>232</v>
      </c>
      <c r="D35" s="117" t="s">
        <v>32</v>
      </c>
      <c r="E35" s="117" t="s">
        <v>32</v>
      </c>
      <c r="F35" s="118" t="s">
        <v>32</v>
      </c>
      <c r="G35" s="118" t="s">
        <v>32</v>
      </c>
      <c r="H35" s="118"/>
      <c r="I35" s="118" t="s">
        <v>32</v>
      </c>
      <c r="J35" s="118" t="s">
        <v>32</v>
      </c>
      <c r="K35" s="118" t="s">
        <v>32</v>
      </c>
      <c r="L35" s="134" t="s">
        <v>32</v>
      </c>
      <c r="M35" s="134" t="s">
        <v>32</v>
      </c>
      <c r="N35" s="22" t="s">
        <v>32</v>
      </c>
      <c r="O35" s="118"/>
      <c r="P35" s="118" t="s">
        <v>32</v>
      </c>
      <c r="Q35" s="118"/>
      <c r="R35" s="118"/>
      <c r="S35" s="118"/>
      <c r="T35" s="118"/>
      <c r="U35" s="118"/>
      <c r="V35" s="119">
        <f t="shared" si="1"/>
        <v>11</v>
      </c>
      <c r="W35" s="119">
        <f t="shared" si="2"/>
        <v>0</v>
      </c>
      <c r="X35" s="119">
        <f t="shared" si="3"/>
        <v>11</v>
      </c>
      <c r="Y35" s="137">
        <f t="shared" si="4"/>
        <v>100</v>
      </c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</row>
    <row r="36" ht="15.75" customHeight="1">
      <c r="A36" s="115">
        <v>26.0</v>
      </c>
      <c r="B36" s="116" t="s">
        <v>233</v>
      </c>
      <c r="C36" s="139" t="s">
        <v>234</v>
      </c>
      <c r="D36" s="117" t="s">
        <v>32</v>
      </c>
      <c r="E36" s="117" t="s">
        <v>32</v>
      </c>
      <c r="F36" s="118" t="s">
        <v>32</v>
      </c>
      <c r="G36" s="118" t="s">
        <v>32</v>
      </c>
      <c r="H36" s="118"/>
      <c r="I36" s="118" t="s">
        <v>32</v>
      </c>
      <c r="J36" s="118" t="s">
        <v>32</v>
      </c>
      <c r="K36" s="118" t="s">
        <v>32</v>
      </c>
      <c r="L36" s="134" t="s">
        <v>32</v>
      </c>
      <c r="M36" s="134" t="s">
        <v>32</v>
      </c>
      <c r="N36" s="134" t="s">
        <v>31</v>
      </c>
      <c r="O36" s="118"/>
      <c r="P36" s="118" t="s">
        <v>32</v>
      </c>
      <c r="Q36" s="118"/>
      <c r="R36" s="118"/>
      <c r="S36" s="118"/>
      <c r="T36" s="118"/>
      <c r="U36" s="118"/>
      <c r="V36" s="119">
        <f t="shared" si="1"/>
        <v>10</v>
      </c>
      <c r="W36" s="119">
        <f t="shared" si="2"/>
        <v>1</v>
      </c>
      <c r="X36" s="119">
        <f t="shared" si="3"/>
        <v>11</v>
      </c>
      <c r="Y36" s="137">
        <f t="shared" si="4"/>
        <v>90.90909091</v>
      </c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</row>
    <row r="37" ht="15.75" customHeight="1">
      <c r="A37" s="115">
        <v>27.0</v>
      </c>
      <c r="B37" s="116" t="s">
        <v>235</v>
      </c>
      <c r="C37" s="139" t="s">
        <v>236</v>
      </c>
      <c r="D37" s="117" t="s">
        <v>32</v>
      </c>
      <c r="E37" s="117" t="s">
        <v>32</v>
      </c>
      <c r="F37" s="118" t="s">
        <v>31</v>
      </c>
      <c r="G37" s="118" t="s">
        <v>31</v>
      </c>
      <c r="H37" s="118"/>
      <c r="I37" s="118" t="s">
        <v>31</v>
      </c>
      <c r="J37" s="118" t="s">
        <v>32</v>
      </c>
      <c r="K37" s="118" t="s">
        <v>31</v>
      </c>
      <c r="L37" s="134" t="s">
        <v>32</v>
      </c>
      <c r="M37" s="134" t="s">
        <v>31</v>
      </c>
      <c r="N37" s="22" t="s">
        <v>32</v>
      </c>
      <c r="O37" s="118"/>
      <c r="P37" s="118" t="s">
        <v>32</v>
      </c>
      <c r="Q37" s="118"/>
      <c r="R37" s="118"/>
      <c r="S37" s="118"/>
      <c r="T37" s="118"/>
      <c r="U37" s="118"/>
      <c r="V37" s="119">
        <f t="shared" si="1"/>
        <v>6</v>
      </c>
      <c r="W37" s="119">
        <f t="shared" si="2"/>
        <v>5</v>
      </c>
      <c r="X37" s="119">
        <f t="shared" si="3"/>
        <v>11</v>
      </c>
      <c r="Y37" s="137">
        <f t="shared" si="4"/>
        <v>54.54545455</v>
      </c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</row>
    <row r="38" ht="15.75" customHeight="1">
      <c r="A38" s="115">
        <v>28.0</v>
      </c>
      <c r="B38" s="116" t="s">
        <v>237</v>
      </c>
      <c r="C38" s="139" t="s">
        <v>238</v>
      </c>
      <c r="D38" s="117" t="s">
        <v>31</v>
      </c>
      <c r="E38" s="117" t="s">
        <v>31</v>
      </c>
      <c r="F38" s="118" t="s">
        <v>32</v>
      </c>
      <c r="G38" s="118" t="s">
        <v>32</v>
      </c>
      <c r="H38" s="118"/>
      <c r="I38" s="118" t="s">
        <v>32</v>
      </c>
      <c r="J38" s="118" t="s">
        <v>32</v>
      </c>
      <c r="K38" s="118" t="s">
        <v>32</v>
      </c>
      <c r="L38" s="134" t="s">
        <v>32</v>
      </c>
      <c r="M38" s="134" t="s">
        <v>32</v>
      </c>
      <c r="N38" s="22" t="s">
        <v>32</v>
      </c>
      <c r="O38" s="118"/>
      <c r="P38" s="118" t="s">
        <v>32</v>
      </c>
      <c r="Q38" s="118"/>
      <c r="R38" s="118"/>
      <c r="S38" s="118"/>
      <c r="T38" s="118"/>
      <c r="U38" s="118"/>
      <c r="V38" s="119">
        <f t="shared" si="1"/>
        <v>9</v>
      </c>
      <c r="W38" s="119">
        <f t="shared" si="2"/>
        <v>2</v>
      </c>
      <c r="X38" s="119">
        <f t="shared" si="3"/>
        <v>11</v>
      </c>
      <c r="Y38" s="137">
        <f t="shared" si="4"/>
        <v>81.81818182</v>
      </c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</row>
    <row r="39" ht="15.75" customHeight="1">
      <c r="A39" s="115">
        <v>29.0</v>
      </c>
      <c r="B39" s="116" t="s">
        <v>239</v>
      </c>
      <c r="C39" s="139" t="s">
        <v>240</v>
      </c>
      <c r="D39" s="117" t="s">
        <v>32</v>
      </c>
      <c r="E39" s="117" t="s">
        <v>32</v>
      </c>
      <c r="F39" s="118" t="s">
        <v>31</v>
      </c>
      <c r="G39" s="118" t="s">
        <v>31</v>
      </c>
      <c r="H39" s="118"/>
      <c r="I39" s="118" t="s">
        <v>31</v>
      </c>
      <c r="J39" s="118" t="s">
        <v>32</v>
      </c>
      <c r="K39" s="118" t="s">
        <v>31</v>
      </c>
      <c r="L39" s="134" t="s">
        <v>32</v>
      </c>
      <c r="M39" s="134" t="s">
        <v>32</v>
      </c>
      <c r="N39" s="134" t="s">
        <v>31</v>
      </c>
      <c r="O39" s="118"/>
      <c r="P39" s="118" t="s">
        <v>32</v>
      </c>
      <c r="Q39" s="118"/>
      <c r="R39" s="118"/>
      <c r="S39" s="118"/>
      <c r="T39" s="118"/>
      <c r="U39" s="118"/>
      <c r="V39" s="119">
        <f t="shared" si="1"/>
        <v>6</v>
      </c>
      <c r="W39" s="119">
        <f t="shared" si="2"/>
        <v>5</v>
      </c>
      <c r="X39" s="119">
        <f t="shared" si="3"/>
        <v>11</v>
      </c>
      <c r="Y39" s="137">
        <f t="shared" si="4"/>
        <v>54.54545455</v>
      </c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</row>
    <row r="40" ht="15.75" customHeight="1">
      <c r="A40" s="115">
        <v>30.0</v>
      </c>
      <c r="B40" s="116" t="s">
        <v>241</v>
      </c>
      <c r="C40" s="139" t="s">
        <v>242</v>
      </c>
      <c r="D40" s="118" t="s">
        <v>31</v>
      </c>
      <c r="E40" s="118" t="s">
        <v>31</v>
      </c>
      <c r="F40" s="118" t="s">
        <v>32</v>
      </c>
      <c r="G40" s="118" t="s">
        <v>32</v>
      </c>
      <c r="H40" s="118"/>
      <c r="I40" s="118" t="s">
        <v>32</v>
      </c>
      <c r="J40" s="118" t="s">
        <v>32</v>
      </c>
      <c r="K40" s="118" t="s">
        <v>32</v>
      </c>
      <c r="L40" s="118"/>
      <c r="M40" s="134" t="s">
        <v>32</v>
      </c>
      <c r="N40" s="22" t="s">
        <v>32</v>
      </c>
      <c r="O40" s="118"/>
      <c r="P40" s="118" t="s">
        <v>32</v>
      </c>
      <c r="Q40" s="118"/>
      <c r="R40" s="118"/>
      <c r="S40" s="118"/>
      <c r="T40" s="118"/>
      <c r="U40" s="118"/>
      <c r="V40" s="119">
        <f t="shared" si="1"/>
        <v>8</v>
      </c>
      <c r="W40" s="119">
        <f t="shared" si="2"/>
        <v>2</v>
      </c>
      <c r="X40" s="119">
        <f t="shared" si="3"/>
        <v>10</v>
      </c>
      <c r="Y40" s="137">
        <f t="shared" si="4"/>
        <v>80</v>
      </c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</row>
    <row r="41" ht="15.75" customHeight="1">
      <c r="A41" s="140"/>
      <c r="B41" s="135"/>
      <c r="C41" s="139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18"/>
      <c r="T41" s="118"/>
      <c r="U41" s="118"/>
      <c r="V41" s="119"/>
      <c r="W41" s="119"/>
      <c r="X41" s="119"/>
      <c r="Y41" s="137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</row>
    <row r="42" ht="15.75" customHeight="1">
      <c r="A42" s="140"/>
      <c r="B42" s="101"/>
      <c r="C42" s="139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9"/>
      <c r="W42" s="119"/>
      <c r="X42" s="119"/>
      <c r="Y42" s="137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</row>
    <row r="43" ht="15.75" customHeight="1">
      <c r="A43" s="140"/>
      <c r="B43" s="101"/>
      <c r="C43" s="139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9"/>
      <c r="W43" s="119"/>
      <c r="X43" s="119"/>
      <c r="Y43" s="137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</row>
    <row r="44" ht="15.75" customHeight="1">
      <c r="A44" s="140"/>
      <c r="B44" s="101"/>
      <c r="C44" s="139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9"/>
      <c r="W44" s="119"/>
      <c r="X44" s="119"/>
      <c r="Y44" s="137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</row>
    <row r="45" ht="15.75" customHeight="1">
      <c r="A45" s="141"/>
      <c r="B45" s="110"/>
      <c r="C45" s="142" t="s">
        <v>179</v>
      </c>
      <c r="D45" s="143">
        <f t="shared" ref="D45:E45" si="5">COUNTIF(D10:D40,"P") + COUNTIF(D10:D40, "1")</f>
        <v>25</v>
      </c>
      <c r="E45" s="143">
        <f t="shared" si="5"/>
        <v>24</v>
      </c>
      <c r="F45" s="143"/>
      <c r="G45" s="143">
        <f t="shared" ref="G45:M45" si="6">COUNTIF(G10:G40,"P") + COUNTIF(G10:G40, "1")</f>
        <v>23</v>
      </c>
      <c r="H45" s="143">
        <f t="shared" si="6"/>
        <v>0</v>
      </c>
      <c r="I45" s="143">
        <f t="shared" si="6"/>
        <v>23</v>
      </c>
      <c r="J45" s="143">
        <f t="shared" si="6"/>
        <v>29</v>
      </c>
      <c r="K45" s="143">
        <f t="shared" si="6"/>
        <v>23</v>
      </c>
      <c r="L45" s="143">
        <f t="shared" si="6"/>
        <v>19</v>
      </c>
      <c r="M45" s="143">
        <f t="shared" si="6"/>
        <v>23</v>
      </c>
      <c r="N45" s="143"/>
      <c r="O45" s="143"/>
      <c r="P45" s="143">
        <f t="shared" ref="P45:R45" si="7">COUNTIF(P10:P40,"P") + COUNTIF(P10:P40, "1")</f>
        <v>25</v>
      </c>
      <c r="Q45" s="143">
        <f t="shared" si="7"/>
        <v>0</v>
      </c>
      <c r="R45" s="143">
        <f t="shared" si="7"/>
        <v>0</v>
      </c>
      <c r="S45" s="143">
        <f t="shared" ref="S45:U45" si="8">COUNTIF(S11:S41,"P") + COUNTIF(S11:S41, "1")</f>
        <v>0</v>
      </c>
      <c r="T45" s="143">
        <f t="shared" si="8"/>
        <v>0</v>
      </c>
      <c r="U45" s="143">
        <f t="shared" si="8"/>
        <v>0</v>
      </c>
      <c r="V45" s="119"/>
      <c r="W45" s="119"/>
      <c r="X45" s="119"/>
      <c r="Y45" s="137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</row>
    <row r="46" ht="15.75" customHeight="1">
      <c r="A46" s="97"/>
      <c r="B46" s="97"/>
      <c r="C46" s="142" t="s">
        <v>180</v>
      </c>
      <c r="D46" s="144">
        <f t="shared" ref="D46:E46" si="9">COUNTIF(D10:D40,"A") + COUNTIF(D10:D40, "1")</f>
        <v>5</v>
      </c>
      <c r="E46" s="144">
        <f t="shared" si="9"/>
        <v>6</v>
      </c>
      <c r="F46" s="144"/>
      <c r="G46" s="144">
        <f t="shared" ref="G46:M46" si="10">COUNTIF(G10:G40,"A") + COUNTIF(G10:G40, "1")</f>
        <v>7</v>
      </c>
      <c r="H46" s="144">
        <f t="shared" si="10"/>
        <v>0</v>
      </c>
      <c r="I46" s="144">
        <f t="shared" si="10"/>
        <v>7</v>
      </c>
      <c r="J46" s="144">
        <f t="shared" si="10"/>
        <v>1</v>
      </c>
      <c r="K46" s="144">
        <f t="shared" si="10"/>
        <v>7</v>
      </c>
      <c r="L46" s="144">
        <f t="shared" si="10"/>
        <v>10</v>
      </c>
      <c r="M46" s="144">
        <f t="shared" si="10"/>
        <v>7</v>
      </c>
      <c r="N46" s="144"/>
      <c r="O46" s="144"/>
      <c r="P46" s="144">
        <f t="shared" ref="P46:R46" si="11">COUNTIF(P10:P40,"A") + COUNTIF(P10:P40, "1")</f>
        <v>5</v>
      </c>
      <c r="Q46" s="144">
        <f t="shared" si="11"/>
        <v>0</v>
      </c>
      <c r="R46" s="144">
        <f t="shared" si="11"/>
        <v>0</v>
      </c>
      <c r="S46" s="144">
        <f t="shared" ref="S46:U46" si="12">COUNTIF(S11:S41,"A") + COUNTIF(S11:S41, "1")</f>
        <v>0</v>
      </c>
      <c r="T46" s="144">
        <f t="shared" si="12"/>
        <v>0</v>
      </c>
      <c r="U46" s="144">
        <f t="shared" si="12"/>
        <v>0</v>
      </c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45"/>
      <c r="P47" s="145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45"/>
      <c r="P48" s="145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45"/>
      <c r="P49" s="145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45"/>
      <c r="P50" s="145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45"/>
      <c r="P51" s="145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45"/>
      <c r="P52" s="145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45"/>
      <c r="P53" s="145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45"/>
      <c r="P54" s="145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45"/>
      <c r="P55" s="145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45"/>
      <c r="P56" s="145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45"/>
      <c r="P57" s="145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45"/>
      <c r="P58" s="145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45"/>
      <c r="P59" s="145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45"/>
      <c r="P60" s="145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45"/>
      <c r="P61" s="145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45"/>
      <c r="P62" s="145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45"/>
      <c r="P63" s="145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45"/>
      <c r="P64" s="145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45"/>
      <c r="P65" s="145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45"/>
      <c r="P66" s="145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45"/>
      <c r="P67" s="145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45"/>
      <c r="P68" s="145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45"/>
      <c r="P69" s="145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45"/>
      <c r="P70" s="145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45"/>
      <c r="P71" s="145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45"/>
      <c r="P72" s="145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45"/>
      <c r="P73" s="145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45"/>
      <c r="P74" s="145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45"/>
      <c r="P75" s="145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45"/>
      <c r="P76" s="145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45"/>
      <c r="P77" s="145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45"/>
      <c r="P78" s="145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45"/>
      <c r="P79" s="145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45"/>
      <c r="P80" s="145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45"/>
      <c r="P81" s="145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45"/>
      <c r="P82" s="145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45"/>
      <c r="P83" s="145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45"/>
      <c r="P84" s="145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45"/>
      <c r="P85" s="145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45"/>
      <c r="P86" s="145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45"/>
      <c r="P87" s="145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45"/>
      <c r="P88" s="145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45"/>
      <c r="P89" s="145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45"/>
      <c r="P90" s="145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45"/>
      <c r="P91" s="145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45"/>
      <c r="P92" s="145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45"/>
      <c r="P93" s="145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45"/>
      <c r="P94" s="145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45"/>
      <c r="P95" s="145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45"/>
      <c r="P96" s="145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45"/>
      <c r="P97" s="145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45"/>
      <c r="P98" s="145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45"/>
      <c r="P99" s="145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45"/>
      <c r="P100" s="145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45"/>
      <c r="P101" s="145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45"/>
      <c r="P102" s="145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45"/>
      <c r="P103" s="145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45"/>
      <c r="P104" s="145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45"/>
      <c r="P105" s="145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45"/>
      <c r="P106" s="145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45"/>
      <c r="P107" s="145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45"/>
      <c r="P108" s="145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45"/>
      <c r="P109" s="145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45"/>
      <c r="P110" s="145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45"/>
      <c r="P111" s="145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45"/>
      <c r="P112" s="145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45"/>
      <c r="P113" s="145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45"/>
      <c r="P114" s="145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45"/>
      <c r="P115" s="145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45"/>
      <c r="P116" s="145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45"/>
      <c r="P117" s="145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45"/>
      <c r="P118" s="145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45"/>
      <c r="P119" s="145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45"/>
      <c r="P120" s="145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45"/>
      <c r="P121" s="145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45"/>
      <c r="P122" s="145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45"/>
      <c r="P123" s="145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45"/>
      <c r="P124" s="145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45"/>
      <c r="P125" s="145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45"/>
      <c r="P126" s="145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45"/>
      <c r="P127" s="145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45"/>
      <c r="P128" s="145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45"/>
      <c r="P129" s="145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45"/>
      <c r="P130" s="145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45"/>
      <c r="P131" s="145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45"/>
      <c r="P132" s="145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45"/>
      <c r="P133" s="145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45"/>
      <c r="P134" s="145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45"/>
      <c r="P135" s="145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45"/>
      <c r="P136" s="145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45"/>
      <c r="P137" s="145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45"/>
      <c r="P138" s="145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45"/>
      <c r="P139" s="145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45"/>
      <c r="P140" s="145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45"/>
      <c r="P141" s="145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45"/>
      <c r="P142" s="145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45"/>
      <c r="P143" s="145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45"/>
      <c r="P144" s="145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45"/>
      <c r="P145" s="145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45"/>
      <c r="P146" s="145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45"/>
      <c r="P147" s="145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45"/>
      <c r="P148" s="145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45"/>
      <c r="P149" s="145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45"/>
      <c r="P150" s="145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45"/>
      <c r="P151" s="145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45"/>
      <c r="P152" s="145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45"/>
      <c r="P153" s="145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45"/>
      <c r="P154" s="145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45"/>
      <c r="P155" s="145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45"/>
      <c r="P156" s="145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45"/>
      <c r="P157" s="145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45"/>
      <c r="P158" s="145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45"/>
      <c r="P159" s="145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45"/>
      <c r="P160" s="145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45"/>
      <c r="P161" s="145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45"/>
      <c r="P162" s="145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45"/>
      <c r="P163" s="145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45"/>
      <c r="P164" s="145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45"/>
      <c r="P165" s="145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45"/>
      <c r="P166" s="145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45"/>
      <c r="P167" s="145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45"/>
      <c r="P168" s="145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45"/>
      <c r="P169" s="145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45"/>
      <c r="P170" s="145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45"/>
      <c r="P171" s="145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45"/>
      <c r="P172" s="145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45"/>
      <c r="P173" s="145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45"/>
      <c r="P174" s="145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45"/>
      <c r="P175" s="145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45"/>
      <c r="P176" s="145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45"/>
      <c r="P177" s="145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45"/>
      <c r="P178" s="145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45"/>
      <c r="P179" s="145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45"/>
      <c r="P180" s="145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45"/>
      <c r="P181" s="145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45"/>
      <c r="P182" s="145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45"/>
      <c r="P183" s="145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45"/>
      <c r="P184" s="145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45"/>
      <c r="P185" s="145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45"/>
      <c r="P186" s="145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45"/>
      <c r="P187" s="145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45"/>
      <c r="P188" s="145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45"/>
      <c r="P189" s="145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45"/>
      <c r="P190" s="145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45"/>
      <c r="P191" s="145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45"/>
      <c r="P192" s="145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45"/>
      <c r="P193" s="145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45"/>
      <c r="P194" s="145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45"/>
      <c r="P195" s="145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45"/>
      <c r="P196" s="145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45"/>
      <c r="P197" s="145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45"/>
      <c r="P198" s="145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45"/>
      <c r="P199" s="145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45"/>
      <c r="P200" s="145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45"/>
      <c r="P201" s="145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45"/>
      <c r="P202" s="145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45"/>
      <c r="P203" s="145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45"/>
      <c r="P204" s="145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45"/>
      <c r="P205" s="145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45"/>
      <c r="P206" s="145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45"/>
      <c r="P207" s="145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45"/>
      <c r="P208" s="145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45"/>
      <c r="P209" s="145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45"/>
      <c r="P210" s="145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45"/>
      <c r="P211" s="145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45"/>
      <c r="P212" s="145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45"/>
      <c r="P213" s="145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45"/>
      <c r="P214" s="145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45"/>
      <c r="P215" s="145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45"/>
      <c r="P216" s="145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45"/>
      <c r="P217" s="145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45"/>
      <c r="P218" s="145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45"/>
      <c r="P219" s="145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45"/>
      <c r="P220" s="145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45"/>
      <c r="P221" s="145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45"/>
      <c r="P222" s="145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45"/>
      <c r="P223" s="145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45"/>
      <c r="P224" s="145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45"/>
      <c r="P225" s="145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45"/>
      <c r="P226" s="145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45"/>
      <c r="P227" s="145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45"/>
      <c r="P228" s="145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45"/>
      <c r="P229" s="145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45"/>
      <c r="P230" s="145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45"/>
      <c r="P231" s="145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45"/>
      <c r="P232" s="145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45"/>
      <c r="P233" s="145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45"/>
      <c r="P234" s="145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45"/>
      <c r="P235" s="145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45"/>
      <c r="P236" s="145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45"/>
      <c r="P237" s="145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45"/>
      <c r="P238" s="145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45"/>
      <c r="P239" s="145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45"/>
      <c r="P240" s="145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45"/>
      <c r="P241" s="145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45"/>
      <c r="P242" s="145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45"/>
      <c r="P243" s="145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45"/>
      <c r="P244" s="145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45"/>
      <c r="P245" s="145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45"/>
      <c r="P246" s="145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8:K8"/>
    <mergeCell ref="L8:O8"/>
    <mergeCell ref="D8:H8"/>
    <mergeCell ref="P8:T8"/>
    <mergeCell ref="A1:AD1"/>
    <mergeCell ref="A2:AD2"/>
    <mergeCell ref="A3:AD3"/>
    <mergeCell ref="A4:AD4"/>
    <mergeCell ref="A5:AD5"/>
    <mergeCell ref="A6:AD6"/>
  </mergeCells>
  <conditionalFormatting sqref="N11:N40">
    <cfRule type="containsText" dxfId="0" priority="1" operator="containsText" text="A">
      <formula>NOT(ISERROR(SEARCH(("A"),(N11))))</formula>
    </cfRule>
  </conditionalFormatting>
  <conditionalFormatting sqref="N11:N40">
    <cfRule type="containsText" dxfId="1" priority="2" operator="containsText" text="P">
      <formula>NOT(ISERROR(SEARCH(("P"),(N11))))</formula>
    </cfRule>
  </conditionalFormatting>
  <conditionalFormatting sqref="D10:R44 S11:U44">
    <cfRule type="containsText" dxfId="2" priority="3" operator="containsText" text="P">
      <formula>NOT(ISERROR(SEARCH(("P"),(D10))))</formula>
    </cfRule>
  </conditionalFormatting>
  <conditionalFormatting sqref="E10:R44 S11:U44">
    <cfRule type="containsText" dxfId="3" priority="4" operator="containsText" text="A">
      <formula>NOT(ISERROR(SEARCH(("A"),(E10))))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34.71"/>
    <col customWidth="1" min="4" max="5" width="12.29"/>
    <col customWidth="1" min="6" max="30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ht="17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</row>
    <row r="3" ht="17.2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</row>
    <row r="4" ht="17.25" customHeight="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</row>
    <row r="5" ht="17.25" customHeight="1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</row>
    <row r="6" ht="17.25" customHeight="1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"/>
    </row>
    <row r="7">
      <c r="D7" s="146"/>
      <c r="E7" s="146"/>
      <c r="R7" s="147"/>
    </row>
    <row r="8">
      <c r="D8" s="146"/>
      <c r="E8" s="146"/>
      <c r="R8" s="147"/>
    </row>
    <row r="9" ht="15.0" customHeight="1">
      <c r="D9" s="148" t="s">
        <v>323</v>
      </c>
      <c r="E9" s="148" t="s">
        <v>324</v>
      </c>
      <c r="F9" s="148" t="s">
        <v>325</v>
      </c>
      <c r="R9" s="147"/>
    </row>
    <row r="10">
      <c r="D10" s="149"/>
      <c r="E10" s="149"/>
      <c r="F10" s="149"/>
      <c r="R10" s="147"/>
    </row>
    <row r="11">
      <c r="D11" s="150"/>
      <c r="E11" s="150"/>
      <c r="F11" s="150"/>
    </row>
    <row r="12">
      <c r="A12" s="41" t="s">
        <v>26</v>
      </c>
      <c r="B12" s="41" t="s">
        <v>27</v>
      </c>
      <c r="C12" s="41" t="s">
        <v>28</v>
      </c>
      <c r="D12" s="151"/>
      <c r="E12" s="151"/>
      <c r="F12" s="152"/>
    </row>
    <row r="13">
      <c r="A13" s="153">
        <v>1.0</v>
      </c>
      <c r="B13" s="154" t="s">
        <v>29</v>
      </c>
      <c r="C13" s="19" t="s">
        <v>30</v>
      </c>
      <c r="D13" s="151">
        <f>Th_CSE!AF11</f>
        <v>63.63636364</v>
      </c>
      <c r="E13" s="151">
        <f>CSE_B1!V12</f>
        <v>54.54545455</v>
      </c>
      <c r="F13" s="152">
        <f t="shared" ref="F13:F85" si="1">AVERAGE(D13:E13)</f>
        <v>59.09090909</v>
      </c>
    </row>
    <row r="14">
      <c r="A14" s="153">
        <v>2.0</v>
      </c>
      <c r="B14" s="154" t="s">
        <v>33</v>
      </c>
      <c r="C14" s="57" t="s">
        <v>34</v>
      </c>
      <c r="D14" s="151">
        <f>Th_CSE!AF12</f>
        <v>90.90909091</v>
      </c>
      <c r="E14" s="151">
        <f>CSE_B1!V13</f>
        <v>90.90909091</v>
      </c>
      <c r="F14" s="152">
        <f t="shared" si="1"/>
        <v>90.90909091</v>
      </c>
    </row>
    <row r="15">
      <c r="A15" s="153">
        <v>3.0</v>
      </c>
      <c r="B15" s="154" t="s">
        <v>35</v>
      </c>
      <c r="C15" s="57" t="s">
        <v>36</v>
      </c>
      <c r="D15" s="151">
        <f>Th_CSE!AF13</f>
        <v>45.45454545</v>
      </c>
      <c r="E15" s="151">
        <f>CSE_B1!V14</f>
        <v>45.45454545</v>
      </c>
      <c r="F15" s="152">
        <f t="shared" si="1"/>
        <v>45.45454545</v>
      </c>
    </row>
    <row r="16">
      <c r="A16" s="153">
        <v>4.0</v>
      </c>
      <c r="B16" s="154" t="s">
        <v>37</v>
      </c>
      <c r="C16" s="57" t="s">
        <v>38</v>
      </c>
      <c r="D16" s="151">
        <f>Th_CSE!AF14</f>
        <v>86.36363636</v>
      </c>
      <c r="E16" s="151">
        <f>CSE_B1!V15</f>
        <v>63.63636364</v>
      </c>
      <c r="F16" s="152">
        <f t="shared" si="1"/>
        <v>75</v>
      </c>
    </row>
    <row r="17">
      <c r="A17" s="153">
        <v>5.0</v>
      </c>
      <c r="B17" s="154" t="s">
        <v>39</v>
      </c>
      <c r="C17" s="57" t="s">
        <v>40</v>
      </c>
      <c r="D17" s="151">
        <f>Th_CSE!AF15</f>
        <v>63.63636364</v>
      </c>
      <c r="E17" s="151">
        <f>CSE_B1!V16</f>
        <v>72.72727273</v>
      </c>
      <c r="F17" s="152">
        <f t="shared" si="1"/>
        <v>68.18181818</v>
      </c>
    </row>
    <row r="18">
      <c r="A18" s="153">
        <v>6.0</v>
      </c>
      <c r="B18" s="154" t="s">
        <v>41</v>
      </c>
      <c r="C18" s="57" t="s">
        <v>42</v>
      </c>
      <c r="D18" s="151">
        <f>Th_CSE!AF16</f>
        <v>86.36363636</v>
      </c>
      <c r="E18" s="151">
        <f>CSE_B1!V17</f>
        <v>63.63636364</v>
      </c>
      <c r="F18" s="152">
        <f t="shared" si="1"/>
        <v>75</v>
      </c>
    </row>
    <row r="19">
      <c r="A19" s="153">
        <v>7.0</v>
      </c>
      <c r="B19" s="154" t="s">
        <v>43</v>
      </c>
      <c r="C19" s="57" t="s">
        <v>44</v>
      </c>
      <c r="D19" s="151">
        <f>Th_CSE!AF17</f>
        <v>77.27272727</v>
      </c>
      <c r="E19" s="151">
        <f>CSE_B1!V18</f>
        <v>45.45454545</v>
      </c>
      <c r="F19" s="152">
        <f t="shared" si="1"/>
        <v>61.36363636</v>
      </c>
    </row>
    <row r="20" ht="15.75" customHeight="1">
      <c r="A20" s="153">
        <v>8.0</v>
      </c>
      <c r="B20" s="154" t="s">
        <v>45</v>
      </c>
      <c r="C20" s="57" t="s">
        <v>46</v>
      </c>
      <c r="D20" s="151">
        <f>Th_CSE!AF18</f>
        <v>90.90909091</v>
      </c>
      <c r="E20" s="151">
        <f>CSE_B1!V19</f>
        <v>72.72727273</v>
      </c>
      <c r="F20" s="152">
        <f t="shared" si="1"/>
        <v>81.81818182</v>
      </c>
    </row>
    <row r="21" ht="15.75" customHeight="1">
      <c r="A21" s="153">
        <v>9.0</v>
      </c>
      <c r="B21" s="154" t="s">
        <v>47</v>
      </c>
      <c r="C21" s="57" t="s">
        <v>48</v>
      </c>
      <c r="D21" s="151">
        <f>Th_CSE!AF19</f>
        <v>63.63636364</v>
      </c>
      <c r="E21" s="151">
        <f>CSE_B1!V20</f>
        <v>45.45454545</v>
      </c>
      <c r="F21" s="152">
        <f t="shared" si="1"/>
        <v>54.54545455</v>
      </c>
    </row>
    <row r="22" ht="15.75" customHeight="1">
      <c r="A22" s="153">
        <v>10.0</v>
      </c>
      <c r="B22" s="154" t="s">
        <v>49</v>
      </c>
      <c r="C22" s="57" t="s">
        <v>50</v>
      </c>
      <c r="D22" s="151">
        <f>Th_CSE!AF20</f>
        <v>90.90909091</v>
      </c>
      <c r="E22" s="151">
        <f>CSE_B1!V21</f>
        <v>90.90909091</v>
      </c>
      <c r="F22" s="152">
        <f t="shared" si="1"/>
        <v>90.90909091</v>
      </c>
    </row>
    <row r="23" ht="15.75" customHeight="1">
      <c r="A23" s="153">
        <v>11.0</v>
      </c>
      <c r="B23" s="154" t="s">
        <v>51</v>
      </c>
      <c r="C23" s="57" t="s">
        <v>52</v>
      </c>
      <c r="D23" s="151">
        <f>Th_CSE!AF21</f>
        <v>81.81818182</v>
      </c>
      <c r="E23" s="151">
        <f>CSE_B1!V22</f>
        <v>0</v>
      </c>
      <c r="F23" s="152">
        <f t="shared" si="1"/>
        <v>40.90909091</v>
      </c>
    </row>
    <row r="24" ht="15.75" customHeight="1">
      <c r="A24" s="153">
        <v>12.0</v>
      </c>
      <c r="B24" s="154" t="s">
        <v>53</v>
      </c>
      <c r="C24" s="57" t="s">
        <v>54</v>
      </c>
      <c r="D24" s="151">
        <f>Th_CSE!AF22</f>
        <v>90.90909091</v>
      </c>
      <c r="E24" s="151">
        <f>CSE_B1!V23</f>
        <v>81.81818182</v>
      </c>
      <c r="F24" s="152">
        <f t="shared" si="1"/>
        <v>86.36363636</v>
      </c>
    </row>
    <row r="25" ht="15.75" customHeight="1">
      <c r="A25" s="153">
        <v>13.0</v>
      </c>
      <c r="B25" s="154" t="s">
        <v>55</v>
      </c>
      <c r="C25" s="57" t="s">
        <v>56</v>
      </c>
      <c r="D25" s="151">
        <f>Th_CSE!AF23</f>
        <v>86.36363636</v>
      </c>
      <c r="E25" s="151">
        <f>CSE_B1!V24</f>
        <v>100</v>
      </c>
      <c r="F25" s="152">
        <f t="shared" si="1"/>
        <v>93.18181818</v>
      </c>
    </row>
    <row r="26" ht="15.75" customHeight="1">
      <c r="A26" s="153">
        <v>14.0</v>
      </c>
      <c r="B26" s="154" t="s">
        <v>57</v>
      </c>
      <c r="C26" s="57" t="s">
        <v>58</v>
      </c>
      <c r="D26" s="151">
        <f>Th_CSE!AF24</f>
        <v>95.45454545</v>
      </c>
      <c r="E26" s="151">
        <f>CSE_B1!V25</f>
        <v>63.63636364</v>
      </c>
      <c r="F26" s="152">
        <f t="shared" si="1"/>
        <v>79.54545455</v>
      </c>
    </row>
    <row r="27" ht="15.75" customHeight="1">
      <c r="A27" s="153">
        <v>15.0</v>
      </c>
      <c r="B27" s="154" t="s">
        <v>59</v>
      </c>
      <c r="C27" s="57" t="s">
        <v>60</v>
      </c>
      <c r="D27" s="151">
        <f>Th_CSE!AF25</f>
        <v>72.72727273</v>
      </c>
      <c r="E27" s="151">
        <f>CSE_B1!V26</f>
        <v>63.63636364</v>
      </c>
      <c r="F27" s="152">
        <f t="shared" si="1"/>
        <v>68.18181818</v>
      </c>
    </row>
    <row r="28" ht="15.75" customHeight="1">
      <c r="A28" s="153">
        <v>16.0</v>
      </c>
      <c r="B28" s="154" t="s">
        <v>61</v>
      </c>
      <c r="C28" s="57" t="s">
        <v>62</v>
      </c>
      <c r="D28" s="151">
        <f>Th_CSE!AF26</f>
        <v>81.81818182</v>
      </c>
      <c r="E28" s="151">
        <f>CSE_B1!V27</f>
        <v>63.63636364</v>
      </c>
      <c r="F28" s="152">
        <f t="shared" si="1"/>
        <v>72.72727273</v>
      </c>
    </row>
    <row r="29" ht="15.75" customHeight="1">
      <c r="A29" s="153">
        <v>17.0</v>
      </c>
      <c r="B29" s="154" t="s">
        <v>63</v>
      </c>
      <c r="C29" s="57" t="s">
        <v>64</v>
      </c>
      <c r="D29" s="151">
        <f>Th_CSE!AF27</f>
        <v>81.81818182</v>
      </c>
      <c r="E29" s="151">
        <f>CSE_B1!V28</f>
        <v>81.81818182</v>
      </c>
      <c r="F29" s="152">
        <f t="shared" si="1"/>
        <v>81.81818182</v>
      </c>
    </row>
    <row r="30" ht="15.75" customHeight="1">
      <c r="A30" s="153">
        <v>18.0</v>
      </c>
      <c r="B30" s="154" t="s">
        <v>65</v>
      </c>
      <c r="C30" s="57" t="s">
        <v>66</v>
      </c>
      <c r="D30" s="151">
        <f>Th_CSE!AF28</f>
        <v>77.27272727</v>
      </c>
      <c r="E30" s="151">
        <f>CSE_B1!V29</f>
        <v>72.72727273</v>
      </c>
      <c r="F30" s="152">
        <f t="shared" si="1"/>
        <v>75</v>
      </c>
    </row>
    <row r="31" ht="15.75" customHeight="1">
      <c r="A31" s="153">
        <v>19.0</v>
      </c>
      <c r="B31" s="154" t="s">
        <v>67</v>
      </c>
      <c r="C31" s="57" t="s">
        <v>68</v>
      </c>
      <c r="D31" s="151">
        <f>Th_CSE!AF29</f>
        <v>81.81818182</v>
      </c>
      <c r="E31" s="151">
        <f>CSE_B1!V30</f>
        <v>90.90909091</v>
      </c>
      <c r="F31" s="152">
        <f t="shared" si="1"/>
        <v>86.36363636</v>
      </c>
    </row>
    <row r="32" ht="15.75" customHeight="1">
      <c r="A32" s="153">
        <v>20.0</v>
      </c>
      <c r="B32" s="154" t="s">
        <v>69</v>
      </c>
      <c r="C32" s="57" t="s">
        <v>70</v>
      </c>
      <c r="D32" s="151">
        <f>Th_CSE!AF30</f>
        <v>86.36363636</v>
      </c>
      <c r="E32" s="151">
        <f>CSE_B1!V31</f>
        <v>81.81818182</v>
      </c>
      <c r="F32" s="152">
        <f t="shared" si="1"/>
        <v>84.09090909</v>
      </c>
    </row>
    <row r="33" ht="15.75" customHeight="1">
      <c r="A33" s="153">
        <v>21.0</v>
      </c>
      <c r="B33" s="154" t="s">
        <v>71</v>
      </c>
      <c r="C33" s="57" t="s">
        <v>72</v>
      </c>
      <c r="D33" s="151">
        <f>Th_CSE!AF31</f>
        <v>100</v>
      </c>
      <c r="E33" s="151">
        <f>CSE_B1!V32</f>
        <v>72.72727273</v>
      </c>
      <c r="F33" s="152">
        <f t="shared" si="1"/>
        <v>86.36363636</v>
      </c>
    </row>
    <row r="34" ht="15.75" customHeight="1">
      <c r="A34" s="153">
        <v>22.0</v>
      </c>
      <c r="B34" s="154" t="s">
        <v>73</v>
      </c>
      <c r="C34" s="57" t="s">
        <v>74</v>
      </c>
      <c r="D34" s="151">
        <f>Th_CSE!AF32</f>
        <v>81.81818182</v>
      </c>
      <c r="E34" s="151">
        <f>CSE_B1!V33</f>
        <v>90.90909091</v>
      </c>
      <c r="F34" s="152">
        <f t="shared" si="1"/>
        <v>86.36363636</v>
      </c>
    </row>
    <row r="35" ht="15.75" customHeight="1">
      <c r="A35" s="153">
        <v>23.0</v>
      </c>
      <c r="B35" s="154" t="s">
        <v>75</v>
      </c>
      <c r="C35" s="57" t="s">
        <v>76</v>
      </c>
      <c r="D35" s="151">
        <f>Th_CSE!AF33</f>
        <v>90.90909091</v>
      </c>
      <c r="E35" s="151">
        <f>CSE_B1!V34</f>
        <v>63.63636364</v>
      </c>
      <c r="F35" s="152">
        <f t="shared" si="1"/>
        <v>77.27272727</v>
      </c>
    </row>
    <row r="36" ht="15.75" customHeight="1">
      <c r="A36" s="153">
        <v>24.0</v>
      </c>
      <c r="B36" s="154" t="s">
        <v>77</v>
      </c>
      <c r="C36" s="57" t="s">
        <v>78</v>
      </c>
      <c r="D36" s="151">
        <f>Th_CSE!AF34</f>
        <v>77.27272727</v>
      </c>
      <c r="E36" s="151">
        <f>CSE_B1!V35</f>
        <v>90.90909091</v>
      </c>
      <c r="F36" s="152">
        <f t="shared" si="1"/>
        <v>84.09090909</v>
      </c>
    </row>
    <row r="37" ht="15.75" customHeight="1">
      <c r="A37" s="153">
        <v>25.0</v>
      </c>
      <c r="B37" s="154" t="s">
        <v>79</v>
      </c>
      <c r="C37" s="57" t="s">
        <v>80</v>
      </c>
      <c r="D37" s="151">
        <f>Th_CSE!AF35</f>
        <v>72.72727273</v>
      </c>
      <c r="E37" s="151">
        <f>CSE_B1!V36</f>
        <v>81.81818182</v>
      </c>
      <c r="F37" s="152">
        <f t="shared" si="1"/>
        <v>77.27272727</v>
      </c>
    </row>
    <row r="38" ht="15.75" customHeight="1">
      <c r="A38" s="153">
        <v>26.0</v>
      </c>
      <c r="B38" s="154" t="s">
        <v>81</v>
      </c>
      <c r="C38" s="57" t="s">
        <v>82</v>
      </c>
      <c r="D38" s="151">
        <f>Th_CSE!AF36</f>
        <v>100</v>
      </c>
      <c r="E38" s="151">
        <f>CSE_B1!V37</f>
        <v>90.90909091</v>
      </c>
      <c r="F38" s="152">
        <f t="shared" si="1"/>
        <v>95.45454545</v>
      </c>
    </row>
    <row r="39" ht="15.75" customHeight="1">
      <c r="A39" s="153">
        <v>27.0</v>
      </c>
      <c r="B39" s="154" t="s">
        <v>83</v>
      </c>
      <c r="C39" s="57" t="s">
        <v>84</v>
      </c>
      <c r="D39" s="151">
        <f>Th_CSE!AF37</f>
        <v>81.81818182</v>
      </c>
      <c r="E39" s="151">
        <f>CSE_B1!V38</f>
        <v>100</v>
      </c>
      <c r="F39" s="152">
        <f t="shared" si="1"/>
        <v>90.90909091</v>
      </c>
    </row>
    <row r="40" ht="15.75" customHeight="1">
      <c r="A40" s="153">
        <v>28.0</v>
      </c>
      <c r="B40" s="154" t="s">
        <v>85</v>
      </c>
      <c r="C40" s="57" t="s">
        <v>86</v>
      </c>
      <c r="D40" s="151">
        <f>Th_CSE!AF38</f>
        <v>77.27272727</v>
      </c>
      <c r="E40" s="151">
        <f>CSE_B1!V39</f>
        <v>72.72727273</v>
      </c>
      <c r="F40" s="152">
        <f t="shared" si="1"/>
        <v>75</v>
      </c>
    </row>
    <row r="41" ht="15.75" customHeight="1">
      <c r="A41" s="153">
        <v>29.0</v>
      </c>
      <c r="B41" s="154" t="s">
        <v>87</v>
      </c>
      <c r="C41" s="57" t="s">
        <v>88</v>
      </c>
      <c r="D41" s="151">
        <f>Th_CSE!AF39</f>
        <v>77.27272727</v>
      </c>
      <c r="E41" s="151">
        <f>CSE_B1!V40</f>
        <v>72.72727273</v>
      </c>
      <c r="F41" s="152">
        <f t="shared" si="1"/>
        <v>75</v>
      </c>
    </row>
    <row r="42" ht="15.75" customHeight="1">
      <c r="A42" s="153">
        <v>30.0</v>
      </c>
      <c r="B42" s="154" t="s">
        <v>89</v>
      </c>
      <c r="C42" s="57" t="s">
        <v>90</v>
      </c>
      <c r="D42" s="151">
        <f>Th_CSE!AF40</f>
        <v>95.45454545</v>
      </c>
      <c r="E42" s="151">
        <f>CSE_B1!V41</f>
        <v>63.63636364</v>
      </c>
      <c r="F42" s="152">
        <f t="shared" si="1"/>
        <v>79.54545455</v>
      </c>
    </row>
    <row r="43" ht="15.75" customHeight="1">
      <c r="A43" s="153">
        <v>31.0</v>
      </c>
      <c r="B43" s="154" t="s">
        <v>91</v>
      </c>
      <c r="C43" s="57" t="s">
        <v>92</v>
      </c>
      <c r="D43" s="151">
        <f>Th_CSE!AF41</f>
        <v>95.45454545</v>
      </c>
      <c r="E43" s="151">
        <f>CSE_B1!V42</f>
        <v>72.72727273</v>
      </c>
      <c r="F43" s="152">
        <f t="shared" si="1"/>
        <v>84.09090909</v>
      </c>
    </row>
    <row r="44" ht="15.75" customHeight="1">
      <c r="A44" s="153">
        <v>32.0</v>
      </c>
      <c r="B44" s="154" t="s">
        <v>93</v>
      </c>
      <c r="C44" s="57" t="s">
        <v>94</v>
      </c>
      <c r="D44" s="151">
        <f>Th_CSE!AF42</f>
        <v>72.72727273</v>
      </c>
      <c r="E44" s="151">
        <f>CSE_B1!V43</f>
        <v>63.63636364</v>
      </c>
      <c r="F44" s="152">
        <f t="shared" si="1"/>
        <v>68.18181818</v>
      </c>
    </row>
    <row r="45" ht="15.75" customHeight="1">
      <c r="A45" s="153">
        <v>33.0</v>
      </c>
      <c r="B45" s="154" t="s">
        <v>95</v>
      </c>
      <c r="C45" s="57" t="s">
        <v>96</v>
      </c>
      <c r="D45" s="151">
        <f>Th_CSE!AF43</f>
        <v>72.72727273</v>
      </c>
      <c r="E45" s="151">
        <f>CSE_B1!V44</f>
        <v>27.27272727</v>
      </c>
      <c r="F45" s="152">
        <f t="shared" si="1"/>
        <v>50</v>
      </c>
    </row>
    <row r="46" ht="15.75" customHeight="1">
      <c r="A46" s="153">
        <v>34.0</v>
      </c>
      <c r="B46" s="154" t="s">
        <v>97</v>
      </c>
      <c r="C46" s="57" t="s">
        <v>98</v>
      </c>
      <c r="D46" s="151">
        <f>Th_CSE!AF44</f>
        <v>54.54545455</v>
      </c>
      <c r="E46" s="151">
        <f>CSE_B1!V45</f>
        <v>72.72727273</v>
      </c>
      <c r="F46" s="152">
        <f t="shared" si="1"/>
        <v>63.63636364</v>
      </c>
    </row>
    <row r="47" ht="15.75" customHeight="1">
      <c r="A47" s="153">
        <v>35.0</v>
      </c>
      <c r="B47" s="154" t="s">
        <v>99</v>
      </c>
      <c r="C47" s="57" t="s">
        <v>100</v>
      </c>
      <c r="D47" s="151">
        <f>Th_CSE!AF45</f>
        <v>63.63636364</v>
      </c>
      <c r="E47" s="151">
        <f>CSE_B1!V46</f>
        <v>63.63636364</v>
      </c>
      <c r="F47" s="152">
        <f t="shared" si="1"/>
        <v>63.63636364</v>
      </c>
    </row>
    <row r="48" ht="15.75" customHeight="1">
      <c r="A48" s="153">
        <v>36.0</v>
      </c>
      <c r="B48" s="154" t="s">
        <v>101</v>
      </c>
      <c r="C48" s="57" t="s">
        <v>102</v>
      </c>
      <c r="D48" s="151">
        <f>Th_CSE!AF46</f>
        <v>72.72727273</v>
      </c>
      <c r="E48" s="151">
        <f>CSE_B1!V47</f>
        <v>54.54545455</v>
      </c>
      <c r="F48" s="152">
        <f t="shared" si="1"/>
        <v>63.63636364</v>
      </c>
    </row>
    <row r="49" ht="15.75" customHeight="1">
      <c r="A49" s="153">
        <v>37.0</v>
      </c>
      <c r="B49" s="154" t="s">
        <v>103</v>
      </c>
      <c r="C49" s="57" t="s">
        <v>104</v>
      </c>
      <c r="D49" s="151">
        <f>Th_CSE!AF47</f>
        <v>90.90909091</v>
      </c>
      <c r="E49" s="151">
        <f>CSE_B1!V48</f>
        <v>72.72727273</v>
      </c>
      <c r="F49" s="152">
        <f t="shared" si="1"/>
        <v>81.81818182</v>
      </c>
    </row>
    <row r="50" ht="15.75" customHeight="1">
      <c r="A50" s="153">
        <v>38.0</v>
      </c>
      <c r="B50" s="154" t="s">
        <v>105</v>
      </c>
      <c r="C50" s="57" t="s">
        <v>106</v>
      </c>
      <c r="D50" s="151">
        <f>Th_CSE!AF49</f>
        <v>77.27272727</v>
      </c>
      <c r="E50" s="151">
        <f>CSE_B2!W12</f>
        <v>91.66666667</v>
      </c>
      <c r="F50" s="152">
        <f t="shared" si="1"/>
        <v>84.46969697</v>
      </c>
    </row>
    <row r="51" ht="15.75" customHeight="1">
      <c r="A51" s="153">
        <v>39.0</v>
      </c>
      <c r="B51" s="154" t="s">
        <v>107</v>
      </c>
      <c r="C51" s="57" t="s">
        <v>108</v>
      </c>
      <c r="D51" s="151">
        <f>Th_CSE!AF50</f>
        <v>63.63636364</v>
      </c>
      <c r="E51" s="151">
        <f>CSE_B2!W13</f>
        <v>75</v>
      </c>
      <c r="F51" s="152">
        <f t="shared" si="1"/>
        <v>69.31818182</v>
      </c>
    </row>
    <row r="52" ht="15.75" customHeight="1">
      <c r="A52" s="153">
        <v>40.0</v>
      </c>
      <c r="B52" s="154" t="s">
        <v>109</v>
      </c>
      <c r="C52" s="57" t="s">
        <v>110</v>
      </c>
      <c r="D52" s="151">
        <f>Th_CSE!AF51</f>
        <v>86.36363636</v>
      </c>
      <c r="E52" s="151">
        <f>CSE_B2!W14</f>
        <v>0</v>
      </c>
      <c r="F52" s="152">
        <f t="shared" si="1"/>
        <v>43.18181818</v>
      </c>
    </row>
    <row r="53" ht="15.75" customHeight="1">
      <c r="A53" s="153">
        <v>41.0</v>
      </c>
      <c r="B53" s="154" t="s">
        <v>111</v>
      </c>
      <c r="C53" s="57" t="s">
        <v>112</v>
      </c>
      <c r="D53" s="151">
        <f>Th_CSE!AF52</f>
        <v>77.27272727</v>
      </c>
      <c r="E53" s="151">
        <f>CSE_B2!W15</f>
        <v>75</v>
      </c>
      <c r="F53" s="152">
        <f t="shared" si="1"/>
        <v>76.13636364</v>
      </c>
    </row>
    <row r="54" ht="15.75" customHeight="1">
      <c r="A54" s="153">
        <v>42.0</v>
      </c>
      <c r="B54" s="154" t="s">
        <v>113</v>
      </c>
      <c r="C54" s="57" t="s">
        <v>114</v>
      </c>
      <c r="D54" s="151">
        <f>Th_CSE!AF53</f>
        <v>77.27272727</v>
      </c>
      <c r="E54" s="151">
        <f>CSE_B2!W16</f>
        <v>75</v>
      </c>
      <c r="F54" s="152">
        <f t="shared" si="1"/>
        <v>76.13636364</v>
      </c>
    </row>
    <row r="55" ht="15.75" customHeight="1">
      <c r="A55" s="153">
        <v>43.0</v>
      </c>
      <c r="B55" s="154" t="s">
        <v>115</v>
      </c>
      <c r="C55" s="57" t="s">
        <v>116</v>
      </c>
      <c r="D55" s="151">
        <f>Th_CSE!AF54</f>
        <v>81.81818182</v>
      </c>
      <c r="E55" s="151">
        <f>CSE_B2!W17</f>
        <v>25</v>
      </c>
      <c r="F55" s="152">
        <f t="shared" si="1"/>
        <v>53.40909091</v>
      </c>
    </row>
    <row r="56" ht="15.75" customHeight="1">
      <c r="A56" s="153">
        <v>44.0</v>
      </c>
      <c r="B56" s="154" t="s">
        <v>117</v>
      </c>
      <c r="C56" s="57" t="s">
        <v>118</v>
      </c>
      <c r="D56" s="151">
        <f>Th_CSE!AF55</f>
        <v>86.36363636</v>
      </c>
      <c r="E56" s="151">
        <f>CSE_B2!W18</f>
        <v>91.66666667</v>
      </c>
      <c r="F56" s="152">
        <f t="shared" si="1"/>
        <v>89.01515152</v>
      </c>
    </row>
    <row r="57" ht="15.75" customHeight="1">
      <c r="A57" s="153">
        <v>45.0</v>
      </c>
      <c r="B57" s="154" t="s">
        <v>119</v>
      </c>
      <c r="C57" s="57" t="s">
        <v>120</v>
      </c>
      <c r="D57" s="151">
        <f>Th_CSE!AF56</f>
        <v>63.63636364</v>
      </c>
      <c r="E57" s="151">
        <f>CSE_B2!W19</f>
        <v>75</v>
      </c>
      <c r="F57" s="152">
        <f t="shared" si="1"/>
        <v>69.31818182</v>
      </c>
    </row>
    <row r="58" ht="15.75" customHeight="1">
      <c r="A58" s="153">
        <v>46.0</v>
      </c>
      <c r="B58" s="154" t="s">
        <v>121</v>
      </c>
      <c r="C58" s="57" t="s">
        <v>122</v>
      </c>
      <c r="D58" s="151">
        <f>Th_CSE!AF57</f>
        <v>63.63636364</v>
      </c>
      <c r="E58" s="151">
        <f>CSE_B2!W20</f>
        <v>75</v>
      </c>
      <c r="F58" s="152">
        <f t="shared" si="1"/>
        <v>69.31818182</v>
      </c>
    </row>
    <row r="59" ht="15.75" customHeight="1">
      <c r="A59" s="153">
        <v>47.0</v>
      </c>
      <c r="B59" s="154" t="s">
        <v>123</v>
      </c>
      <c r="C59" s="57" t="s">
        <v>124</v>
      </c>
      <c r="D59" s="151">
        <f>Th_CSE!AF58</f>
        <v>100</v>
      </c>
      <c r="E59" s="151">
        <f>CSE_B2!W21</f>
        <v>91.66666667</v>
      </c>
      <c r="F59" s="152">
        <f t="shared" si="1"/>
        <v>95.83333333</v>
      </c>
    </row>
    <row r="60" ht="15.75" customHeight="1">
      <c r="A60" s="153">
        <v>48.0</v>
      </c>
      <c r="B60" s="154" t="s">
        <v>125</v>
      </c>
      <c r="C60" s="57" t="s">
        <v>126</v>
      </c>
      <c r="D60" s="151">
        <f>Th_CSE!AF59</f>
        <v>68.18181818</v>
      </c>
      <c r="E60" s="151">
        <f>CSE_B2!W22</f>
        <v>91.66666667</v>
      </c>
      <c r="F60" s="152">
        <f t="shared" si="1"/>
        <v>79.92424242</v>
      </c>
    </row>
    <row r="61" ht="15.75" customHeight="1">
      <c r="A61" s="153">
        <v>49.0</v>
      </c>
      <c r="B61" s="154" t="s">
        <v>127</v>
      </c>
      <c r="C61" s="57" t="s">
        <v>128</v>
      </c>
      <c r="D61" s="151">
        <f>Th_CSE!AF60</f>
        <v>81.81818182</v>
      </c>
      <c r="E61" s="151">
        <f>CSE_B2!W23</f>
        <v>83.33333333</v>
      </c>
      <c r="F61" s="152">
        <f t="shared" si="1"/>
        <v>82.57575758</v>
      </c>
    </row>
    <row r="62" ht="15.75" customHeight="1">
      <c r="A62" s="153">
        <v>50.0</v>
      </c>
      <c r="B62" s="154" t="s">
        <v>129</v>
      </c>
      <c r="C62" s="57" t="s">
        <v>130</v>
      </c>
      <c r="D62" s="151">
        <f>Th_CSE!AF61</f>
        <v>100</v>
      </c>
      <c r="E62" s="151">
        <f>CSE_B2!W24</f>
        <v>66.66666667</v>
      </c>
      <c r="F62" s="152">
        <f t="shared" si="1"/>
        <v>83.33333333</v>
      </c>
    </row>
    <row r="63" ht="15.75" customHeight="1">
      <c r="A63" s="153">
        <v>51.0</v>
      </c>
      <c r="B63" s="154" t="s">
        <v>131</v>
      </c>
      <c r="C63" s="57" t="s">
        <v>132</v>
      </c>
      <c r="D63" s="151">
        <f>Th_CSE!AF62</f>
        <v>77.27272727</v>
      </c>
      <c r="E63" s="151">
        <f>CSE_B2!W25</f>
        <v>83.33333333</v>
      </c>
      <c r="F63" s="152">
        <f t="shared" si="1"/>
        <v>80.3030303</v>
      </c>
    </row>
    <row r="64" ht="15.75" customHeight="1">
      <c r="A64" s="153">
        <v>52.0</v>
      </c>
      <c r="B64" s="154" t="s">
        <v>133</v>
      </c>
      <c r="C64" s="57" t="s">
        <v>134</v>
      </c>
      <c r="D64" s="151">
        <f>Th_CSE!AF63</f>
        <v>72.72727273</v>
      </c>
      <c r="E64" s="151">
        <f>CSE_B2!W26</f>
        <v>66.66666667</v>
      </c>
      <c r="F64" s="152">
        <f t="shared" si="1"/>
        <v>69.6969697</v>
      </c>
    </row>
    <row r="65" ht="15.75" customHeight="1">
      <c r="A65" s="153">
        <v>53.0</v>
      </c>
      <c r="B65" s="154" t="s">
        <v>135</v>
      </c>
      <c r="C65" s="57" t="s">
        <v>136</v>
      </c>
      <c r="D65" s="151">
        <f>Th_CSE!AF64</f>
        <v>81.81818182</v>
      </c>
      <c r="E65" s="151">
        <f>CSE_B2!W27</f>
        <v>100</v>
      </c>
      <c r="F65" s="152">
        <f t="shared" si="1"/>
        <v>90.90909091</v>
      </c>
    </row>
    <row r="66" ht="15.75" customHeight="1">
      <c r="A66" s="153">
        <v>54.0</v>
      </c>
      <c r="B66" s="154" t="s">
        <v>137</v>
      </c>
      <c r="C66" s="57" t="s">
        <v>138</v>
      </c>
      <c r="D66" s="151">
        <f>Th_CSE!AF65</f>
        <v>95.45454545</v>
      </c>
      <c r="E66" s="151">
        <f>CSE_B2!W28</f>
        <v>83.33333333</v>
      </c>
      <c r="F66" s="152">
        <f t="shared" si="1"/>
        <v>89.39393939</v>
      </c>
    </row>
    <row r="67" ht="15.75" customHeight="1">
      <c r="A67" s="153">
        <v>55.0</v>
      </c>
      <c r="B67" s="154" t="s">
        <v>139</v>
      </c>
      <c r="C67" s="57" t="s">
        <v>140</v>
      </c>
      <c r="D67" s="151">
        <f>Th_CSE!AF66</f>
        <v>90.90909091</v>
      </c>
      <c r="E67" s="151">
        <f>CSE_B2!W29</f>
        <v>66.66666667</v>
      </c>
      <c r="F67" s="152">
        <f t="shared" si="1"/>
        <v>78.78787879</v>
      </c>
    </row>
    <row r="68" ht="15.75" customHeight="1">
      <c r="A68" s="153">
        <v>56.0</v>
      </c>
      <c r="B68" s="154" t="s">
        <v>141</v>
      </c>
      <c r="C68" s="57" t="s">
        <v>142</v>
      </c>
      <c r="D68" s="151">
        <f>Th_CSE!AF67</f>
        <v>72.72727273</v>
      </c>
      <c r="E68" s="151">
        <f>CSE_B2!W30</f>
        <v>66.66666667</v>
      </c>
      <c r="F68" s="152">
        <f t="shared" si="1"/>
        <v>69.6969697</v>
      </c>
    </row>
    <row r="69" ht="15.75" customHeight="1">
      <c r="A69" s="153">
        <v>57.0</v>
      </c>
      <c r="B69" s="154" t="s">
        <v>143</v>
      </c>
      <c r="C69" s="57" t="s">
        <v>144</v>
      </c>
      <c r="D69" s="151">
        <f>Th_CSE!AF68</f>
        <v>86.36363636</v>
      </c>
      <c r="E69" s="151">
        <f>CSE_B2!W31</f>
        <v>75</v>
      </c>
      <c r="F69" s="152">
        <f t="shared" si="1"/>
        <v>80.68181818</v>
      </c>
    </row>
    <row r="70" ht="15.75" customHeight="1">
      <c r="A70" s="153">
        <v>58.0</v>
      </c>
      <c r="B70" s="154" t="s">
        <v>145</v>
      </c>
      <c r="C70" s="57" t="s">
        <v>146</v>
      </c>
      <c r="D70" s="151">
        <f>Th_CSE!AF69</f>
        <v>90.90909091</v>
      </c>
      <c r="E70" s="151">
        <f>CSE_B2!W32</f>
        <v>75</v>
      </c>
      <c r="F70" s="152">
        <f t="shared" si="1"/>
        <v>82.95454545</v>
      </c>
    </row>
    <row r="71" ht="15.75" customHeight="1">
      <c r="A71" s="153">
        <v>59.0</v>
      </c>
      <c r="B71" s="154" t="s">
        <v>147</v>
      </c>
      <c r="C71" s="57" t="s">
        <v>148</v>
      </c>
      <c r="D71" s="151">
        <f>Th_CSE!AF70</f>
        <v>72.72727273</v>
      </c>
      <c r="E71" s="151">
        <f>CSE_B2!W33</f>
        <v>83.33333333</v>
      </c>
      <c r="F71" s="152">
        <f t="shared" si="1"/>
        <v>78.03030303</v>
      </c>
    </row>
    <row r="72" ht="15.75" customHeight="1">
      <c r="A72" s="153">
        <v>60.0</v>
      </c>
      <c r="B72" s="154" t="s">
        <v>149</v>
      </c>
      <c r="C72" s="57" t="s">
        <v>150</v>
      </c>
      <c r="D72" s="151">
        <f>Th_CSE!AF71</f>
        <v>90.90909091</v>
      </c>
      <c r="E72" s="151">
        <f>CSE_B2!W34</f>
        <v>75</v>
      </c>
      <c r="F72" s="152">
        <f t="shared" si="1"/>
        <v>82.95454545</v>
      </c>
    </row>
    <row r="73" ht="15.75" customHeight="1">
      <c r="A73" s="153">
        <v>61.0</v>
      </c>
      <c r="B73" s="154" t="s">
        <v>151</v>
      </c>
      <c r="C73" s="57" t="s">
        <v>152</v>
      </c>
      <c r="D73" s="151">
        <f>Th_CSE!AF72</f>
        <v>81.81818182</v>
      </c>
      <c r="E73" s="151">
        <f>CSE_B2!W35</f>
        <v>91.66666667</v>
      </c>
      <c r="F73" s="152">
        <f t="shared" si="1"/>
        <v>86.74242424</v>
      </c>
    </row>
    <row r="74" ht="15.75" customHeight="1">
      <c r="A74" s="153">
        <v>62.0</v>
      </c>
      <c r="B74" s="154" t="s">
        <v>153</v>
      </c>
      <c r="C74" s="57" t="s">
        <v>154</v>
      </c>
      <c r="D74" s="151">
        <f>Th_CSE!AF73</f>
        <v>81.81818182</v>
      </c>
      <c r="E74" s="151">
        <f>CSE_B2!W36</f>
        <v>83.33333333</v>
      </c>
      <c r="F74" s="152">
        <f t="shared" si="1"/>
        <v>82.57575758</v>
      </c>
    </row>
    <row r="75" ht="15.75" customHeight="1">
      <c r="A75" s="153">
        <v>63.0</v>
      </c>
      <c r="B75" s="154" t="s">
        <v>155</v>
      </c>
      <c r="C75" s="57" t="s">
        <v>156</v>
      </c>
      <c r="D75" s="151">
        <f>Th_CSE!AF74</f>
        <v>81.81818182</v>
      </c>
      <c r="E75" s="151">
        <f>CSE_B2!W37</f>
        <v>58.33333333</v>
      </c>
      <c r="F75" s="152">
        <f t="shared" si="1"/>
        <v>70.07575758</v>
      </c>
    </row>
    <row r="76" ht="15.75" customHeight="1">
      <c r="A76" s="153">
        <v>64.0</v>
      </c>
      <c r="B76" s="154" t="s">
        <v>157</v>
      </c>
      <c r="C76" s="57" t="s">
        <v>158</v>
      </c>
      <c r="D76" s="151">
        <f>Th_CSE!AF75</f>
        <v>86.36363636</v>
      </c>
      <c r="E76" s="151">
        <f>CSE_B2!W38</f>
        <v>91.66666667</v>
      </c>
      <c r="F76" s="152">
        <f t="shared" si="1"/>
        <v>89.01515152</v>
      </c>
    </row>
    <row r="77" ht="15.75" customHeight="1">
      <c r="A77" s="153">
        <v>65.0</v>
      </c>
      <c r="B77" s="154" t="s">
        <v>159</v>
      </c>
      <c r="C77" s="57" t="s">
        <v>160</v>
      </c>
      <c r="D77" s="151">
        <f>Th_CSE!AF76</f>
        <v>90.90909091</v>
      </c>
      <c r="E77" s="151">
        <f>CSE_B2!W39</f>
        <v>91.66666667</v>
      </c>
      <c r="F77" s="152">
        <f t="shared" si="1"/>
        <v>91.28787879</v>
      </c>
    </row>
    <row r="78" ht="15.75" customHeight="1">
      <c r="A78" s="153">
        <v>66.0</v>
      </c>
      <c r="B78" s="154" t="s">
        <v>161</v>
      </c>
      <c r="C78" s="57" t="s">
        <v>162</v>
      </c>
      <c r="D78" s="151">
        <f>Th_CSE!AF77</f>
        <v>81.81818182</v>
      </c>
      <c r="E78" s="151">
        <f>CSE_B2!W40</f>
        <v>100</v>
      </c>
      <c r="F78" s="152">
        <f t="shared" si="1"/>
        <v>90.90909091</v>
      </c>
    </row>
    <row r="79" ht="15.75" customHeight="1">
      <c r="A79" s="153">
        <v>67.0</v>
      </c>
      <c r="B79" s="154" t="s">
        <v>163</v>
      </c>
      <c r="C79" s="57" t="s">
        <v>164</v>
      </c>
      <c r="D79" s="151">
        <f>Th_CSE!AF78</f>
        <v>86.36363636</v>
      </c>
      <c r="E79" s="151">
        <f>CSE_B2!W41</f>
        <v>83.33333333</v>
      </c>
      <c r="F79" s="152">
        <f t="shared" si="1"/>
        <v>84.84848485</v>
      </c>
    </row>
    <row r="80" ht="15.75" customHeight="1">
      <c r="A80" s="153">
        <v>68.0</v>
      </c>
      <c r="B80" s="154" t="s">
        <v>165</v>
      </c>
      <c r="C80" s="57" t="s">
        <v>166</v>
      </c>
      <c r="D80" s="151">
        <f>Th_CSE!AF79</f>
        <v>90.90909091</v>
      </c>
      <c r="E80" s="151">
        <f>CSE_B2!W42</f>
        <v>91.66666667</v>
      </c>
      <c r="F80" s="152">
        <f t="shared" si="1"/>
        <v>91.28787879</v>
      </c>
    </row>
    <row r="81" ht="15.75" customHeight="1">
      <c r="A81" s="153">
        <v>69.0</v>
      </c>
      <c r="B81" s="155" t="s">
        <v>167</v>
      </c>
      <c r="C81" s="57" t="s">
        <v>168</v>
      </c>
      <c r="D81" s="151">
        <f>Th_CSE!AF80</f>
        <v>81.81818182</v>
      </c>
      <c r="E81" s="151">
        <f>CSE_B2!W43</f>
        <v>100</v>
      </c>
      <c r="F81" s="152">
        <f t="shared" si="1"/>
        <v>90.90909091</v>
      </c>
    </row>
    <row r="82" ht="15.75" customHeight="1">
      <c r="A82" s="153">
        <v>70.0</v>
      </c>
      <c r="B82" s="28" t="s">
        <v>169</v>
      </c>
      <c r="C82" s="57" t="s">
        <v>170</v>
      </c>
      <c r="D82" s="151">
        <f>Th_CSE!AF81</f>
        <v>68.18181818</v>
      </c>
      <c r="E82" s="151">
        <f>CSE_B2!W44</f>
        <v>75</v>
      </c>
      <c r="F82" s="152">
        <f t="shared" si="1"/>
        <v>71.59090909</v>
      </c>
    </row>
    <row r="83" ht="15.75" customHeight="1">
      <c r="A83" s="153">
        <v>71.0</v>
      </c>
      <c r="B83" s="28" t="s">
        <v>171</v>
      </c>
      <c r="C83" s="57" t="s">
        <v>172</v>
      </c>
      <c r="D83" s="151">
        <f>Th_CSE!AF82</f>
        <v>81.81818182</v>
      </c>
      <c r="E83" s="151">
        <f>CSE_B2!W45</f>
        <v>83.33333333</v>
      </c>
      <c r="F83" s="152">
        <f t="shared" si="1"/>
        <v>82.57575758</v>
      </c>
    </row>
    <row r="84" ht="15.75" customHeight="1">
      <c r="A84" s="153">
        <v>72.0</v>
      </c>
      <c r="B84" s="154" t="s">
        <v>173</v>
      </c>
      <c r="C84" s="57" t="s">
        <v>174</v>
      </c>
      <c r="D84" s="151">
        <f>Th_CSE!AF83</f>
        <v>100</v>
      </c>
      <c r="E84" s="151">
        <f>CSE_B2!W46</f>
        <v>91.66666667</v>
      </c>
      <c r="F84" s="152">
        <f t="shared" si="1"/>
        <v>95.83333333</v>
      </c>
    </row>
    <row r="85" ht="15.75" customHeight="1">
      <c r="A85" s="153">
        <v>73.0</v>
      </c>
      <c r="B85" s="154" t="s">
        <v>175</v>
      </c>
      <c r="C85" s="57" t="s">
        <v>176</v>
      </c>
      <c r="D85" s="151">
        <f>Th_CSE!AF84</f>
        <v>100</v>
      </c>
      <c r="E85" s="151">
        <f>CSE_B2!W47</f>
        <v>91.66666667</v>
      </c>
      <c r="F85" s="152">
        <f t="shared" si="1"/>
        <v>95.83333333</v>
      </c>
    </row>
    <row r="86" ht="15.75" customHeight="1">
      <c r="A86" s="153">
        <v>74.0</v>
      </c>
      <c r="B86" s="154" t="s">
        <v>177</v>
      </c>
      <c r="C86" s="57" t="s">
        <v>178</v>
      </c>
      <c r="D86" s="151" t="str">
        <f>Th_CSE!AF85</f>
        <v/>
      </c>
      <c r="E86" s="151" t="str">
        <f>CSE_B1!V86</f>
        <v/>
      </c>
      <c r="F86" s="156"/>
    </row>
    <row r="87" ht="15.75" customHeight="1">
      <c r="A87" s="17">
        <v>75.0</v>
      </c>
      <c r="B87" s="18"/>
      <c r="C87" s="25"/>
      <c r="D87" s="157" t="str">
        <f>Th_CSE!AF86</f>
        <v/>
      </c>
      <c r="E87" s="151" t="str">
        <f>CSE_B1!V87</f>
        <v/>
      </c>
      <c r="F87" s="156"/>
    </row>
    <row r="88" ht="15.75" customHeight="1">
      <c r="A88" s="17">
        <v>76.0</v>
      </c>
      <c r="B88" s="18"/>
      <c r="C88" s="25"/>
      <c r="D88" s="157" t="str">
        <f>Th_CSE!AF87</f>
        <v/>
      </c>
      <c r="E88" s="151" t="str">
        <f>CSE_B1!V88</f>
        <v/>
      </c>
      <c r="F88" s="156"/>
    </row>
    <row r="89" ht="15.75" customHeight="1">
      <c r="A89" s="17">
        <v>77.0</v>
      </c>
      <c r="B89" s="18"/>
      <c r="C89" s="25"/>
      <c r="D89" s="157" t="str">
        <f>Th_CSE!AF88</f>
        <v/>
      </c>
      <c r="E89" s="151" t="str">
        <f>CSE_B1!V89</f>
        <v/>
      </c>
      <c r="F89" s="156"/>
    </row>
    <row r="90" ht="15.75" customHeight="1">
      <c r="A90" s="17">
        <v>78.0</v>
      </c>
      <c r="B90" s="18"/>
      <c r="C90" s="25"/>
      <c r="D90" s="157" t="str">
        <f>Th_CSE!AF89</f>
        <v/>
      </c>
      <c r="E90" s="151" t="str">
        <f>CSE_B1!V90</f>
        <v/>
      </c>
      <c r="F90" s="156"/>
    </row>
    <row r="91" ht="15.75" customHeight="1">
      <c r="A91" s="17">
        <v>79.0</v>
      </c>
      <c r="B91" s="18"/>
      <c r="C91" s="25"/>
      <c r="D91" s="157" t="str">
        <f>Th_CSE!AF90</f>
        <v/>
      </c>
      <c r="E91" s="151" t="str">
        <f>CSE_B1!V91</f>
        <v/>
      </c>
      <c r="F91" s="156"/>
    </row>
    <row r="92" ht="15.75" customHeight="1">
      <c r="A92" s="17">
        <v>80.0</v>
      </c>
      <c r="B92" s="18"/>
      <c r="C92" s="25"/>
      <c r="D92" s="157" t="str">
        <f>Th_CSE!AF91</f>
        <v/>
      </c>
      <c r="E92" s="151" t="str">
        <f>CSE_B1!V92</f>
        <v/>
      </c>
      <c r="F92" s="156"/>
    </row>
    <row r="93" ht="15.75" customHeight="1">
      <c r="A93" s="17">
        <v>81.0</v>
      </c>
      <c r="B93" s="18"/>
      <c r="C93" s="25"/>
      <c r="D93" s="157" t="str">
        <f>Th_CSE!AF92</f>
        <v/>
      </c>
      <c r="E93" s="151" t="str">
        <f>CSE_B1!V93</f>
        <v/>
      </c>
      <c r="F93" s="156"/>
    </row>
    <row r="94" ht="15.75" customHeight="1">
      <c r="A94" s="17">
        <v>82.0</v>
      </c>
      <c r="B94" s="27"/>
      <c r="C94" s="25"/>
      <c r="D94" s="157" t="str">
        <f>Th_CSE!AF93</f>
        <v/>
      </c>
      <c r="E94" s="151" t="str">
        <f>CSE_B1!V94</f>
        <v/>
      </c>
      <c r="F94" s="156"/>
    </row>
    <row r="95" ht="15.75" customHeight="1">
      <c r="A95" s="17">
        <v>83.0</v>
      </c>
      <c r="B95" s="29"/>
      <c r="C95" s="69"/>
      <c r="D95" s="157" t="str">
        <f>Th_CSE!AF94</f>
        <v/>
      </c>
      <c r="E95" s="151" t="str">
        <f>CSE_B1!V95</f>
        <v/>
      </c>
      <c r="F95" s="156"/>
    </row>
    <row r="96" ht="15.75" customHeight="1">
      <c r="A96" s="17">
        <v>84.0</v>
      </c>
      <c r="B96" s="29"/>
      <c r="C96" s="69"/>
      <c r="D96" s="157" t="str">
        <f>Th_CSE!AF95</f>
        <v/>
      </c>
      <c r="E96" s="151" t="str">
        <f>CSE_B1!V96</f>
        <v/>
      </c>
      <c r="F96" s="156"/>
    </row>
    <row r="97" ht="15.75" customHeight="1">
      <c r="A97" s="17">
        <v>85.0</v>
      </c>
      <c r="B97" s="29"/>
      <c r="C97" s="69"/>
      <c r="D97" s="157" t="str">
        <f>Th_CSE!AF96</f>
        <v/>
      </c>
      <c r="E97" s="151" t="str">
        <f>CSE_B1!V97</f>
        <v/>
      </c>
      <c r="F97" s="156"/>
    </row>
    <row r="98" ht="15.75" customHeight="1">
      <c r="D98" s="146"/>
      <c r="E98" s="146"/>
    </row>
    <row r="99" ht="15.75" customHeight="1">
      <c r="D99" s="146"/>
      <c r="E99" s="146"/>
    </row>
    <row r="100" ht="15.75" customHeight="1">
      <c r="D100" s="146"/>
      <c r="E100" s="146"/>
    </row>
    <row r="101" ht="15.75" customHeight="1">
      <c r="D101" s="146"/>
      <c r="E101" s="146"/>
    </row>
    <row r="102" ht="15.75" customHeight="1">
      <c r="D102" s="146"/>
      <c r="E102" s="146"/>
    </row>
    <row r="103" ht="15.75" customHeight="1">
      <c r="D103" s="146"/>
      <c r="E103" s="146"/>
    </row>
    <row r="104" ht="15.75" customHeight="1">
      <c r="D104" s="146"/>
      <c r="E104" s="146"/>
    </row>
    <row r="105" ht="15.75" customHeight="1">
      <c r="D105" s="146"/>
      <c r="E105" s="146"/>
    </row>
    <row r="106" ht="15.75" customHeight="1">
      <c r="D106" s="146"/>
      <c r="E106" s="146"/>
    </row>
    <row r="107" ht="15.75" customHeight="1">
      <c r="D107" s="146"/>
      <c r="E107" s="146"/>
    </row>
    <row r="108" ht="15.75" customHeight="1">
      <c r="D108" s="146"/>
      <c r="E108" s="146"/>
    </row>
    <row r="109" ht="15.75" customHeight="1">
      <c r="D109" s="146"/>
      <c r="E109" s="146"/>
    </row>
    <row r="110" ht="15.75" customHeight="1">
      <c r="D110" s="146"/>
      <c r="E110" s="146"/>
    </row>
    <row r="111" ht="15.75" customHeight="1">
      <c r="D111" s="146"/>
      <c r="E111" s="146"/>
    </row>
    <row r="112" ht="15.75" customHeight="1">
      <c r="D112" s="146"/>
      <c r="E112" s="146"/>
    </row>
    <row r="113" ht="15.75" customHeight="1">
      <c r="D113" s="146"/>
      <c r="E113" s="146"/>
    </row>
    <row r="114" ht="15.75" customHeight="1">
      <c r="D114" s="146"/>
      <c r="E114" s="146"/>
    </row>
    <row r="115" ht="15.75" customHeight="1">
      <c r="D115" s="146"/>
      <c r="E115" s="146"/>
    </row>
    <row r="116" ht="15.75" customHeight="1">
      <c r="D116" s="146"/>
      <c r="E116" s="146"/>
    </row>
    <row r="117" ht="15.75" customHeight="1">
      <c r="D117" s="146"/>
      <c r="E117" s="146"/>
    </row>
    <row r="118" ht="15.75" customHeight="1">
      <c r="D118" s="146"/>
      <c r="E118" s="146"/>
    </row>
    <row r="119" ht="15.75" customHeight="1">
      <c r="D119" s="146"/>
      <c r="E119" s="146"/>
    </row>
    <row r="120" ht="15.75" customHeight="1">
      <c r="D120" s="146"/>
      <c r="E120" s="146"/>
    </row>
    <row r="121" ht="15.75" customHeight="1">
      <c r="D121" s="146"/>
      <c r="E121" s="146"/>
    </row>
    <row r="122" ht="15.75" customHeight="1">
      <c r="D122" s="146"/>
      <c r="E122" s="146"/>
    </row>
    <row r="123" ht="15.75" customHeight="1">
      <c r="D123" s="146"/>
      <c r="E123" s="146"/>
    </row>
    <row r="124" ht="15.75" customHeight="1">
      <c r="D124" s="146"/>
      <c r="E124" s="146"/>
    </row>
    <row r="125" ht="15.75" customHeight="1">
      <c r="D125" s="146"/>
      <c r="E125" s="146"/>
    </row>
    <row r="126" ht="15.75" customHeight="1">
      <c r="D126" s="146"/>
      <c r="E126" s="146"/>
    </row>
    <row r="127" ht="15.75" customHeight="1">
      <c r="D127" s="146"/>
      <c r="E127" s="146"/>
    </row>
    <row r="128" ht="15.75" customHeight="1">
      <c r="D128" s="146"/>
      <c r="E128" s="146"/>
    </row>
    <row r="129" ht="15.75" customHeight="1">
      <c r="D129" s="146"/>
      <c r="E129" s="146"/>
    </row>
    <row r="130" ht="15.75" customHeight="1">
      <c r="D130" s="146"/>
      <c r="E130" s="146"/>
    </row>
    <row r="131" ht="15.75" customHeight="1">
      <c r="D131" s="146"/>
      <c r="E131" s="146"/>
    </row>
    <row r="132" ht="15.75" customHeight="1">
      <c r="D132" s="146"/>
      <c r="E132" s="146"/>
    </row>
    <row r="133" ht="15.75" customHeight="1">
      <c r="D133" s="146"/>
      <c r="E133" s="146"/>
    </row>
    <row r="134" ht="15.75" customHeight="1">
      <c r="D134" s="146"/>
      <c r="E134" s="146"/>
    </row>
    <row r="135" ht="15.75" customHeight="1">
      <c r="D135" s="146"/>
      <c r="E135" s="146"/>
    </row>
    <row r="136" ht="15.75" customHeight="1">
      <c r="D136" s="146"/>
      <c r="E136" s="146"/>
    </row>
    <row r="137" ht="15.75" customHeight="1">
      <c r="D137" s="146"/>
      <c r="E137" s="146"/>
    </row>
    <row r="138" ht="15.75" customHeight="1">
      <c r="D138" s="146"/>
      <c r="E138" s="146"/>
    </row>
    <row r="139" ht="15.75" customHeight="1">
      <c r="D139" s="146"/>
      <c r="E139" s="146"/>
    </row>
    <row r="140" ht="15.75" customHeight="1">
      <c r="D140" s="146"/>
      <c r="E140" s="146"/>
    </row>
    <row r="141" ht="15.75" customHeight="1">
      <c r="D141" s="146"/>
      <c r="E141" s="146"/>
    </row>
    <row r="142" ht="15.75" customHeight="1">
      <c r="D142" s="146"/>
      <c r="E142" s="146"/>
    </row>
    <row r="143" ht="15.75" customHeight="1">
      <c r="D143" s="146"/>
      <c r="E143" s="146"/>
    </row>
    <row r="144" ht="15.75" customHeight="1">
      <c r="D144" s="146"/>
      <c r="E144" s="146"/>
    </row>
    <row r="145" ht="15.75" customHeight="1">
      <c r="D145" s="146"/>
      <c r="E145" s="146"/>
    </row>
    <row r="146" ht="15.75" customHeight="1">
      <c r="D146" s="146"/>
      <c r="E146" s="146"/>
    </row>
    <row r="147" ht="15.75" customHeight="1">
      <c r="D147" s="146"/>
      <c r="E147" s="146"/>
    </row>
    <row r="148" ht="15.75" customHeight="1">
      <c r="D148" s="146"/>
      <c r="E148" s="146"/>
    </row>
    <row r="149" ht="15.75" customHeight="1">
      <c r="D149" s="146"/>
      <c r="E149" s="146"/>
    </row>
    <row r="150" ht="15.75" customHeight="1">
      <c r="D150" s="146"/>
      <c r="E150" s="146"/>
    </row>
    <row r="151" ht="15.75" customHeight="1">
      <c r="D151" s="146"/>
      <c r="E151" s="146"/>
    </row>
    <row r="152" ht="15.75" customHeight="1">
      <c r="D152" s="146"/>
      <c r="E152" s="146"/>
    </row>
    <row r="153" ht="15.75" customHeight="1">
      <c r="D153" s="146"/>
      <c r="E153" s="146"/>
    </row>
    <row r="154" ht="15.75" customHeight="1">
      <c r="D154" s="146"/>
      <c r="E154" s="146"/>
    </row>
    <row r="155" ht="15.75" customHeight="1">
      <c r="D155" s="146"/>
      <c r="E155" s="146"/>
    </row>
    <row r="156" ht="15.75" customHeight="1">
      <c r="D156" s="146"/>
      <c r="E156" s="146"/>
    </row>
    <row r="157" ht="15.75" customHeight="1">
      <c r="D157" s="146"/>
      <c r="E157" s="146"/>
    </row>
    <row r="158" ht="15.75" customHeight="1">
      <c r="D158" s="146"/>
      <c r="E158" s="146"/>
    </row>
    <row r="159" ht="15.75" customHeight="1">
      <c r="D159" s="146"/>
      <c r="E159" s="146"/>
    </row>
    <row r="160" ht="15.75" customHeight="1">
      <c r="D160" s="146"/>
      <c r="E160" s="146"/>
    </row>
    <row r="161" ht="15.75" customHeight="1">
      <c r="D161" s="146"/>
      <c r="E161" s="146"/>
    </row>
    <row r="162" ht="15.75" customHeight="1">
      <c r="D162" s="146"/>
      <c r="E162" s="146"/>
    </row>
    <row r="163" ht="15.75" customHeight="1">
      <c r="D163" s="146"/>
      <c r="E163" s="146"/>
    </row>
    <row r="164" ht="15.75" customHeight="1">
      <c r="D164" s="146"/>
      <c r="E164" s="146"/>
    </row>
    <row r="165" ht="15.75" customHeight="1">
      <c r="D165" s="146"/>
      <c r="E165" s="146"/>
    </row>
    <row r="166" ht="15.75" customHeight="1">
      <c r="D166" s="146"/>
      <c r="E166" s="146"/>
    </row>
    <row r="167" ht="15.75" customHeight="1">
      <c r="D167" s="146"/>
      <c r="E167" s="146"/>
    </row>
    <row r="168" ht="15.75" customHeight="1">
      <c r="D168" s="146"/>
      <c r="E168" s="146"/>
    </row>
    <row r="169" ht="15.75" customHeight="1">
      <c r="D169" s="146"/>
      <c r="E169" s="146"/>
    </row>
    <row r="170" ht="15.75" customHeight="1">
      <c r="D170" s="146"/>
      <c r="E170" s="146"/>
    </row>
    <row r="171" ht="15.75" customHeight="1">
      <c r="D171" s="146"/>
      <c r="E171" s="146"/>
    </row>
    <row r="172" ht="15.75" customHeight="1">
      <c r="D172" s="146"/>
      <c r="E172" s="146"/>
    </row>
    <row r="173" ht="15.75" customHeight="1">
      <c r="D173" s="146"/>
      <c r="E173" s="146"/>
    </row>
    <row r="174" ht="15.75" customHeight="1">
      <c r="D174" s="146"/>
      <c r="E174" s="146"/>
    </row>
    <row r="175" ht="15.75" customHeight="1">
      <c r="D175" s="146"/>
      <c r="E175" s="146"/>
    </row>
    <row r="176" ht="15.75" customHeight="1">
      <c r="D176" s="146"/>
      <c r="E176" s="146"/>
    </row>
    <row r="177" ht="15.75" customHeight="1">
      <c r="D177" s="146"/>
      <c r="E177" s="146"/>
    </row>
    <row r="178" ht="15.75" customHeight="1">
      <c r="D178" s="146"/>
      <c r="E178" s="146"/>
    </row>
    <row r="179" ht="15.75" customHeight="1">
      <c r="D179" s="146"/>
      <c r="E179" s="146"/>
    </row>
    <row r="180" ht="15.75" customHeight="1">
      <c r="D180" s="146"/>
      <c r="E180" s="146"/>
    </row>
    <row r="181" ht="15.75" customHeight="1">
      <c r="D181" s="146"/>
      <c r="E181" s="146"/>
    </row>
    <row r="182" ht="15.75" customHeight="1">
      <c r="D182" s="146"/>
      <c r="E182" s="146"/>
    </row>
    <row r="183" ht="15.75" customHeight="1">
      <c r="D183" s="146"/>
      <c r="E183" s="146"/>
    </row>
    <row r="184" ht="15.75" customHeight="1">
      <c r="D184" s="146"/>
      <c r="E184" s="146"/>
    </row>
    <row r="185" ht="15.75" customHeight="1">
      <c r="D185" s="146"/>
      <c r="E185" s="146"/>
    </row>
    <row r="186" ht="15.75" customHeight="1">
      <c r="D186" s="146"/>
      <c r="E186" s="146"/>
    </row>
    <row r="187" ht="15.75" customHeight="1">
      <c r="D187" s="146"/>
      <c r="E187" s="146"/>
    </row>
    <row r="188" ht="15.75" customHeight="1">
      <c r="D188" s="146"/>
      <c r="E188" s="146"/>
    </row>
    <row r="189" ht="15.75" customHeight="1">
      <c r="D189" s="146"/>
      <c r="E189" s="146"/>
    </row>
    <row r="190" ht="15.75" customHeight="1">
      <c r="D190" s="146"/>
      <c r="E190" s="146"/>
    </row>
    <row r="191" ht="15.75" customHeight="1">
      <c r="D191" s="146"/>
      <c r="E191" s="146"/>
    </row>
    <row r="192" ht="15.75" customHeight="1">
      <c r="D192" s="146"/>
      <c r="E192" s="146"/>
    </row>
    <row r="193" ht="15.75" customHeight="1">
      <c r="D193" s="146"/>
      <c r="E193" s="146"/>
    </row>
    <row r="194" ht="15.75" customHeight="1">
      <c r="D194" s="146"/>
      <c r="E194" s="146"/>
    </row>
    <row r="195" ht="15.75" customHeight="1">
      <c r="D195" s="146"/>
      <c r="E195" s="146"/>
    </row>
    <row r="196" ht="15.75" customHeight="1">
      <c r="D196" s="146"/>
      <c r="E196" s="146"/>
    </row>
    <row r="197" ht="15.75" customHeight="1">
      <c r="D197" s="146"/>
      <c r="E197" s="146"/>
    </row>
    <row r="198" ht="15.75" customHeight="1">
      <c r="D198" s="146"/>
      <c r="E198" s="146"/>
    </row>
    <row r="199" ht="15.75" customHeight="1">
      <c r="D199" s="146"/>
      <c r="E199" s="146"/>
    </row>
    <row r="200" ht="15.75" customHeight="1">
      <c r="D200" s="146"/>
      <c r="E200" s="146"/>
    </row>
    <row r="201" ht="15.75" customHeight="1">
      <c r="D201" s="146"/>
      <c r="E201" s="146"/>
    </row>
    <row r="202" ht="15.75" customHeight="1">
      <c r="D202" s="146"/>
      <c r="E202" s="146"/>
    </row>
    <row r="203" ht="15.75" customHeight="1">
      <c r="D203" s="146"/>
      <c r="E203" s="146"/>
    </row>
    <row r="204" ht="15.75" customHeight="1">
      <c r="D204" s="146"/>
      <c r="E204" s="146"/>
    </row>
    <row r="205" ht="15.75" customHeight="1">
      <c r="D205" s="146"/>
      <c r="E205" s="146"/>
    </row>
    <row r="206" ht="15.75" customHeight="1">
      <c r="D206" s="146"/>
      <c r="E206" s="146"/>
    </row>
    <row r="207" ht="15.75" customHeight="1">
      <c r="D207" s="146"/>
      <c r="E207" s="146"/>
    </row>
    <row r="208" ht="15.75" customHeight="1">
      <c r="D208" s="146"/>
      <c r="E208" s="146"/>
    </row>
    <row r="209" ht="15.75" customHeight="1">
      <c r="D209" s="146"/>
      <c r="E209" s="146"/>
    </row>
    <row r="210" ht="15.75" customHeight="1">
      <c r="D210" s="146"/>
      <c r="E210" s="146"/>
    </row>
    <row r="211" ht="15.75" customHeight="1">
      <c r="D211" s="146"/>
      <c r="E211" s="146"/>
    </row>
    <row r="212" ht="15.75" customHeight="1">
      <c r="D212" s="146"/>
      <c r="E212" s="146"/>
    </row>
    <row r="213" ht="15.75" customHeight="1">
      <c r="D213" s="146"/>
      <c r="E213" s="146"/>
    </row>
    <row r="214" ht="15.75" customHeight="1">
      <c r="D214" s="146"/>
      <c r="E214" s="146"/>
    </row>
    <row r="215" ht="15.75" customHeight="1">
      <c r="D215" s="146"/>
      <c r="E215" s="146"/>
    </row>
    <row r="216" ht="15.75" customHeight="1">
      <c r="D216" s="146"/>
      <c r="E216" s="146"/>
    </row>
    <row r="217" ht="15.75" customHeight="1">
      <c r="D217" s="146"/>
      <c r="E217" s="146"/>
    </row>
    <row r="218" ht="15.75" customHeight="1">
      <c r="D218" s="146"/>
      <c r="E218" s="146"/>
    </row>
    <row r="219" ht="15.75" customHeight="1">
      <c r="D219" s="146"/>
      <c r="E219" s="146"/>
    </row>
    <row r="220" ht="15.75" customHeight="1">
      <c r="D220" s="146"/>
      <c r="E220" s="146"/>
    </row>
    <row r="221" ht="15.75" customHeight="1">
      <c r="D221" s="146"/>
      <c r="E221" s="146"/>
    </row>
    <row r="222" ht="15.75" customHeight="1">
      <c r="D222" s="146"/>
      <c r="E222" s="146"/>
    </row>
    <row r="223" ht="15.75" customHeight="1">
      <c r="D223" s="146"/>
      <c r="E223" s="146"/>
    </row>
    <row r="224" ht="15.75" customHeight="1">
      <c r="D224" s="146"/>
      <c r="E224" s="146"/>
    </row>
    <row r="225" ht="15.75" customHeight="1">
      <c r="D225" s="146"/>
      <c r="E225" s="146"/>
    </row>
    <row r="226" ht="15.75" customHeight="1">
      <c r="D226" s="146"/>
      <c r="E226" s="146"/>
    </row>
    <row r="227" ht="15.75" customHeight="1">
      <c r="D227" s="146"/>
      <c r="E227" s="146"/>
    </row>
    <row r="228" ht="15.75" customHeight="1">
      <c r="D228" s="146"/>
      <c r="E228" s="146"/>
    </row>
    <row r="229" ht="15.75" customHeight="1">
      <c r="D229" s="146"/>
      <c r="E229" s="146"/>
    </row>
    <row r="230" ht="15.75" customHeight="1">
      <c r="D230" s="146"/>
      <c r="E230" s="146"/>
    </row>
    <row r="231" ht="15.75" customHeight="1">
      <c r="D231" s="146"/>
      <c r="E231" s="146"/>
    </row>
    <row r="232" ht="15.75" customHeight="1">
      <c r="D232" s="146"/>
      <c r="E232" s="146"/>
    </row>
    <row r="233" ht="15.75" customHeight="1">
      <c r="D233" s="146"/>
      <c r="E233" s="146"/>
    </row>
    <row r="234" ht="15.75" customHeight="1">
      <c r="D234" s="146"/>
      <c r="E234" s="146"/>
    </row>
    <row r="235" ht="15.75" customHeight="1">
      <c r="D235" s="146"/>
      <c r="E235" s="146"/>
    </row>
    <row r="236" ht="15.75" customHeight="1">
      <c r="D236" s="146"/>
      <c r="E236" s="146"/>
    </row>
    <row r="237" ht="15.75" customHeight="1">
      <c r="D237" s="146"/>
      <c r="E237" s="146"/>
    </row>
    <row r="238" ht="15.75" customHeight="1">
      <c r="D238" s="146"/>
      <c r="E238" s="146"/>
    </row>
    <row r="239" ht="15.75" customHeight="1">
      <c r="D239" s="146"/>
      <c r="E239" s="146"/>
    </row>
    <row r="240" ht="15.75" customHeight="1">
      <c r="D240" s="146"/>
      <c r="E240" s="146"/>
    </row>
    <row r="241" ht="15.75" customHeight="1">
      <c r="D241" s="146"/>
      <c r="E241" s="146"/>
    </row>
    <row r="242" ht="15.75" customHeight="1">
      <c r="D242" s="146"/>
      <c r="E242" s="146"/>
    </row>
    <row r="243" ht="15.75" customHeight="1">
      <c r="D243" s="146"/>
      <c r="E243" s="146"/>
    </row>
    <row r="244" ht="15.75" customHeight="1">
      <c r="D244" s="146"/>
      <c r="E244" s="146"/>
    </row>
    <row r="245" ht="15.75" customHeight="1">
      <c r="D245" s="146"/>
      <c r="E245" s="146"/>
    </row>
    <row r="246" ht="15.75" customHeight="1">
      <c r="D246" s="146"/>
      <c r="E246" s="146"/>
    </row>
    <row r="247" ht="15.75" customHeight="1">
      <c r="D247" s="146"/>
      <c r="E247" s="146"/>
    </row>
    <row r="248" ht="15.75" customHeight="1">
      <c r="D248" s="146"/>
      <c r="E248" s="146"/>
    </row>
    <row r="249" ht="15.75" customHeight="1">
      <c r="D249" s="146"/>
      <c r="E249" s="146"/>
    </row>
    <row r="250" ht="15.75" customHeight="1">
      <c r="D250" s="146"/>
      <c r="E250" s="146"/>
    </row>
    <row r="251" ht="15.75" customHeight="1">
      <c r="D251" s="146"/>
      <c r="E251" s="146"/>
    </row>
    <row r="252" ht="15.75" customHeight="1">
      <c r="D252" s="146"/>
      <c r="E252" s="146"/>
    </row>
    <row r="253" ht="15.75" customHeight="1">
      <c r="D253" s="146"/>
      <c r="E253" s="146"/>
    </row>
    <row r="254" ht="15.75" customHeight="1">
      <c r="D254" s="146"/>
      <c r="E254" s="146"/>
    </row>
    <row r="255" ht="15.75" customHeight="1">
      <c r="D255" s="146"/>
      <c r="E255" s="146"/>
    </row>
    <row r="256" ht="15.75" customHeight="1">
      <c r="D256" s="146"/>
      <c r="E256" s="146"/>
    </row>
    <row r="257" ht="15.75" customHeight="1">
      <c r="D257" s="146"/>
      <c r="E257" s="146"/>
    </row>
    <row r="258" ht="15.75" customHeight="1">
      <c r="D258" s="146"/>
      <c r="E258" s="146"/>
    </row>
    <row r="259" ht="15.75" customHeight="1">
      <c r="D259" s="146"/>
      <c r="E259" s="146"/>
    </row>
    <row r="260" ht="15.75" customHeight="1">
      <c r="D260" s="146"/>
      <c r="E260" s="146"/>
    </row>
    <row r="261" ht="15.75" customHeight="1">
      <c r="D261" s="146"/>
      <c r="E261" s="146"/>
    </row>
    <row r="262" ht="15.75" customHeight="1">
      <c r="D262" s="146"/>
      <c r="E262" s="146"/>
    </row>
    <row r="263" ht="15.75" customHeight="1">
      <c r="D263" s="146"/>
      <c r="E263" s="146"/>
    </row>
    <row r="264" ht="15.75" customHeight="1">
      <c r="D264" s="146"/>
      <c r="E264" s="146"/>
    </row>
    <row r="265" ht="15.75" customHeight="1">
      <c r="D265" s="146"/>
      <c r="E265" s="146"/>
    </row>
    <row r="266" ht="15.75" customHeight="1">
      <c r="D266" s="146"/>
      <c r="E266" s="146"/>
    </row>
    <row r="267" ht="15.75" customHeight="1">
      <c r="D267" s="146"/>
      <c r="E267" s="146"/>
    </row>
    <row r="268" ht="15.75" customHeight="1">
      <c r="D268" s="146"/>
      <c r="E268" s="146"/>
    </row>
    <row r="269" ht="15.75" customHeight="1">
      <c r="D269" s="146"/>
      <c r="E269" s="146"/>
    </row>
    <row r="270" ht="15.75" customHeight="1">
      <c r="D270" s="146"/>
      <c r="E270" s="146"/>
    </row>
    <row r="271" ht="15.75" customHeight="1">
      <c r="D271" s="146"/>
      <c r="E271" s="146"/>
    </row>
    <row r="272" ht="15.75" customHeight="1">
      <c r="D272" s="146"/>
      <c r="E272" s="146"/>
    </row>
    <row r="273" ht="15.75" customHeight="1">
      <c r="D273" s="146"/>
      <c r="E273" s="146"/>
    </row>
    <row r="274" ht="15.75" customHeight="1">
      <c r="D274" s="146"/>
      <c r="E274" s="146"/>
    </row>
    <row r="275" ht="15.75" customHeight="1">
      <c r="D275" s="146"/>
      <c r="E275" s="146"/>
    </row>
    <row r="276" ht="15.75" customHeight="1">
      <c r="D276" s="146"/>
      <c r="E276" s="146"/>
    </row>
    <row r="277" ht="15.75" customHeight="1">
      <c r="D277" s="146"/>
      <c r="E277" s="146"/>
    </row>
    <row r="278" ht="15.75" customHeight="1">
      <c r="D278" s="146"/>
      <c r="E278" s="146"/>
    </row>
    <row r="279" ht="15.75" customHeight="1">
      <c r="D279" s="146"/>
      <c r="E279" s="146"/>
    </row>
    <row r="280" ht="15.75" customHeight="1">
      <c r="D280" s="146"/>
      <c r="E280" s="146"/>
    </row>
    <row r="281" ht="15.75" customHeight="1">
      <c r="D281" s="146"/>
      <c r="E281" s="146"/>
    </row>
    <row r="282" ht="15.75" customHeight="1">
      <c r="D282" s="146"/>
      <c r="E282" s="146"/>
    </row>
    <row r="283" ht="15.75" customHeight="1">
      <c r="D283" s="146"/>
      <c r="E283" s="146"/>
    </row>
    <row r="284" ht="15.75" customHeight="1">
      <c r="D284" s="146"/>
      <c r="E284" s="146"/>
    </row>
    <row r="285" ht="15.75" customHeight="1">
      <c r="D285" s="146"/>
      <c r="E285" s="146"/>
    </row>
    <row r="286" ht="15.75" customHeight="1">
      <c r="D286" s="146"/>
      <c r="E286" s="146"/>
    </row>
    <row r="287" ht="15.75" customHeight="1">
      <c r="D287" s="146"/>
      <c r="E287" s="146"/>
    </row>
    <row r="288" ht="15.75" customHeight="1">
      <c r="D288" s="146"/>
      <c r="E288" s="146"/>
    </row>
    <row r="289" ht="15.75" customHeight="1">
      <c r="D289" s="146"/>
      <c r="E289" s="146"/>
    </row>
    <row r="290" ht="15.75" customHeight="1">
      <c r="D290" s="146"/>
      <c r="E290" s="146"/>
    </row>
    <row r="291" ht="15.75" customHeight="1">
      <c r="D291" s="146"/>
      <c r="E291" s="146"/>
    </row>
    <row r="292" ht="15.75" customHeight="1">
      <c r="D292" s="146"/>
      <c r="E292" s="146"/>
    </row>
    <row r="293" ht="15.75" customHeight="1">
      <c r="D293" s="146"/>
      <c r="E293" s="146"/>
    </row>
    <row r="294" ht="15.75" customHeight="1">
      <c r="D294" s="146"/>
      <c r="E294" s="146"/>
    </row>
    <row r="295" ht="15.75" customHeight="1">
      <c r="D295" s="146"/>
      <c r="E295" s="146"/>
    </row>
    <row r="296" ht="15.75" customHeight="1">
      <c r="D296" s="146"/>
      <c r="E296" s="146"/>
    </row>
    <row r="297" ht="15.75" customHeight="1">
      <c r="D297" s="146"/>
      <c r="E297" s="146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9:E11"/>
    <mergeCell ref="F9:F11"/>
    <mergeCell ref="A1:AD1"/>
    <mergeCell ref="A2:AD2"/>
    <mergeCell ref="A3:AD3"/>
    <mergeCell ref="A4:AD4"/>
    <mergeCell ref="A5:AD5"/>
    <mergeCell ref="A6:AD6"/>
    <mergeCell ref="D9:D11"/>
  </mergeCells>
  <conditionalFormatting sqref="C15">
    <cfRule type="notContainsBlanks" dxfId="4" priority="1">
      <formula>LEN(TRIM(C15))&gt;0</formula>
    </cfRule>
  </conditionalFormatting>
  <printOptions/>
  <pageMargins bottom="0.75" footer="0.0" header="0.0" left="0.7" right="0.7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34.71"/>
    <col customWidth="1" min="4" max="6" width="12.29"/>
    <col customWidth="1" min="7" max="30" width="8.71"/>
  </cols>
  <sheetData>
    <row r="1" ht="17.25" customHeight="1">
      <c r="A1" s="158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ht="17.25" customHeight="1">
      <c r="A2" s="158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</row>
    <row r="3" ht="17.25" customHeight="1">
      <c r="A3" s="158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</row>
    <row r="4" ht="17.25" customHeight="1">
      <c r="A4" s="158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"/>
    </row>
    <row r="5" ht="17.25" customHeight="1">
      <c r="A5" s="158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</row>
    <row r="6" ht="17.25" customHeight="1">
      <c r="A6" s="158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"/>
    </row>
    <row r="7">
      <c r="D7" s="146"/>
      <c r="E7" s="146"/>
      <c r="F7" s="146"/>
      <c r="S7" s="147"/>
    </row>
    <row r="8">
      <c r="D8" s="146"/>
      <c r="E8" s="146"/>
      <c r="F8" s="146"/>
      <c r="S8" s="147"/>
    </row>
    <row r="9" ht="15.0" customHeight="1">
      <c r="D9" s="148" t="s">
        <v>323</v>
      </c>
      <c r="E9" s="148" t="s">
        <v>324</v>
      </c>
      <c r="F9" s="148" t="s">
        <v>325</v>
      </c>
      <c r="S9" s="147"/>
    </row>
    <row r="10">
      <c r="D10" s="149"/>
      <c r="E10" s="149"/>
      <c r="F10" s="149"/>
      <c r="S10" s="147"/>
    </row>
    <row r="11">
      <c r="D11" s="150"/>
      <c r="E11" s="150"/>
      <c r="F11" s="150"/>
    </row>
    <row r="12">
      <c r="A12" s="41" t="s">
        <v>26</v>
      </c>
      <c r="B12" s="41" t="s">
        <v>27</v>
      </c>
      <c r="C12" s="41" t="s">
        <v>28</v>
      </c>
      <c r="D12" s="157">
        <f>Th_ECE!AC12</f>
        <v>71.42857143</v>
      </c>
      <c r="E12" s="157">
        <f>ECE_B1!Y11</f>
        <v>63.63636364</v>
      </c>
      <c r="F12" s="156">
        <f t="shared" ref="F12:F69" si="1">AVERAGE(D12:E12)</f>
        <v>67.53246753</v>
      </c>
    </row>
    <row r="13">
      <c r="A13" s="17">
        <v>1.0</v>
      </c>
      <c r="B13" s="42" t="s">
        <v>183</v>
      </c>
      <c r="C13" s="19" t="s">
        <v>184</v>
      </c>
      <c r="D13" s="157">
        <f>Th_ECE!AC13</f>
        <v>76.19047619</v>
      </c>
      <c r="E13" s="157">
        <f>ECE_B1!Y12</f>
        <v>63.63636364</v>
      </c>
      <c r="F13" s="156">
        <f t="shared" si="1"/>
        <v>69.91341991</v>
      </c>
    </row>
    <row r="14">
      <c r="A14" s="17">
        <v>2.0</v>
      </c>
      <c r="B14" s="18" t="s">
        <v>185</v>
      </c>
      <c r="C14" s="25" t="s">
        <v>186</v>
      </c>
      <c r="D14" s="157">
        <f>Th_ECE!AC14</f>
        <v>90.47619048</v>
      </c>
      <c r="E14" s="157">
        <f>ECE_B1!Y13</f>
        <v>100</v>
      </c>
      <c r="F14" s="156">
        <f t="shared" si="1"/>
        <v>95.23809524</v>
      </c>
    </row>
    <row r="15">
      <c r="A15" s="17">
        <v>3.0</v>
      </c>
      <c r="B15" s="18" t="s">
        <v>187</v>
      </c>
      <c r="C15" s="25" t="s">
        <v>188</v>
      </c>
      <c r="D15" s="157">
        <f>Th_ECE!AC15</f>
        <v>66.66666667</v>
      </c>
      <c r="E15" s="157">
        <f>ECE_B1!Y14</f>
        <v>90.90909091</v>
      </c>
      <c r="F15" s="156">
        <f t="shared" si="1"/>
        <v>78.78787879</v>
      </c>
    </row>
    <row r="16">
      <c r="A16" s="17">
        <v>4.0</v>
      </c>
      <c r="B16" s="18" t="s">
        <v>189</v>
      </c>
      <c r="C16" s="25" t="s">
        <v>190</v>
      </c>
      <c r="D16" s="157">
        <f>Th_ECE!AC16</f>
        <v>71.42857143</v>
      </c>
      <c r="E16" s="157">
        <f>ECE_B1!Y15</f>
        <v>100</v>
      </c>
      <c r="F16" s="156">
        <f t="shared" si="1"/>
        <v>85.71428571</v>
      </c>
    </row>
    <row r="17">
      <c r="A17" s="17">
        <v>5.0</v>
      </c>
      <c r="B17" s="18" t="s">
        <v>191</v>
      </c>
      <c r="C17" s="25" t="s">
        <v>192</v>
      </c>
      <c r="D17" s="157">
        <f>Th_ECE!AC17</f>
        <v>71.42857143</v>
      </c>
      <c r="E17" s="157">
        <f>ECE_B1!Y16</f>
        <v>63.63636364</v>
      </c>
      <c r="F17" s="156">
        <f t="shared" si="1"/>
        <v>67.53246753</v>
      </c>
    </row>
    <row r="18">
      <c r="A18" s="17">
        <v>6.0</v>
      </c>
      <c r="B18" s="18" t="s">
        <v>193</v>
      </c>
      <c r="C18" s="25" t="s">
        <v>194</v>
      </c>
      <c r="D18" s="157">
        <f>Th_ECE!AC18</f>
        <v>71.42857143</v>
      </c>
      <c r="E18" s="157">
        <f>ECE_B1!Y17</f>
        <v>63.63636364</v>
      </c>
      <c r="F18" s="156">
        <f t="shared" si="1"/>
        <v>67.53246753</v>
      </c>
    </row>
    <row r="19">
      <c r="A19" s="17">
        <v>7.0</v>
      </c>
      <c r="B19" s="18" t="s">
        <v>195</v>
      </c>
      <c r="C19" s="25" t="s">
        <v>196</v>
      </c>
      <c r="D19" s="157">
        <f>Th_ECE!AC19</f>
        <v>76.19047619</v>
      </c>
      <c r="E19" s="157">
        <f>ECE_B1!Y18</f>
        <v>90.90909091</v>
      </c>
      <c r="F19" s="156">
        <f t="shared" si="1"/>
        <v>83.54978355</v>
      </c>
    </row>
    <row r="20" ht="15.75" customHeight="1">
      <c r="A20" s="17">
        <v>8.0</v>
      </c>
      <c r="B20" s="18" t="s">
        <v>197</v>
      </c>
      <c r="C20" s="25" t="s">
        <v>198</v>
      </c>
      <c r="D20" s="157">
        <f>Th_ECE!AC20</f>
        <v>71.42857143</v>
      </c>
      <c r="E20" s="157">
        <f>ECE_B1!Y19</f>
        <v>72.72727273</v>
      </c>
      <c r="F20" s="156">
        <f t="shared" si="1"/>
        <v>72.07792208</v>
      </c>
    </row>
    <row r="21" ht="15.75" customHeight="1">
      <c r="A21" s="17">
        <v>9.0</v>
      </c>
      <c r="B21" s="18" t="s">
        <v>199</v>
      </c>
      <c r="C21" s="25" t="s">
        <v>200</v>
      </c>
      <c r="D21" s="157">
        <f>Th_ECE!AC21</f>
        <v>71.42857143</v>
      </c>
      <c r="E21" s="157">
        <f>ECE_B1!Y20</f>
        <v>72.72727273</v>
      </c>
      <c r="F21" s="156">
        <f t="shared" si="1"/>
        <v>72.07792208</v>
      </c>
    </row>
    <row r="22" ht="15.75" customHeight="1">
      <c r="A22" s="17">
        <v>10.0</v>
      </c>
      <c r="B22" s="18" t="s">
        <v>201</v>
      </c>
      <c r="C22" s="25" t="s">
        <v>202</v>
      </c>
      <c r="D22" s="157">
        <f>Th_ECE!AC22</f>
        <v>90</v>
      </c>
      <c r="E22" s="157">
        <f>ECE_B1!Y21</f>
        <v>63.63636364</v>
      </c>
      <c r="F22" s="156">
        <f t="shared" si="1"/>
        <v>76.81818182</v>
      </c>
    </row>
    <row r="23" ht="15.75" customHeight="1">
      <c r="A23" s="17">
        <v>11.0</v>
      </c>
      <c r="B23" s="18" t="s">
        <v>203</v>
      </c>
      <c r="C23" s="25" t="s">
        <v>204</v>
      </c>
      <c r="D23" s="157">
        <f>Th_ECE!AC23</f>
        <v>52.38095238</v>
      </c>
      <c r="E23" s="157">
        <f>ECE_B1!Y22</f>
        <v>63.63636364</v>
      </c>
      <c r="F23" s="156">
        <f t="shared" si="1"/>
        <v>58.00865801</v>
      </c>
    </row>
    <row r="24" ht="15.75" customHeight="1">
      <c r="A24" s="17">
        <v>12.0</v>
      </c>
      <c r="B24" s="18" t="s">
        <v>205</v>
      </c>
      <c r="C24" s="25" t="s">
        <v>206</v>
      </c>
      <c r="D24" s="157">
        <f>Th_ECE!AC24</f>
        <v>90.47619048</v>
      </c>
      <c r="E24" s="157">
        <f>ECE_B1!Y23</f>
        <v>100</v>
      </c>
      <c r="F24" s="156">
        <f t="shared" si="1"/>
        <v>95.23809524</v>
      </c>
    </row>
    <row r="25" ht="15.75" customHeight="1">
      <c r="A25" s="17">
        <v>13.0</v>
      </c>
      <c r="B25" s="18" t="s">
        <v>207</v>
      </c>
      <c r="C25" s="25" t="s">
        <v>208</v>
      </c>
      <c r="D25" s="157">
        <f>Th_ECE!AC25</f>
        <v>80.95238095</v>
      </c>
      <c r="E25" s="157">
        <f>ECE_B1!Y24</f>
        <v>81.81818182</v>
      </c>
      <c r="F25" s="156">
        <f t="shared" si="1"/>
        <v>81.38528139</v>
      </c>
    </row>
    <row r="26" ht="15.75" customHeight="1">
      <c r="A26" s="17">
        <v>14.0</v>
      </c>
      <c r="B26" s="18" t="s">
        <v>209</v>
      </c>
      <c r="C26" s="25" t="s">
        <v>210</v>
      </c>
      <c r="D26" s="157">
        <f>Th_ECE!AC26</f>
        <v>52.38095238</v>
      </c>
      <c r="E26" s="157">
        <f>ECE_B1!Y25</f>
        <v>45.45454545</v>
      </c>
      <c r="F26" s="156">
        <f t="shared" si="1"/>
        <v>48.91774892</v>
      </c>
    </row>
    <row r="27" ht="15.75" customHeight="1">
      <c r="A27" s="17">
        <v>15.0</v>
      </c>
      <c r="B27" s="18" t="s">
        <v>211</v>
      </c>
      <c r="C27" s="25" t="s">
        <v>212</v>
      </c>
      <c r="D27" s="157">
        <f>Th_ECE!AC27</f>
        <v>85.71428571</v>
      </c>
      <c r="E27" s="157">
        <f>ECE_B1!Y26</f>
        <v>18.18181818</v>
      </c>
      <c r="F27" s="156">
        <f t="shared" si="1"/>
        <v>51.94805195</v>
      </c>
    </row>
    <row r="28" ht="15.75" customHeight="1">
      <c r="A28" s="17">
        <v>16.0</v>
      </c>
      <c r="B28" s="18" t="s">
        <v>213</v>
      </c>
      <c r="C28" s="25" t="s">
        <v>214</v>
      </c>
      <c r="D28" s="157">
        <f>Th_ECE!AC28</f>
        <v>80.95238095</v>
      </c>
      <c r="E28" s="157">
        <f>ECE_B1!Y27</f>
        <v>81.81818182</v>
      </c>
      <c r="F28" s="156">
        <f t="shared" si="1"/>
        <v>81.38528139</v>
      </c>
    </row>
    <row r="29" ht="15.75" customHeight="1">
      <c r="A29" s="17">
        <v>17.0</v>
      </c>
      <c r="B29" s="18" t="s">
        <v>215</v>
      </c>
      <c r="C29" s="25" t="s">
        <v>216</v>
      </c>
      <c r="D29" s="157">
        <f>Th_ECE!AC29</f>
        <v>71.42857143</v>
      </c>
      <c r="E29" s="157">
        <f>ECE_B1!Y28</f>
        <v>81.81818182</v>
      </c>
      <c r="F29" s="156">
        <f t="shared" si="1"/>
        <v>76.62337662</v>
      </c>
    </row>
    <row r="30" ht="15.75" customHeight="1">
      <c r="A30" s="17">
        <v>18.0</v>
      </c>
      <c r="B30" s="18" t="s">
        <v>217</v>
      </c>
      <c r="C30" s="25" t="s">
        <v>218</v>
      </c>
      <c r="D30" s="157">
        <f>Th_ECE!AC30</f>
        <v>66.66666667</v>
      </c>
      <c r="E30" s="157">
        <f>ECE_B1!Y29</f>
        <v>63.63636364</v>
      </c>
      <c r="F30" s="156">
        <f t="shared" si="1"/>
        <v>65.15151515</v>
      </c>
    </row>
    <row r="31" ht="15.75" customHeight="1">
      <c r="A31" s="17">
        <v>19.0</v>
      </c>
      <c r="B31" s="18" t="s">
        <v>219</v>
      </c>
      <c r="C31" s="25" t="s">
        <v>220</v>
      </c>
      <c r="D31" s="157">
        <f>Th_ECE!AC31</f>
        <v>90.47619048</v>
      </c>
      <c r="E31" s="157">
        <f>ECE_B1!Y30</f>
        <v>90.90909091</v>
      </c>
      <c r="F31" s="156">
        <f t="shared" si="1"/>
        <v>90.69264069</v>
      </c>
    </row>
    <row r="32" ht="15.75" customHeight="1">
      <c r="A32" s="17">
        <v>20.0</v>
      </c>
      <c r="B32" s="18" t="s">
        <v>221</v>
      </c>
      <c r="C32" s="25" t="s">
        <v>222</v>
      </c>
      <c r="D32" s="157">
        <f>Th_ECE!AC32</f>
        <v>57.14285714</v>
      </c>
      <c r="E32" s="157">
        <f>ECE_B1!Y31</f>
        <v>81.81818182</v>
      </c>
      <c r="F32" s="156">
        <f t="shared" si="1"/>
        <v>69.48051948</v>
      </c>
    </row>
    <row r="33" ht="15.75" customHeight="1">
      <c r="A33" s="17">
        <v>21.0</v>
      </c>
      <c r="B33" s="18" t="s">
        <v>223</v>
      </c>
      <c r="C33" s="25" t="s">
        <v>224</v>
      </c>
      <c r="D33" s="157">
        <f>Th_ECE!AC33</f>
        <v>76.19047619</v>
      </c>
      <c r="E33" s="157">
        <f>ECE_B1!Y32</f>
        <v>72.72727273</v>
      </c>
      <c r="F33" s="156">
        <f t="shared" si="1"/>
        <v>74.45887446</v>
      </c>
    </row>
    <row r="34" ht="15.75" customHeight="1">
      <c r="A34" s="17">
        <v>22.0</v>
      </c>
      <c r="B34" s="18" t="s">
        <v>225</v>
      </c>
      <c r="C34" s="25" t="s">
        <v>226</v>
      </c>
      <c r="D34" s="157">
        <f>Th_ECE!AC34</f>
        <v>76.19047619</v>
      </c>
      <c r="E34" s="157">
        <f>ECE_B1!Y33</f>
        <v>90.90909091</v>
      </c>
      <c r="F34" s="156">
        <f t="shared" si="1"/>
        <v>83.54978355</v>
      </c>
    </row>
    <row r="35" ht="15.75" customHeight="1">
      <c r="A35" s="17">
        <v>23.0</v>
      </c>
      <c r="B35" s="18" t="s">
        <v>227</v>
      </c>
      <c r="C35" s="25" t="s">
        <v>228</v>
      </c>
      <c r="D35" s="157">
        <f>Th_ECE!AC35</f>
        <v>85.71428571</v>
      </c>
      <c r="E35" s="157">
        <f>ECE_B1!Y34</f>
        <v>100</v>
      </c>
      <c r="F35" s="156">
        <f t="shared" si="1"/>
        <v>92.85714286</v>
      </c>
    </row>
    <row r="36" ht="15.75" customHeight="1">
      <c r="A36" s="17">
        <v>24.0</v>
      </c>
      <c r="B36" s="18" t="s">
        <v>229</v>
      </c>
      <c r="C36" s="25" t="s">
        <v>230</v>
      </c>
      <c r="D36" s="157">
        <f>Th_ECE!AC36</f>
        <v>85.71428571</v>
      </c>
      <c r="E36" s="157">
        <f>ECE_B1!Y35</f>
        <v>100</v>
      </c>
      <c r="F36" s="156">
        <f t="shared" si="1"/>
        <v>92.85714286</v>
      </c>
    </row>
    <row r="37" ht="15.75" customHeight="1">
      <c r="A37" s="17">
        <v>25.0</v>
      </c>
      <c r="B37" s="18" t="s">
        <v>231</v>
      </c>
      <c r="C37" s="25" t="s">
        <v>232</v>
      </c>
      <c r="D37" s="157">
        <f>Th_ECE!AC37</f>
        <v>61.9047619</v>
      </c>
      <c r="E37" s="157">
        <f>ECE_B1!Y36</f>
        <v>90.90909091</v>
      </c>
      <c r="F37" s="156">
        <f t="shared" si="1"/>
        <v>76.40692641</v>
      </c>
    </row>
    <row r="38" ht="15.75" customHeight="1">
      <c r="A38" s="17">
        <v>26.0</v>
      </c>
      <c r="B38" s="18" t="s">
        <v>233</v>
      </c>
      <c r="C38" s="25" t="s">
        <v>234</v>
      </c>
      <c r="D38" s="157">
        <f>Th_ECE!AC38</f>
        <v>80.95238095</v>
      </c>
      <c r="E38" s="157">
        <f>ECE_B1!Y37</f>
        <v>54.54545455</v>
      </c>
      <c r="F38" s="156">
        <f t="shared" si="1"/>
        <v>67.74891775</v>
      </c>
    </row>
    <row r="39" ht="15.75" customHeight="1">
      <c r="A39" s="17">
        <v>27.0</v>
      </c>
      <c r="B39" s="18" t="s">
        <v>235</v>
      </c>
      <c r="C39" s="25" t="s">
        <v>236</v>
      </c>
      <c r="D39" s="157">
        <f>Th_ECE!AC39</f>
        <v>90.47619048</v>
      </c>
      <c r="E39" s="157">
        <f>ECE_B1!Y38</f>
        <v>81.81818182</v>
      </c>
      <c r="F39" s="156">
        <f t="shared" si="1"/>
        <v>86.14718615</v>
      </c>
    </row>
    <row r="40" ht="15.75" customHeight="1">
      <c r="A40" s="17">
        <v>28.0</v>
      </c>
      <c r="B40" s="18" t="s">
        <v>237</v>
      </c>
      <c r="C40" s="25" t="s">
        <v>238</v>
      </c>
      <c r="D40" s="157">
        <f>Th_ECE!AC40</f>
        <v>85.71428571</v>
      </c>
      <c r="E40" s="157">
        <f>ECE_B1!Y39</f>
        <v>54.54545455</v>
      </c>
      <c r="F40" s="156">
        <f t="shared" si="1"/>
        <v>70.12987013</v>
      </c>
    </row>
    <row r="41" ht="15.75" customHeight="1">
      <c r="A41" s="17">
        <v>29.0</v>
      </c>
      <c r="B41" s="18" t="s">
        <v>239</v>
      </c>
      <c r="C41" s="25" t="s">
        <v>240</v>
      </c>
      <c r="D41" s="157">
        <f>Th_ECE!AC41</f>
        <v>76.19047619</v>
      </c>
      <c r="E41" s="157">
        <f>ECE_B1!Y40</f>
        <v>80</v>
      </c>
      <c r="F41" s="156">
        <f t="shared" si="1"/>
        <v>78.0952381</v>
      </c>
    </row>
    <row r="42" ht="15.75" customHeight="1">
      <c r="A42" s="17">
        <v>30.0</v>
      </c>
      <c r="B42" s="18" t="s">
        <v>241</v>
      </c>
      <c r="C42" s="25" t="s">
        <v>242</v>
      </c>
      <c r="D42" s="157">
        <f>Th_ECE!AC42</f>
        <v>66.66666667</v>
      </c>
      <c r="E42" s="157">
        <f>ECE_B2!Z11</f>
        <v>100</v>
      </c>
      <c r="F42" s="156">
        <f t="shared" si="1"/>
        <v>83.33333333</v>
      </c>
    </row>
    <row r="43" ht="15.75" customHeight="1">
      <c r="A43" s="17">
        <v>31.0</v>
      </c>
      <c r="B43" s="18" t="s">
        <v>243</v>
      </c>
      <c r="C43" s="25" t="s">
        <v>244</v>
      </c>
      <c r="D43" s="157">
        <f>Th_ECE!AC43</f>
        <v>76.19047619</v>
      </c>
      <c r="E43" s="157">
        <f>ECE_B2!Z12</f>
        <v>88.88888889</v>
      </c>
      <c r="F43" s="156">
        <f t="shared" si="1"/>
        <v>82.53968254</v>
      </c>
    </row>
    <row r="44" ht="15.75" customHeight="1">
      <c r="A44" s="17">
        <v>32.0</v>
      </c>
      <c r="B44" s="18" t="s">
        <v>245</v>
      </c>
      <c r="C44" s="25" t="s">
        <v>246</v>
      </c>
      <c r="D44" s="157">
        <f>Th_ECE!AC44</f>
        <v>80.95238095</v>
      </c>
      <c r="E44" s="157">
        <f>ECE_B2!Z13</f>
        <v>88.88888889</v>
      </c>
      <c r="F44" s="156">
        <f t="shared" si="1"/>
        <v>84.92063492</v>
      </c>
    </row>
    <row r="45" ht="15.75" customHeight="1">
      <c r="A45" s="17">
        <v>33.0</v>
      </c>
      <c r="B45" s="18" t="s">
        <v>247</v>
      </c>
      <c r="C45" s="25" t="s">
        <v>248</v>
      </c>
      <c r="D45" s="157">
        <f>Th_ECE!AC45</f>
        <v>100</v>
      </c>
      <c r="E45" s="157">
        <f>ECE_B2!Z14</f>
        <v>77.77777778</v>
      </c>
      <c r="F45" s="156">
        <f t="shared" si="1"/>
        <v>88.88888889</v>
      </c>
    </row>
    <row r="46" ht="15.75" customHeight="1">
      <c r="A46" s="17">
        <v>34.0</v>
      </c>
      <c r="B46" s="18" t="s">
        <v>249</v>
      </c>
      <c r="C46" s="25" t="s">
        <v>250</v>
      </c>
      <c r="D46" s="157">
        <f>Th_ECE!AC46</f>
        <v>71.42857143</v>
      </c>
      <c r="E46" s="157">
        <f>ECE_B2!Z15</f>
        <v>77.77777778</v>
      </c>
      <c r="F46" s="156">
        <f t="shared" si="1"/>
        <v>74.6031746</v>
      </c>
    </row>
    <row r="47" ht="15.75" customHeight="1">
      <c r="A47" s="17">
        <v>35.0</v>
      </c>
      <c r="B47" s="18" t="s">
        <v>251</v>
      </c>
      <c r="C47" s="25" t="s">
        <v>252</v>
      </c>
      <c r="D47" s="157">
        <f>Th_ECE!AC47</f>
        <v>66.66666667</v>
      </c>
      <c r="E47" s="157">
        <f>ECE_B2!Z16</f>
        <v>77.77777778</v>
      </c>
      <c r="F47" s="156">
        <f t="shared" si="1"/>
        <v>72.22222222</v>
      </c>
    </row>
    <row r="48" ht="15.75" customHeight="1">
      <c r="A48" s="17">
        <v>36.0</v>
      </c>
      <c r="B48" s="18" t="s">
        <v>253</v>
      </c>
      <c r="C48" s="25" t="s">
        <v>254</v>
      </c>
      <c r="D48" s="157">
        <f>Th_ECE!AC48</f>
        <v>71.42857143</v>
      </c>
      <c r="E48" s="157">
        <f>ECE_B2!Z17</f>
        <v>77.77777778</v>
      </c>
      <c r="F48" s="156">
        <f t="shared" si="1"/>
        <v>74.6031746</v>
      </c>
    </row>
    <row r="49" ht="15.75" customHeight="1">
      <c r="A49" s="17">
        <v>37.0</v>
      </c>
      <c r="B49" s="18" t="s">
        <v>255</v>
      </c>
      <c r="C49" s="25" t="s">
        <v>256</v>
      </c>
      <c r="D49" s="157">
        <f>Th_ECE!AC49</f>
        <v>100</v>
      </c>
      <c r="E49" s="157">
        <f>ECE_B2!Z18</f>
        <v>77.77777778</v>
      </c>
      <c r="F49" s="156">
        <f t="shared" si="1"/>
        <v>88.88888889</v>
      </c>
    </row>
    <row r="50" ht="15.75" customHeight="1">
      <c r="A50" s="17">
        <v>38.0</v>
      </c>
      <c r="B50" s="18" t="s">
        <v>257</v>
      </c>
      <c r="C50" s="25" t="s">
        <v>258</v>
      </c>
      <c r="D50" s="157">
        <f>Th_ECE!AC50</f>
        <v>66.66666667</v>
      </c>
      <c r="E50" s="157">
        <f>ECE_B2!Z19</f>
        <v>77.77777778</v>
      </c>
      <c r="F50" s="156">
        <f t="shared" si="1"/>
        <v>72.22222222</v>
      </c>
    </row>
    <row r="51" ht="15.75" customHeight="1">
      <c r="A51" s="17">
        <v>39.0</v>
      </c>
      <c r="B51" s="18" t="s">
        <v>259</v>
      </c>
      <c r="C51" s="25" t="s">
        <v>260</v>
      </c>
      <c r="D51" s="157">
        <f>Th_ECE!AC51</f>
        <v>76.19047619</v>
      </c>
      <c r="E51" s="157">
        <f>ECE_B2!Z20</f>
        <v>77.77777778</v>
      </c>
      <c r="F51" s="156">
        <f t="shared" si="1"/>
        <v>76.98412698</v>
      </c>
    </row>
    <row r="52" ht="15.75" customHeight="1">
      <c r="A52" s="17">
        <v>40.0</v>
      </c>
      <c r="B52" s="18" t="s">
        <v>261</v>
      </c>
      <c r="C52" s="25" t="s">
        <v>262</v>
      </c>
      <c r="D52" s="157">
        <f>Th_ECE!AC52</f>
        <v>90.47619048</v>
      </c>
      <c r="E52" s="157">
        <f>ECE_B2!Z21</f>
        <v>88.88888889</v>
      </c>
      <c r="F52" s="156">
        <f t="shared" si="1"/>
        <v>89.68253968</v>
      </c>
    </row>
    <row r="53" ht="15.75" customHeight="1">
      <c r="A53" s="17">
        <v>41.0</v>
      </c>
      <c r="B53" s="18" t="s">
        <v>263</v>
      </c>
      <c r="C53" s="25" t="s">
        <v>264</v>
      </c>
      <c r="D53" s="157">
        <f>Th_ECE!AC53</f>
        <v>80.95238095</v>
      </c>
      <c r="E53" s="157">
        <f>ECE_B2!Z22</f>
        <v>100</v>
      </c>
      <c r="F53" s="156">
        <f t="shared" si="1"/>
        <v>90.47619048</v>
      </c>
    </row>
    <row r="54" ht="15.75" customHeight="1">
      <c r="A54" s="17">
        <v>42.0</v>
      </c>
      <c r="B54" s="18" t="s">
        <v>265</v>
      </c>
      <c r="C54" s="25" t="s">
        <v>266</v>
      </c>
      <c r="D54" s="157">
        <f>Th_ECE!AC54</f>
        <v>35</v>
      </c>
      <c r="E54" s="157">
        <f>ECE_B2!Z23</f>
        <v>77.77777778</v>
      </c>
      <c r="F54" s="156">
        <f t="shared" si="1"/>
        <v>56.38888889</v>
      </c>
    </row>
    <row r="55" ht="15.75" customHeight="1">
      <c r="A55" s="17">
        <v>43.0</v>
      </c>
      <c r="B55" s="18" t="s">
        <v>267</v>
      </c>
      <c r="C55" s="25" t="s">
        <v>268</v>
      </c>
      <c r="D55" s="157">
        <f>Th_ECE!AC55</f>
        <v>76.19047619</v>
      </c>
      <c r="E55" s="157">
        <f>ECE_B2!Z24</f>
        <v>66.66666667</v>
      </c>
      <c r="F55" s="156">
        <f t="shared" si="1"/>
        <v>71.42857143</v>
      </c>
    </row>
    <row r="56" ht="15.75" customHeight="1">
      <c r="A56" s="17">
        <v>44.0</v>
      </c>
      <c r="B56" s="18" t="s">
        <v>269</v>
      </c>
      <c r="C56" s="25" t="s">
        <v>270</v>
      </c>
      <c r="D56" s="157">
        <f>Th_ECE!AC56</f>
        <v>66.66666667</v>
      </c>
      <c r="E56" s="157">
        <f>ECE_B2!Z25</f>
        <v>66.66666667</v>
      </c>
      <c r="F56" s="156">
        <f t="shared" si="1"/>
        <v>66.66666667</v>
      </c>
    </row>
    <row r="57" ht="15.75" customHeight="1">
      <c r="A57" s="17">
        <v>46.0</v>
      </c>
      <c r="B57" s="18" t="s">
        <v>271</v>
      </c>
      <c r="C57" s="25" t="s">
        <v>272</v>
      </c>
      <c r="D57" s="157">
        <f>Th_ECE!AC57</f>
        <v>80.95238095</v>
      </c>
      <c r="E57" s="157">
        <f>ECE_B2!Z26</f>
        <v>88.88888889</v>
      </c>
      <c r="F57" s="156">
        <f t="shared" si="1"/>
        <v>84.92063492</v>
      </c>
    </row>
    <row r="58" ht="15.75" customHeight="1">
      <c r="A58" s="17">
        <v>47.0</v>
      </c>
      <c r="B58" s="18" t="s">
        <v>273</v>
      </c>
      <c r="C58" s="25" t="s">
        <v>274</v>
      </c>
      <c r="D58" s="157">
        <f>Th_ECE!AC58</f>
        <v>71.42857143</v>
      </c>
      <c r="E58" s="157">
        <f>ECE_B2!Z27</f>
        <v>66.66666667</v>
      </c>
      <c r="F58" s="156">
        <f t="shared" si="1"/>
        <v>69.04761905</v>
      </c>
    </row>
    <row r="59" ht="15.75" customHeight="1">
      <c r="A59" s="17">
        <v>48.0</v>
      </c>
      <c r="B59" s="18" t="s">
        <v>275</v>
      </c>
      <c r="C59" s="25" t="s">
        <v>276</v>
      </c>
      <c r="D59" s="157">
        <f>Th_ECE!AC59</f>
        <v>80.95238095</v>
      </c>
      <c r="E59" s="157">
        <f>ECE_B2!Z28</f>
        <v>88.88888889</v>
      </c>
      <c r="F59" s="156">
        <f t="shared" si="1"/>
        <v>84.92063492</v>
      </c>
    </row>
    <row r="60" ht="15.75" customHeight="1">
      <c r="A60" s="17">
        <v>49.0</v>
      </c>
      <c r="B60" s="18" t="s">
        <v>277</v>
      </c>
      <c r="C60" s="25" t="s">
        <v>278</v>
      </c>
      <c r="D60" s="157">
        <f>Th_ECE!AC60</f>
        <v>85.71428571</v>
      </c>
      <c r="E60" s="157">
        <f>ECE_B2!Z29</f>
        <v>77.77777778</v>
      </c>
      <c r="F60" s="156">
        <f t="shared" si="1"/>
        <v>81.74603175</v>
      </c>
    </row>
    <row r="61" ht="15.75" customHeight="1">
      <c r="A61" s="17">
        <v>50.0</v>
      </c>
      <c r="B61" s="18" t="s">
        <v>279</v>
      </c>
      <c r="C61" s="25" t="s">
        <v>280</v>
      </c>
      <c r="D61" s="157">
        <f>Th_ECE!AC61</f>
        <v>80.95238095</v>
      </c>
      <c r="E61" s="157">
        <f>ECE_B2!Z30</f>
        <v>88.88888889</v>
      </c>
      <c r="F61" s="156">
        <f t="shared" si="1"/>
        <v>84.92063492</v>
      </c>
    </row>
    <row r="62" ht="15.75" customHeight="1">
      <c r="A62" s="17">
        <v>51.0</v>
      </c>
      <c r="B62" s="18" t="s">
        <v>281</v>
      </c>
      <c r="C62" s="25" t="s">
        <v>282</v>
      </c>
      <c r="D62" s="157">
        <f>Th_ECE!AC62</f>
        <v>90.47619048</v>
      </c>
      <c r="E62" s="157">
        <f>ECE_B2!Z31</f>
        <v>88.88888889</v>
      </c>
      <c r="F62" s="156">
        <f t="shared" si="1"/>
        <v>89.68253968</v>
      </c>
    </row>
    <row r="63" ht="15.75" customHeight="1">
      <c r="A63" s="17">
        <v>52.0</v>
      </c>
      <c r="B63" s="18" t="s">
        <v>283</v>
      </c>
      <c r="C63" s="25" t="s">
        <v>284</v>
      </c>
      <c r="D63" s="157">
        <f>Th_ECE!AC63</f>
        <v>80.95238095</v>
      </c>
      <c r="E63" s="157">
        <f>ECE_B2!Z32</f>
        <v>88.88888889</v>
      </c>
      <c r="F63" s="156">
        <f t="shared" si="1"/>
        <v>84.92063492</v>
      </c>
    </row>
    <row r="64" ht="15.75" customHeight="1">
      <c r="A64" s="17">
        <v>53.0</v>
      </c>
      <c r="B64" s="18" t="s">
        <v>285</v>
      </c>
      <c r="C64" s="25" t="s">
        <v>286</v>
      </c>
      <c r="D64" s="157">
        <f>Th_ECE!AC64</f>
        <v>76.19047619</v>
      </c>
      <c r="E64" s="157">
        <f>ECE_B2!Z33</f>
        <v>0</v>
      </c>
      <c r="F64" s="156">
        <f t="shared" si="1"/>
        <v>38.0952381</v>
      </c>
    </row>
    <row r="65" ht="15.75" customHeight="1">
      <c r="A65" s="17">
        <v>54.0</v>
      </c>
      <c r="B65" s="18" t="s">
        <v>287</v>
      </c>
      <c r="C65" s="25" t="s">
        <v>288</v>
      </c>
      <c r="D65" s="157">
        <f>Th_ECE!AC65</f>
        <v>100</v>
      </c>
      <c r="E65" s="157">
        <f>ECE_B2!Z34</f>
        <v>88.88888889</v>
      </c>
      <c r="F65" s="156">
        <f t="shared" si="1"/>
        <v>94.44444444</v>
      </c>
    </row>
    <row r="66" ht="15.75" customHeight="1">
      <c r="A66" s="17">
        <v>55.0</v>
      </c>
      <c r="B66" s="18" t="s">
        <v>289</v>
      </c>
      <c r="C66" s="25" t="s">
        <v>290</v>
      </c>
      <c r="D66" s="157">
        <f>Th_ECE!AC66</f>
        <v>71.42857143</v>
      </c>
      <c r="E66" s="157">
        <f>ECE_B2!Z35</f>
        <v>88.88888889</v>
      </c>
      <c r="F66" s="156">
        <f t="shared" si="1"/>
        <v>80.15873016</v>
      </c>
    </row>
    <row r="67" ht="15.75" customHeight="1">
      <c r="A67" s="17">
        <v>56.0</v>
      </c>
      <c r="B67" s="18" t="s">
        <v>291</v>
      </c>
      <c r="C67" s="25" t="s">
        <v>292</v>
      </c>
      <c r="D67" s="157">
        <f>Th_ECE!AC67</f>
        <v>80.95238095</v>
      </c>
      <c r="E67" s="157">
        <f>ECE_B2!Z36</f>
        <v>88.88888889</v>
      </c>
      <c r="F67" s="156">
        <f t="shared" si="1"/>
        <v>84.92063492</v>
      </c>
    </row>
    <row r="68" ht="15.75" customHeight="1">
      <c r="A68" s="17">
        <v>57.0</v>
      </c>
      <c r="B68" s="18" t="s">
        <v>293</v>
      </c>
      <c r="C68" s="25" t="s">
        <v>294</v>
      </c>
      <c r="D68" s="157">
        <f>Th_ECE!AC68</f>
        <v>66.66666667</v>
      </c>
      <c r="E68" s="157">
        <f>ECE_B2!Z37</f>
        <v>88.88888889</v>
      </c>
      <c r="F68" s="156">
        <f t="shared" si="1"/>
        <v>77.77777778</v>
      </c>
    </row>
    <row r="69" ht="15.75" customHeight="1">
      <c r="A69" s="17">
        <v>58.0</v>
      </c>
      <c r="B69" s="18" t="s">
        <v>295</v>
      </c>
      <c r="C69" s="25" t="s">
        <v>296</v>
      </c>
      <c r="D69" s="157">
        <f>Th_ECE!AC69</f>
        <v>100</v>
      </c>
      <c r="E69" s="157">
        <f>ECE_B2!Z38</f>
        <v>66.66666667</v>
      </c>
      <c r="F69" s="156">
        <f t="shared" si="1"/>
        <v>83.33333333</v>
      </c>
    </row>
    <row r="70" ht="15.75" customHeight="1">
      <c r="A70" s="17">
        <v>59.0</v>
      </c>
      <c r="B70" s="18" t="s">
        <v>297</v>
      </c>
      <c r="C70" s="25" t="s">
        <v>298</v>
      </c>
      <c r="D70" s="157" t="str">
        <f>Th_ECE!AC70</f>
        <v/>
      </c>
      <c r="E70" s="157" t="str">
        <f>ECE_B1!Y69</f>
        <v/>
      </c>
      <c r="F70" s="156"/>
    </row>
    <row r="71" ht="15.75" customHeight="1">
      <c r="A71" s="17"/>
      <c r="B71" s="18"/>
      <c r="C71" s="25"/>
      <c r="D71" s="157"/>
      <c r="E71" s="157"/>
      <c r="F71" s="156"/>
    </row>
    <row r="72" ht="15.75" customHeight="1">
      <c r="A72" s="17"/>
      <c r="B72" s="18"/>
      <c r="C72" s="25"/>
      <c r="D72" s="157"/>
      <c r="E72" s="157"/>
      <c r="F72" s="156"/>
    </row>
    <row r="73" ht="15.75" customHeight="1">
      <c r="A73" s="17"/>
      <c r="B73" s="18"/>
      <c r="C73" s="25"/>
      <c r="D73" s="157"/>
      <c r="E73" s="157"/>
      <c r="F73" s="156"/>
    </row>
    <row r="74" ht="15.75" customHeight="1">
      <c r="A74" s="17"/>
      <c r="B74" s="18"/>
      <c r="C74" s="25"/>
      <c r="D74" s="157"/>
      <c r="E74" s="157"/>
      <c r="F74" s="156"/>
    </row>
    <row r="75" ht="15.75" customHeight="1">
      <c r="A75" s="17"/>
      <c r="B75" s="18"/>
      <c r="C75" s="25"/>
      <c r="D75" s="157"/>
      <c r="E75" s="157"/>
      <c r="F75" s="156"/>
    </row>
    <row r="76" ht="15.75" customHeight="1">
      <c r="A76" s="17"/>
      <c r="B76" s="18"/>
      <c r="C76" s="25"/>
      <c r="D76" s="157"/>
      <c r="E76" s="157"/>
      <c r="F76" s="156"/>
    </row>
    <row r="77" ht="15.75" customHeight="1">
      <c r="A77" s="17"/>
      <c r="B77" s="18"/>
      <c r="C77" s="25"/>
      <c r="D77" s="157"/>
      <c r="E77" s="157"/>
      <c r="F77" s="156"/>
    </row>
    <row r="78" ht="15.75" customHeight="1">
      <c r="A78" s="17"/>
      <c r="B78" s="18"/>
      <c r="C78" s="25"/>
      <c r="D78" s="157"/>
      <c r="E78" s="157"/>
      <c r="F78" s="156"/>
    </row>
    <row r="79" ht="15.75" customHeight="1">
      <c r="A79" s="17"/>
      <c r="B79" s="18"/>
      <c r="C79" s="25"/>
      <c r="D79" s="157"/>
      <c r="E79" s="157"/>
      <c r="F79" s="156"/>
    </row>
    <row r="80" ht="15.75" customHeight="1">
      <c r="A80" s="17"/>
      <c r="B80" s="18"/>
      <c r="C80" s="25"/>
      <c r="D80" s="157"/>
      <c r="E80" s="157"/>
      <c r="F80" s="156"/>
    </row>
    <row r="81" ht="15.75" customHeight="1">
      <c r="A81" s="17"/>
      <c r="B81" s="18"/>
      <c r="C81" s="25"/>
      <c r="D81" s="157"/>
      <c r="E81" s="157"/>
      <c r="F81" s="156"/>
    </row>
    <row r="82" ht="15.75" customHeight="1">
      <c r="A82" s="17"/>
      <c r="B82" s="18"/>
      <c r="C82" s="25"/>
      <c r="D82" s="157"/>
      <c r="E82" s="157"/>
      <c r="F82" s="156"/>
    </row>
    <row r="83" ht="15.75" customHeight="1">
      <c r="A83" s="17"/>
      <c r="B83" s="18"/>
      <c r="C83" s="25"/>
      <c r="D83" s="157"/>
      <c r="E83" s="157"/>
      <c r="F83" s="156"/>
    </row>
    <row r="84" ht="15.75" customHeight="1">
      <c r="A84" s="17"/>
      <c r="B84" s="27"/>
      <c r="C84" s="25"/>
      <c r="D84" s="157"/>
      <c r="E84" s="157"/>
      <c r="F84" s="156"/>
    </row>
    <row r="85" ht="15.75" customHeight="1">
      <c r="A85" s="17"/>
      <c r="B85" s="159"/>
      <c r="C85" s="160"/>
      <c r="D85" s="157"/>
      <c r="E85" s="157"/>
      <c r="F85" s="156"/>
    </row>
    <row r="86" ht="15.75" customHeight="1">
      <c r="A86" s="17"/>
      <c r="B86" s="161"/>
      <c r="C86" s="160"/>
      <c r="D86" s="157"/>
      <c r="E86" s="157"/>
      <c r="F86" s="156"/>
    </row>
    <row r="87" ht="15.75" customHeight="1">
      <c r="A87" s="17"/>
      <c r="B87" s="162"/>
      <c r="C87" s="160"/>
      <c r="D87" s="157"/>
      <c r="E87" s="157"/>
      <c r="F87" s="156"/>
    </row>
    <row r="88" ht="15.75" customHeight="1">
      <c r="A88" s="17"/>
      <c r="B88" s="162"/>
      <c r="C88" s="160"/>
      <c r="D88" s="157"/>
      <c r="E88" s="157"/>
      <c r="F88" s="156"/>
    </row>
    <row r="89" ht="15.75" customHeight="1">
      <c r="A89" s="17"/>
      <c r="B89" s="162"/>
      <c r="C89" s="160"/>
      <c r="D89" s="157"/>
      <c r="E89" s="157"/>
      <c r="F89" s="156"/>
    </row>
    <row r="90" ht="15.75" customHeight="1">
      <c r="A90" s="17"/>
      <c r="B90" s="162"/>
      <c r="C90" s="160"/>
      <c r="D90" s="157"/>
      <c r="E90" s="157"/>
      <c r="F90" s="156"/>
    </row>
    <row r="91" ht="15.75" customHeight="1">
      <c r="A91" s="17"/>
      <c r="B91" s="92"/>
      <c r="C91" s="57"/>
      <c r="D91" s="157"/>
      <c r="E91" s="157"/>
      <c r="F91" s="156"/>
    </row>
    <row r="92" ht="15.75" customHeight="1">
      <c r="A92" s="124"/>
      <c r="B92" s="92"/>
      <c r="C92" s="57"/>
      <c r="D92" s="157"/>
      <c r="E92" s="157"/>
      <c r="F92" s="156"/>
    </row>
    <row r="93" ht="15.75" customHeight="1">
      <c r="A93" s="124"/>
      <c r="B93" s="92"/>
      <c r="C93" s="57"/>
      <c r="D93" s="157"/>
      <c r="E93" s="157"/>
      <c r="F93" s="156"/>
    </row>
    <row r="94" ht="15.75" customHeight="1">
      <c r="A94" s="124"/>
      <c r="B94" s="92"/>
      <c r="C94" s="57"/>
      <c r="D94" s="157"/>
      <c r="E94" s="157"/>
      <c r="F94" s="156"/>
    </row>
    <row r="95" ht="15.75" customHeight="1">
      <c r="A95" s="124"/>
      <c r="B95" s="92"/>
      <c r="C95" s="57"/>
      <c r="D95" s="157"/>
      <c r="E95" s="157"/>
      <c r="F95" s="156"/>
    </row>
    <row r="96" ht="15.75" customHeight="1">
      <c r="A96" s="124"/>
      <c r="B96" s="92"/>
      <c r="C96" s="57"/>
      <c r="D96" s="157"/>
      <c r="E96" s="157"/>
      <c r="F96" s="156"/>
    </row>
    <row r="97" ht="15.75" customHeight="1">
      <c r="A97" s="124"/>
      <c r="B97" s="92"/>
      <c r="C97" s="57"/>
      <c r="D97" s="157"/>
      <c r="E97" s="157"/>
      <c r="F97" s="156"/>
    </row>
    <row r="98" ht="15.75" customHeight="1">
      <c r="A98" s="124"/>
      <c r="D98" s="146"/>
      <c r="E98" s="146"/>
      <c r="F98" s="146"/>
    </row>
    <row r="99" ht="15.75" customHeight="1">
      <c r="D99" s="146"/>
      <c r="E99" s="146"/>
      <c r="F99" s="146"/>
    </row>
    <row r="100" ht="15.75" customHeight="1">
      <c r="D100" s="146"/>
      <c r="E100" s="146"/>
      <c r="F100" s="146"/>
    </row>
    <row r="101" ht="15.75" customHeight="1">
      <c r="D101" s="146"/>
      <c r="E101" s="146"/>
      <c r="F101" s="146"/>
    </row>
    <row r="102" ht="15.75" customHeight="1">
      <c r="D102" s="146"/>
      <c r="E102" s="146"/>
      <c r="F102" s="146"/>
    </row>
    <row r="103" ht="15.75" customHeight="1">
      <c r="D103" s="146"/>
      <c r="E103" s="146"/>
      <c r="F103" s="146"/>
    </row>
    <row r="104" ht="15.75" customHeight="1">
      <c r="D104" s="146"/>
      <c r="E104" s="146"/>
      <c r="F104" s="146"/>
    </row>
    <row r="105" ht="15.75" customHeight="1">
      <c r="D105" s="146"/>
      <c r="E105" s="146"/>
      <c r="F105" s="146"/>
    </row>
    <row r="106" ht="15.75" customHeight="1">
      <c r="D106" s="146"/>
      <c r="E106" s="146"/>
      <c r="F106" s="146"/>
    </row>
    <row r="107" ht="15.75" customHeight="1">
      <c r="D107" s="146"/>
      <c r="E107" s="146"/>
      <c r="F107" s="146"/>
    </row>
    <row r="108" ht="15.75" customHeight="1">
      <c r="D108" s="146"/>
      <c r="E108" s="146"/>
      <c r="F108" s="146"/>
    </row>
    <row r="109" ht="15.75" customHeight="1">
      <c r="D109" s="146"/>
      <c r="E109" s="146"/>
      <c r="F109" s="146"/>
    </row>
    <row r="110" ht="15.75" customHeight="1">
      <c r="D110" s="146"/>
      <c r="E110" s="146"/>
      <c r="F110" s="146"/>
    </row>
    <row r="111" ht="15.75" customHeight="1">
      <c r="D111" s="146"/>
      <c r="E111" s="146"/>
      <c r="F111" s="146"/>
    </row>
    <row r="112" ht="15.75" customHeight="1">
      <c r="D112" s="146"/>
      <c r="E112" s="146"/>
      <c r="F112" s="146"/>
    </row>
    <row r="113" ht="15.75" customHeight="1">
      <c r="D113" s="146"/>
      <c r="E113" s="146"/>
      <c r="F113" s="146"/>
    </row>
    <row r="114" ht="15.75" customHeight="1">
      <c r="D114" s="146"/>
      <c r="E114" s="146"/>
      <c r="F114" s="146"/>
    </row>
    <row r="115" ht="15.75" customHeight="1">
      <c r="D115" s="146"/>
      <c r="E115" s="146"/>
      <c r="F115" s="146"/>
    </row>
    <row r="116" ht="15.75" customHeight="1">
      <c r="D116" s="146"/>
      <c r="E116" s="146"/>
      <c r="F116" s="146"/>
    </row>
    <row r="117" ht="15.75" customHeight="1">
      <c r="D117" s="146"/>
      <c r="E117" s="146"/>
      <c r="F117" s="146"/>
    </row>
    <row r="118" ht="15.75" customHeight="1">
      <c r="D118" s="146"/>
      <c r="E118" s="146"/>
      <c r="F118" s="146"/>
    </row>
    <row r="119" ht="15.75" customHeight="1">
      <c r="D119" s="146"/>
      <c r="E119" s="146"/>
      <c r="F119" s="146"/>
    </row>
    <row r="120" ht="15.75" customHeight="1">
      <c r="D120" s="146"/>
      <c r="E120" s="146"/>
      <c r="F120" s="146"/>
    </row>
    <row r="121" ht="15.75" customHeight="1">
      <c r="D121" s="146"/>
      <c r="E121" s="146"/>
      <c r="F121" s="146"/>
    </row>
    <row r="122" ht="15.75" customHeight="1">
      <c r="D122" s="146"/>
      <c r="E122" s="146"/>
      <c r="F122" s="146"/>
    </row>
    <row r="123" ht="15.75" customHeight="1">
      <c r="D123" s="146"/>
      <c r="E123" s="146"/>
      <c r="F123" s="146"/>
    </row>
    <row r="124" ht="15.75" customHeight="1">
      <c r="D124" s="146"/>
      <c r="E124" s="146"/>
      <c r="F124" s="146"/>
    </row>
    <row r="125" ht="15.75" customHeight="1">
      <c r="D125" s="146"/>
      <c r="E125" s="146"/>
      <c r="F125" s="146"/>
    </row>
    <row r="126" ht="15.75" customHeight="1">
      <c r="D126" s="146"/>
      <c r="E126" s="146"/>
      <c r="F126" s="146"/>
    </row>
    <row r="127" ht="15.75" customHeight="1">
      <c r="D127" s="146"/>
      <c r="E127" s="146"/>
      <c r="F127" s="146"/>
    </row>
    <row r="128" ht="15.75" customHeight="1">
      <c r="D128" s="146"/>
      <c r="E128" s="146"/>
      <c r="F128" s="146"/>
    </row>
    <row r="129" ht="15.75" customHeight="1">
      <c r="D129" s="146"/>
      <c r="E129" s="146"/>
      <c r="F129" s="146"/>
    </row>
    <row r="130" ht="15.75" customHeight="1">
      <c r="D130" s="146"/>
      <c r="E130" s="146"/>
      <c r="F130" s="146"/>
    </row>
    <row r="131" ht="15.75" customHeight="1">
      <c r="D131" s="146"/>
      <c r="E131" s="146"/>
      <c r="F131" s="146"/>
    </row>
    <row r="132" ht="15.75" customHeight="1">
      <c r="D132" s="146"/>
      <c r="E132" s="146"/>
      <c r="F132" s="146"/>
    </row>
    <row r="133" ht="15.75" customHeight="1">
      <c r="D133" s="146"/>
      <c r="E133" s="146"/>
      <c r="F133" s="146"/>
    </row>
    <row r="134" ht="15.75" customHeight="1">
      <c r="D134" s="146"/>
      <c r="E134" s="146"/>
      <c r="F134" s="146"/>
    </row>
    <row r="135" ht="15.75" customHeight="1">
      <c r="D135" s="146"/>
      <c r="E135" s="146"/>
      <c r="F135" s="146"/>
    </row>
    <row r="136" ht="15.75" customHeight="1">
      <c r="D136" s="146"/>
      <c r="E136" s="146"/>
      <c r="F136" s="146"/>
    </row>
    <row r="137" ht="15.75" customHeight="1">
      <c r="D137" s="146"/>
      <c r="E137" s="146"/>
      <c r="F137" s="146"/>
    </row>
    <row r="138" ht="15.75" customHeight="1">
      <c r="D138" s="146"/>
      <c r="E138" s="146"/>
      <c r="F138" s="146"/>
    </row>
    <row r="139" ht="15.75" customHeight="1">
      <c r="D139" s="146"/>
      <c r="E139" s="146"/>
      <c r="F139" s="146"/>
    </row>
    <row r="140" ht="15.75" customHeight="1">
      <c r="D140" s="146"/>
      <c r="E140" s="146"/>
      <c r="F140" s="146"/>
    </row>
    <row r="141" ht="15.75" customHeight="1">
      <c r="D141" s="146"/>
      <c r="E141" s="146"/>
      <c r="F141" s="146"/>
    </row>
    <row r="142" ht="15.75" customHeight="1">
      <c r="D142" s="146"/>
      <c r="E142" s="146"/>
      <c r="F142" s="146"/>
    </row>
    <row r="143" ht="15.75" customHeight="1">
      <c r="D143" s="146"/>
      <c r="E143" s="146"/>
      <c r="F143" s="146"/>
    </row>
    <row r="144" ht="15.75" customHeight="1">
      <c r="D144" s="146"/>
      <c r="E144" s="146"/>
      <c r="F144" s="146"/>
    </row>
    <row r="145" ht="15.75" customHeight="1">
      <c r="D145" s="146"/>
      <c r="E145" s="146"/>
      <c r="F145" s="146"/>
    </row>
    <row r="146" ht="15.75" customHeight="1">
      <c r="D146" s="146"/>
      <c r="E146" s="146"/>
      <c r="F146" s="146"/>
    </row>
    <row r="147" ht="15.75" customHeight="1">
      <c r="D147" s="146"/>
      <c r="E147" s="146"/>
      <c r="F147" s="146"/>
    </row>
    <row r="148" ht="15.75" customHeight="1">
      <c r="D148" s="146"/>
      <c r="E148" s="146"/>
      <c r="F148" s="146"/>
    </row>
    <row r="149" ht="15.75" customHeight="1">
      <c r="D149" s="146"/>
      <c r="E149" s="146"/>
      <c r="F149" s="146"/>
    </row>
    <row r="150" ht="15.75" customHeight="1">
      <c r="D150" s="146"/>
      <c r="E150" s="146"/>
      <c r="F150" s="146"/>
    </row>
    <row r="151" ht="15.75" customHeight="1">
      <c r="D151" s="146"/>
      <c r="E151" s="146"/>
      <c r="F151" s="146"/>
    </row>
    <row r="152" ht="15.75" customHeight="1">
      <c r="D152" s="146"/>
      <c r="E152" s="146"/>
      <c r="F152" s="146"/>
    </row>
    <row r="153" ht="15.75" customHeight="1">
      <c r="D153" s="146"/>
      <c r="E153" s="146"/>
      <c r="F153" s="146"/>
    </row>
    <row r="154" ht="15.75" customHeight="1">
      <c r="D154" s="146"/>
      <c r="E154" s="146"/>
      <c r="F154" s="146"/>
    </row>
    <row r="155" ht="15.75" customHeight="1">
      <c r="D155" s="146"/>
      <c r="E155" s="146"/>
      <c r="F155" s="146"/>
    </row>
    <row r="156" ht="15.75" customHeight="1">
      <c r="D156" s="146"/>
      <c r="E156" s="146"/>
      <c r="F156" s="146"/>
    </row>
    <row r="157" ht="15.75" customHeight="1">
      <c r="D157" s="146"/>
      <c r="E157" s="146"/>
      <c r="F157" s="146"/>
    </row>
    <row r="158" ht="15.75" customHeight="1">
      <c r="D158" s="146"/>
      <c r="E158" s="146"/>
      <c r="F158" s="146"/>
    </row>
    <row r="159" ht="15.75" customHeight="1">
      <c r="D159" s="146"/>
      <c r="E159" s="146"/>
      <c r="F159" s="146"/>
    </row>
    <row r="160" ht="15.75" customHeight="1">
      <c r="D160" s="146"/>
      <c r="E160" s="146"/>
      <c r="F160" s="146"/>
    </row>
    <row r="161" ht="15.75" customHeight="1">
      <c r="D161" s="146"/>
      <c r="E161" s="146"/>
      <c r="F161" s="146"/>
    </row>
    <row r="162" ht="15.75" customHeight="1">
      <c r="D162" s="146"/>
      <c r="E162" s="146"/>
      <c r="F162" s="146"/>
    </row>
    <row r="163" ht="15.75" customHeight="1">
      <c r="D163" s="146"/>
      <c r="E163" s="146"/>
      <c r="F163" s="146"/>
    </row>
    <row r="164" ht="15.75" customHeight="1">
      <c r="D164" s="146"/>
      <c r="E164" s="146"/>
      <c r="F164" s="146"/>
    </row>
    <row r="165" ht="15.75" customHeight="1">
      <c r="D165" s="146"/>
      <c r="E165" s="146"/>
      <c r="F165" s="146"/>
    </row>
    <row r="166" ht="15.75" customHeight="1">
      <c r="D166" s="146"/>
      <c r="E166" s="146"/>
      <c r="F166" s="146"/>
    </row>
    <row r="167" ht="15.75" customHeight="1">
      <c r="D167" s="146"/>
      <c r="E167" s="146"/>
      <c r="F167" s="146"/>
    </row>
    <row r="168" ht="15.75" customHeight="1">
      <c r="D168" s="146"/>
      <c r="E168" s="146"/>
      <c r="F168" s="146"/>
    </row>
    <row r="169" ht="15.75" customHeight="1">
      <c r="D169" s="146"/>
      <c r="E169" s="146"/>
      <c r="F169" s="146"/>
    </row>
    <row r="170" ht="15.75" customHeight="1">
      <c r="D170" s="146"/>
      <c r="E170" s="146"/>
      <c r="F170" s="146"/>
    </row>
    <row r="171" ht="15.75" customHeight="1">
      <c r="D171" s="146"/>
      <c r="E171" s="146"/>
      <c r="F171" s="146"/>
    </row>
    <row r="172" ht="15.75" customHeight="1">
      <c r="D172" s="146"/>
      <c r="E172" s="146"/>
      <c r="F172" s="146"/>
    </row>
    <row r="173" ht="15.75" customHeight="1">
      <c r="D173" s="146"/>
      <c r="E173" s="146"/>
      <c r="F173" s="146"/>
    </row>
    <row r="174" ht="15.75" customHeight="1">
      <c r="D174" s="146"/>
      <c r="E174" s="146"/>
      <c r="F174" s="146"/>
    </row>
    <row r="175" ht="15.75" customHeight="1">
      <c r="D175" s="146"/>
      <c r="E175" s="146"/>
      <c r="F175" s="146"/>
    </row>
    <row r="176" ht="15.75" customHeight="1">
      <c r="D176" s="146"/>
      <c r="E176" s="146"/>
      <c r="F176" s="146"/>
    </row>
    <row r="177" ht="15.75" customHeight="1">
      <c r="D177" s="146"/>
      <c r="E177" s="146"/>
      <c r="F177" s="146"/>
    </row>
    <row r="178" ht="15.75" customHeight="1">
      <c r="D178" s="146"/>
      <c r="E178" s="146"/>
      <c r="F178" s="146"/>
    </row>
    <row r="179" ht="15.75" customHeight="1">
      <c r="D179" s="146"/>
      <c r="E179" s="146"/>
      <c r="F179" s="146"/>
    </row>
    <row r="180" ht="15.75" customHeight="1">
      <c r="D180" s="146"/>
      <c r="E180" s="146"/>
      <c r="F180" s="146"/>
    </row>
    <row r="181" ht="15.75" customHeight="1">
      <c r="D181" s="146"/>
      <c r="E181" s="146"/>
      <c r="F181" s="146"/>
    </row>
    <row r="182" ht="15.75" customHeight="1">
      <c r="D182" s="146"/>
      <c r="E182" s="146"/>
      <c r="F182" s="146"/>
    </row>
    <row r="183" ht="15.75" customHeight="1">
      <c r="D183" s="146"/>
      <c r="E183" s="146"/>
      <c r="F183" s="146"/>
    </row>
    <row r="184" ht="15.75" customHeight="1">
      <c r="D184" s="146"/>
      <c r="E184" s="146"/>
      <c r="F184" s="146"/>
    </row>
    <row r="185" ht="15.75" customHeight="1">
      <c r="D185" s="146"/>
      <c r="E185" s="146"/>
      <c r="F185" s="146"/>
    </row>
    <row r="186" ht="15.75" customHeight="1">
      <c r="D186" s="146"/>
      <c r="E186" s="146"/>
      <c r="F186" s="146"/>
    </row>
    <row r="187" ht="15.75" customHeight="1">
      <c r="D187" s="146"/>
      <c r="E187" s="146"/>
      <c r="F187" s="146"/>
    </row>
    <row r="188" ht="15.75" customHeight="1">
      <c r="D188" s="146"/>
      <c r="E188" s="146"/>
      <c r="F188" s="146"/>
    </row>
    <row r="189" ht="15.75" customHeight="1">
      <c r="D189" s="146"/>
      <c r="E189" s="146"/>
      <c r="F189" s="146"/>
    </row>
    <row r="190" ht="15.75" customHeight="1">
      <c r="D190" s="146"/>
      <c r="E190" s="146"/>
      <c r="F190" s="146"/>
    </row>
    <row r="191" ht="15.75" customHeight="1">
      <c r="D191" s="146"/>
      <c r="E191" s="146"/>
      <c r="F191" s="146"/>
    </row>
    <row r="192" ht="15.75" customHeight="1">
      <c r="D192" s="146"/>
      <c r="E192" s="146"/>
      <c r="F192" s="146"/>
    </row>
    <row r="193" ht="15.75" customHeight="1">
      <c r="D193" s="146"/>
      <c r="E193" s="146"/>
      <c r="F193" s="146"/>
    </row>
    <row r="194" ht="15.75" customHeight="1">
      <c r="D194" s="146"/>
      <c r="E194" s="146"/>
      <c r="F194" s="146"/>
    </row>
    <row r="195" ht="15.75" customHeight="1">
      <c r="D195" s="146"/>
      <c r="E195" s="146"/>
      <c r="F195" s="146"/>
    </row>
    <row r="196" ht="15.75" customHeight="1">
      <c r="D196" s="146"/>
      <c r="E196" s="146"/>
      <c r="F196" s="146"/>
    </row>
    <row r="197" ht="15.75" customHeight="1">
      <c r="D197" s="146"/>
      <c r="E197" s="146"/>
      <c r="F197" s="146"/>
    </row>
    <row r="198" ht="15.75" customHeight="1">
      <c r="D198" s="146"/>
      <c r="E198" s="146"/>
      <c r="F198" s="146"/>
    </row>
    <row r="199" ht="15.75" customHeight="1">
      <c r="D199" s="146"/>
      <c r="E199" s="146"/>
      <c r="F199" s="146"/>
    </row>
    <row r="200" ht="15.75" customHeight="1">
      <c r="D200" s="146"/>
      <c r="E200" s="146"/>
      <c r="F200" s="146"/>
    </row>
    <row r="201" ht="15.75" customHeight="1">
      <c r="D201" s="146"/>
      <c r="E201" s="146"/>
      <c r="F201" s="146"/>
    </row>
    <row r="202" ht="15.75" customHeight="1">
      <c r="D202" s="146"/>
      <c r="E202" s="146"/>
      <c r="F202" s="146"/>
    </row>
    <row r="203" ht="15.75" customHeight="1">
      <c r="D203" s="146"/>
      <c r="E203" s="146"/>
      <c r="F203" s="146"/>
    </row>
    <row r="204" ht="15.75" customHeight="1">
      <c r="D204" s="146"/>
      <c r="E204" s="146"/>
      <c r="F204" s="146"/>
    </row>
    <row r="205" ht="15.75" customHeight="1">
      <c r="D205" s="146"/>
      <c r="E205" s="146"/>
      <c r="F205" s="146"/>
    </row>
    <row r="206" ht="15.75" customHeight="1">
      <c r="D206" s="146"/>
      <c r="E206" s="146"/>
      <c r="F206" s="146"/>
    </row>
    <row r="207" ht="15.75" customHeight="1">
      <c r="D207" s="146"/>
      <c r="E207" s="146"/>
      <c r="F207" s="146"/>
    </row>
    <row r="208" ht="15.75" customHeight="1">
      <c r="D208" s="146"/>
      <c r="E208" s="146"/>
      <c r="F208" s="146"/>
    </row>
    <row r="209" ht="15.75" customHeight="1">
      <c r="D209" s="146"/>
      <c r="E209" s="146"/>
      <c r="F209" s="146"/>
    </row>
    <row r="210" ht="15.75" customHeight="1">
      <c r="D210" s="146"/>
      <c r="E210" s="146"/>
      <c r="F210" s="146"/>
    </row>
    <row r="211" ht="15.75" customHeight="1">
      <c r="D211" s="146"/>
      <c r="E211" s="146"/>
      <c r="F211" s="146"/>
    </row>
    <row r="212" ht="15.75" customHeight="1">
      <c r="D212" s="146"/>
      <c r="E212" s="146"/>
      <c r="F212" s="146"/>
    </row>
    <row r="213" ht="15.75" customHeight="1">
      <c r="D213" s="146"/>
      <c r="E213" s="146"/>
      <c r="F213" s="146"/>
    </row>
    <row r="214" ht="15.75" customHeight="1">
      <c r="D214" s="146"/>
      <c r="E214" s="146"/>
      <c r="F214" s="146"/>
    </row>
    <row r="215" ht="15.75" customHeight="1">
      <c r="D215" s="146"/>
      <c r="E215" s="146"/>
      <c r="F215" s="146"/>
    </row>
    <row r="216" ht="15.75" customHeight="1">
      <c r="D216" s="146"/>
      <c r="E216" s="146"/>
      <c r="F216" s="146"/>
    </row>
    <row r="217" ht="15.75" customHeight="1">
      <c r="D217" s="146"/>
      <c r="E217" s="146"/>
      <c r="F217" s="146"/>
    </row>
    <row r="218" ht="15.75" customHeight="1">
      <c r="D218" s="146"/>
      <c r="E218" s="146"/>
      <c r="F218" s="146"/>
    </row>
    <row r="219" ht="15.75" customHeight="1">
      <c r="D219" s="146"/>
      <c r="E219" s="146"/>
      <c r="F219" s="146"/>
    </row>
    <row r="220" ht="15.75" customHeight="1">
      <c r="D220" s="146"/>
      <c r="E220" s="146"/>
      <c r="F220" s="146"/>
    </row>
    <row r="221" ht="15.75" customHeight="1">
      <c r="D221" s="146"/>
      <c r="E221" s="146"/>
      <c r="F221" s="146"/>
    </row>
    <row r="222" ht="15.75" customHeight="1">
      <c r="D222" s="146"/>
      <c r="E222" s="146"/>
      <c r="F222" s="146"/>
    </row>
    <row r="223" ht="15.75" customHeight="1">
      <c r="D223" s="146"/>
      <c r="E223" s="146"/>
      <c r="F223" s="146"/>
    </row>
    <row r="224" ht="15.75" customHeight="1">
      <c r="D224" s="146"/>
      <c r="E224" s="146"/>
      <c r="F224" s="146"/>
    </row>
    <row r="225" ht="15.75" customHeight="1">
      <c r="D225" s="146"/>
      <c r="E225" s="146"/>
      <c r="F225" s="146"/>
    </row>
    <row r="226" ht="15.75" customHeight="1">
      <c r="D226" s="146"/>
      <c r="E226" s="146"/>
      <c r="F226" s="146"/>
    </row>
    <row r="227" ht="15.75" customHeight="1">
      <c r="D227" s="146"/>
      <c r="E227" s="146"/>
      <c r="F227" s="146"/>
    </row>
    <row r="228" ht="15.75" customHeight="1">
      <c r="D228" s="146"/>
      <c r="E228" s="146"/>
      <c r="F228" s="146"/>
    </row>
    <row r="229" ht="15.75" customHeight="1">
      <c r="D229" s="146"/>
      <c r="E229" s="146"/>
      <c r="F229" s="146"/>
    </row>
    <row r="230" ht="15.75" customHeight="1">
      <c r="D230" s="146"/>
      <c r="E230" s="146"/>
      <c r="F230" s="146"/>
    </row>
    <row r="231" ht="15.75" customHeight="1">
      <c r="D231" s="146"/>
      <c r="E231" s="146"/>
      <c r="F231" s="146"/>
    </row>
    <row r="232" ht="15.75" customHeight="1">
      <c r="D232" s="146"/>
      <c r="E232" s="146"/>
      <c r="F232" s="146"/>
    </row>
    <row r="233" ht="15.75" customHeight="1">
      <c r="D233" s="146"/>
      <c r="E233" s="146"/>
      <c r="F233" s="146"/>
    </row>
    <row r="234" ht="15.75" customHeight="1">
      <c r="D234" s="146"/>
      <c r="E234" s="146"/>
      <c r="F234" s="146"/>
    </row>
    <row r="235" ht="15.75" customHeight="1">
      <c r="D235" s="146"/>
      <c r="E235" s="146"/>
      <c r="F235" s="146"/>
    </row>
    <row r="236" ht="15.75" customHeight="1">
      <c r="D236" s="146"/>
      <c r="E236" s="146"/>
      <c r="F236" s="146"/>
    </row>
    <row r="237" ht="15.75" customHeight="1">
      <c r="D237" s="146"/>
      <c r="E237" s="146"/>
      <c r="F237" s="146"/>
    </row>
    <row r="238" ht="15.75" customHeight="1">
      <c r="D238" s="146"/>
      <c r="E238" s="146"/>
      <c r="F238" s="146"/>
    </row>
    <row r="239" ht="15.75" customHeight="1">
      <c r="D239" s="146"/>
      <c r="E239" s="146"/>
      <c r="F239" s="146"/>
    </row>
    <row r="240" ht="15.75" customHeight="1">
      <c r="D240" s="146"/>
      <c r="E240" s="146"/>
      <c r="F240" s="146"/>
    </row>
    <row r="241" ht="15.75" customHeight="1">
      <c r="D241" s="146"/>
      <c r="E241" s="146"/>
      <c r="F241" s="146"/>
    </row>
    <row r="242" ht="15.75" customHeight="1">
      <c r="D242" s="146"/>
      <c r="E242" s="146"/>
      <c r="F242" s="146"/>
    </row>
    <row r="243" ht="15.75" customHeight="1">
      <c r="D243" s="146"/>
      <c r="E243" s="146"/>
      <c r="F243" s="146"/>
    </row>
    <row r="244" ht="15.75" customHeight="1">
      <c r="D244" s="146"/>
      <c r="E244" s="146"/>
      <c r="F244" s="146"/>
    </row>
    <row r="245" ht="15.75" customHeight="1">
      <c r="D245" s="146"/>
      <c r="E245" s="146"/>
      <c r="F245" s="146"/>
    </row>
    <row r="246" ht="15.75" customHeight="1">
      <c r="D246" s="146"/>
      <c r="E246" s="146"/>
      <c r="F246" s="146"/>
    </row>
    <row r="247" ht="15.75" customHeight="1">
      <c r="D247" s="146"/>
      <c r="E247" s="146"/>
      <c r="F247" s="146"/>
    </row>
    <row r="248" ht="15.75" customHeight="1">
      <c r="D248" s="146"/>
      <c r="E248" s="146"/>
      <c r="F248" s="146"/>
    </row>
    <row r="249" ht="15.75" customHeight="1">
      <c r="D249" s="146"/>
      <c r="E249" s="146"/>
      <c r="F249" s="146"/>
    </row>
    <row r="250" ht="15.75" customHeight="1">
      <c r="D250" s="146"/>
      <c r="E250" s="146"/>
      <c r="F250" s="146"/>
    </row>
    <row r="251" ht="15.75" customHeight="1">
      <c r="D251" s="146"/>
      <c r="E251" s="146"/>
      <c r="F251" s="146"/>
    </row>
    <row r="252" ht="15.75" customHeight="1">
      <c r="D252" s="146"/>
      <c r="E252" s="146"/>
      <c r="F252" s="146"/>
    </row>
    <row r="253" ht="15.75" customHeight="1">
      <c r="D253" s="146"/>
      <c r="E253" s="146"/>
      <c r="F253" s="146"/>
    </row>
    <row r="254" ht="15.75" customHeight="1">
      <c r="D254" s="146"/>
      <c r="E254" s="146"/>
      <c r="F254" s="146"/>
    </row>
    <row r="255" ht="15.75" customHeight="1">
      <c r="D255" s="146"/>
      <c r="E255" s="146"/>
      <c r="F255" s="146"/>
    </row>
    <row r="256" ht="15.75" customHeight="1">
      <c r="D256" s="146"/>
      <c r="E256" s="146"/>
      <c r="F256" s="146"/>
    </row>
    <row r="257" ht="15.75" customHeight="1">
      <c r="D257" s="146"/>
      <c r="E257" s="146"/>
      <c r="F257" s="146"/>
    </row>
    <row r="258" ht="15.75" customHeight="1">
      <c r="D258" s="146"/>
      <c r="E258" s="146"/>
      <c r="F258" s="146"/>
    </row>
    <row r="259" ht="15.75" customHeight="1">
      <c r="D259" s="146"/>
      <c r="E259" s="146"/>
      <c r="F259" s="146"/>
    </row>
    <row r="260" ht="15.75" customHeight="1">
      <c r="D260" s="146"/>
      <c r="E260" s="146"/>
      <c r="F260" s="146"/>
    </row>
    <row r="261" ht="15.75" customHeight="1">
      <c r="D261" s="146"/>
      <c r="E261" s="146"/>
      <c r="F261" s="146"/>
    </row>
    <row r="262" ht="15.75" customHeight="1">
      <c r="D262" s="146"/>
      <c r="E262" s="146"/>
      <c r="F262" s="146"/>
    </row>
    <row r="263" ht="15.75" customHeight="1">
      <c r="D263" s="146"/>
      <c r="E263" s="146"/>
      <c r="F263" s="146"/>
    </row>
    <row r="264" ht="15.75" customHeight="1">
      <c r="D264" s="146"/>
      <c r="E264" s="146"/>
      <c r="F264" s="146"/>
    </row>
    <row r="265" ht="15.75" customHeight="1">
      <c r="D265" s="146"/>
      <c r="E265" s="146"/>
      <c r="F265" s="146"/>
    </row>
    <row r="266" ht="15.75" customHeight="1">
      <c r="D266" s="146"/>
      <c r="E266" s="146"/>
      <c r="F266" s="146"/>
    </row>
    <row r="267" ht="15.75" customHeight="1">
      <c r="D267" s="146"/>
      <c r="E267" s="146"/>
      <c r="F267" s="146"/>
    </row>
    <row r="268" ht="15.75" customHeight="1">
      <c r="D268" s="146"/>
      <c r="E268" s="146"/>
      <c r="F268" s="146"/>
    </row>
    <row r="269" ht="15.75" customHeight="1">
      <c r="D269" s="146"/>
      <c r="E269" s="146"/>
      <c r="F269" s="146"/>
    </row>
    <row r="270" ht="15.75" customHeight="1">
      <c r="D270" s="146"/>
      <c r="E270" s="146"/>
      <c r="F270" s="146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9:E11"/>
    <mergeCell ref="F9:F11"/>
    <mergeCell ref="A1:AD1"/>
    <mergeCell ref="A2:AD2"/>
    <mergeCell ref="A3:AD3"/>
    <mergeCell ref="A4:AD4"/>
    <mergeCell ref="A5:AD5"/>
    <mergeCell ref="A6:AD6"/>
    <mergeCell ref="D9:D11"/>
  </mergeCells>
  <printOptions/>
  <pageMargins bottom="0.75" footer="0.0" header="0.0" left="0.7" right="0.7" top="0.75"/>
  <pageSetup fitToHeight="0" orientation="landscape"/>
  <drawing r:id="rId1"/>
</worksheet>
</file>