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3BEDAC2-8681-4D4E-9E43-6B54F3F6468C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COMBINED" sheetId="3" r:id="rId1"/>
  </sheets>
  <calcPr calcId="191029"/>
</workbook>
</file>

<file path=xl/calcChain.xml><?xml version="1.0" encoding="utf-8"?>
<calcChain xmlns="http://schemas.openxmlformats.org/spreadsheetml/2006/main">
  <c r="L64" i="3" l="1"/>
  <c r="B64" i="3"/>
  <c r="K64" i="3" s="1"/>
  <c r="M64" i="3" s="1"/>
  <c r="M63" i="3"/>
  <c r="L63" i="3"/>
  <c r="B63" i="3"/>
  <c r="K63" i="3" s="1"/>
  <c r="L62" i="3"/>
  <c r="B62" i="3"/>
  <c r="K62" i="3" s="1"/>
  <c r="M62" i="3" s="1"/>
  <c r="L61" i="3"/>
  <c r="B61" i="3"/>
  <c r="K61" i="3" s="1"/>
  <c r="M61" i="3" s="1"/>
  <c r="M60" i="3"/>
  <c r="L60" i="3"/>
  <c r="B60" i="3"/>
  <c r="K60" i="3" s="1"/>
  <c r="M59" i="3"/>
  <c r="L59" i="3"/>
  <c r="B59" i="3"/>
  <c r="K59" i="3" s="1"/>
  <c r="L58" i="3"/>
  <c r="B58" i="3"/>
  <c r="K58" i="3" s="1"/>
  <c r="M58" i="3" s="1"/>
  <c r="L57" i="3"/>
  <c r="B57" i="3"/>
  <c r="K57" i="3" s="1"/>
  <c r="M57" i="3" s="1"/>
  <c r="M56" i="3"/>
  <c r="L56" i="3"/>
  <c r="B56" i="3"/>
  <c r="K56" i="3" s="1"/>
  <c r="M55" i="3"/>
  <c r="L55" i="3"/>
  <c r="B55" i="3"/>
  <c r="K55" i="3" s="1"/>
  <c r="L54" i="3"/>
  <c r="B54" i="3"/>
  <c r="K54" i="3" s="1"/>
  <c r="M54" i="3" s="1"/>
  <c r="L53" i="3"/>
  <c r="B53" i="3"/>
  <c r="K53" i="3" s="1"/>
  <c r="M53" i="3" s="1"/>
  <c r="M52" i="3"/>
  <c r="L52" i="3"/>
  <c r="B52" i="3"/>
  <c r="K52" i="3" s="1"/>
  <c r="M49" i="3"/>
  <c r="L49" i="3"/>
  <c r="B49" i="3"/>
  <c r="K49" i="3" s="1"/>
  <c r="L48" i="3"/>
  <c r="B48" i="3"/>
  <c r="K48" i="3" s="1"/>
  <c r="M48" i="3" s="1"/>
  <c r="L47" i="3"/>
  <c r="B47" i="3"/>
  <c r="K47" i="3" s="1"/>
  <c r="M47" i="3" s="1"/>
  <c r="M46" i="3"/>
  <c r="L46" i="3"/>
  <c r="B46" i="3"/>
  <c r="K46" i="3" s="1"/>
  <c r="M45" i="3"/>
  <c r="L45" i="3"/>
  <c r="B45" i="3"/>
  <c r="K45" i="3" s="1"/>
  <c r="L44" i="3"/>
  <c r="B44" i="3"/>
  <c r="K44" i="3" s="1"/>
  <c r="M44" i="3" s="1"/>
  <c r="L43" i="3"/>
  <c r="B43" i="3"/>
  <c r="K43" i="3" s="1"/>
  <c r="M43" i="3" s="1"/>
  <c r="M42" i="3"/>
  <c r="L42" i="3"/>
  <c r="B42" i="3"/>
  <c r="K42" i="3" s="1"/>
  <c r="M41" i="3"/>
  <c r="L41" i="3"/>
  <c r="B41" i="3"/>
  <c r="K41" i="3" s="1"/>
  <c r="L40" i="3"/>
  <c r="B40" i="3"/>
  <c r="K40" i="3" s="1"/>
  <c r="M40" i="3" s="1"/>
  <c r="L39" i="3"/>
  <c r="B39" i="3"/>
  <c r="K39" i="3" s="1"/>
  <c r="M39" i="3" s="1"/>
  <c r="M38" i="3"/>
  <c r="L38" i="3"/>
  <c r="B38" i="3"/>
  <c r="K38" i="3" s="1"/>
  <c r="L35" i="3"/>
  <c r="F35" i="3"/>
  <c r="B35" i="3"/>
  <c r="K35" i="3" s="1"/>
  <c r="M35" i="3" s="1"/>
  <c r="L34" i="3"/>
  <c r="F34" i="3"/>
  <c r="B34" i="3"/>
  <c r="L33" i="3"/>
  <c r="M33" i="3" s="1"/>
  <c r="K33" i="3"/>
  <c r="F33" i="3"/>
  <c r="B33" i="3"/>
  <c r="L32" i="3"/>
  <c r="M32" i="3" s="1"/>
  <c r="K32" i="3"/>
  <c r="F32" i="3"/>
  <c r="B32" i="3"/>
  <c r="M31" i="3"/>
  <c r="L31" i="3"/>
  <c r="F31" i="3"/>
  <c r="B31" i="3"/>
  <c r="K31" i="3" s="1"/>
  <c r="L30" i="3"/>
  <c r="F30" i="3"/>
  <c r="B30" i="3"/>
  <c r="K30" i="3" s="1"/>
  <c r="M30" i="3" s="1"/>
  <c r="L29" i="3"/>
  <c r="K29" i="3"/>
  <c r="F29" i="3"/>
  <c r="B29" i="3"/>
  <c r="L28" i="3"/>
  <c r="M28" i="3" s="1"/>
  <c r="K28" i="3"/>
  <c r="F28" i="3"/>
  <c r="B28" i="3"/>
  <c r="L27" i="3"/>
  <c r="F27" i="3"/>
  <c r="B27" i="3"/>
  <c r="K27" i="3" s="1"/>
  <c r="M27" i="3" s="1"/>
  <c r="L26" i="3"/>
  <c r="F26" i="3"/>
  <c r="B26" i="3"/>
  <c r="L25" i="3"/>
  <c r="M25" i="3" s="1"/>
  <c r="K25" i="3"/>
  <c r="F25" i="3"/>
  <c r="B25" i="3"/>
  <c r="L24" i="3"/>
  <c r="M24" i="3" s="1"/>
  <c r="K24" i="3"/>
  <c r="F24" i="3"/>
  <c r="B24" i="3"/>
  <c r="M23" i="3"/>
  <c r="L23" i="3"/>
  <c r="F23" i="3"/>
  <c r="B23" i="3"/>
  <c r="K23" i="3" s="1"/>
  <c r="L22" i="3"/>
  <c r="F22" i="3"/>
  <c r="B22" i="3"/>
  <c r="L21" i="3"/>
  <c r="K21" i="3"/>
  <c r="F21" i="3"/>
  <c r="B21" i="3"/>
  <c r="L20" i="3"/>
  <c r="M20" i="3" s="1"/>
  <c r="K20" i="3"/>
  <c r="F20" i="3"/>
  <c r="B20" i="3"/>
  <c r="L19" i="3"/>
  <c r="F19" i="3"/>
  <c r="B19" i="3"/>
  <c r="K19" i="3" s="1"/>
  <c r="M19" i="3" s="1"/>
  <c r="L18" i="3"/>
  <c r="F18" i="3"/>
  <c r="B18" i="3"/>
  <c r="L17" i="3"/>
  <c r="K17" i="3"/>
  <c r="F17" i="3"/>
  <c r="B17" i="3"/>
  <c r="L16" i="3"/>
  <c r="M16" i="3" s="1"/>
  <c r="K16" i="3"/>
  <c r="F16" i="3"/>
  <c r="B16" i="3"/>
  <c r="L15" i="3"/>
  <c r="F15" i="3"/>
  <c r="B15" i="3"/>
  <c r="K15" i="3" s="1"/>
  <c r="M15" i="3" s="1"/>
  <c r="L14" i="3"/>
  <c r="F14" i="3"/>
  <c r="B14" i="3"/>
  <c r="K14" i="3" s="1"/>
  <c r="M14" i="3" s="1"/>
  <c r="L13" i="3"/>
  <c r="M13" i="3" s="1"/>
  <c r="K13" i="3"/>
  <c r="F13" i="3"/>
  <c r="B13" i="3"/>
  <c r="L12" i="3"/>
  <c r="M12" i="3" s="1"/>
  <c r="K12" i="3"/>
  <c r="F12" i="3"/>
  <c r="B12" i="3"/>
  <c r="L11" i="3"/>
  <c r="F11" i="3"/>
  <c r="B11" i="3"/>
  <c r="K11" i="3" s="1"/>
  <c r="M11" i="3" s="1"/>
  <c r="L10" i="3"/>
  <c r="F10" i="3"/>
  <c r="B10" i="3"/>
  <c r="K10" i="3" l="1"/>
  <c r="M10" i="3" s="1"/>
  <c r="M21" i="3"/>
  <c r="K26" i="3"/>
  <c r="M26" i="3" s="1"/>
  <c r="M17" i="3"/>
  <c r="K22" i="3"/>
  <c r="M22" i="3" s="1"/>
  <c r="K18" i="3"/>
  <c r="M18" i="3" s="1"/>
  <c r="M29" i="3"/>
  <c r="K34" i="3"/>
  <c r="M34" i="3" s="1"/>
</calcChain>
</file>

<file path=xl/sharedStrings.xml><?xml version="1.0" encoding="utf-8"?>
<sst xmlns="http://schemas.openxmlformats.org/spreadsheetml/2006/main" count="25" uniqueCount="22">
  <si>
    <t>Indian Institute of Information Technology (IIIT), Surat</t>
  </si>
  <si>
    <t>Department of Computer Science &amp; Engineering</t>
  </si>
  <si>
    <t>B.Tech - 4th year, Semester - 7th sem</t>
  </si>
  <si>
    <t>Subject Name: CS-754: Mobile Computing</t>
  </si>
  <si>
    <t>Subject Coordinator: Dr. Kaustubh Dhondge</t>
  </si>
  <si>
    <t>Faculty Name: Dr. Kaustubh Dhondge and Ms. Sejal Rathod</t>
  </si>
  <si>
    <t xml:space="preserve">JULY-DEC 2025
</t>
  </si>
  <si>
    <t>CSE</t>
  </si>
  <si>
    <t>ECE</t>
  </si>
  <si>
    <t>Registration No.</t>
  </si>
  <si>
    <t>LECTURE</t>
  </si>
  <si>
    <t>LAB</t>
  </si>
  <si>
    <t>TOTAL LEC + LAB</t>
  </si>
  <si>
    <t>total</t>
  </si>
  <si>
    <t>Present</t>
  </si>
  <si>
    <t>Absent</t>
  </si>
  <si>
    <t>%</t>
  </si>
  <si>
    <t>TOTAL</t>
  </si>
  <si>
    <t>TOTAL       LEC + LAB</t>
  </si>
  <si>
    <t>ATTENDED LEC+LAB</t>
  </si>
  <si>
    <t>TOTAL PERCANTAGE</t>
  </si>
  <si>
    <t>M.Tech.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</si>
</sst>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name val="Arial"/>
    </font>
    <font>
      <b/>
      <sz val="13"/>
      <color theme="1"/>
      <name val="Calibri"/>
    </font>
    <font>
      <sz val="12"/>
      <color theme="1"/>
      <name val="Arial"/>
      <scheme val="minor"/>
    </font>
    <font>
      <b/>
      <sz val="12"/>
      <color rgb="FFFFFFFF"/>
      <name val="Arial"/>
      <scheme val="minor"/>
    </font>
    <font>
      <b/>
      <sz val="12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6" borderId="0" xfId="0" applyFont="1" applyFill="1" applyAlignment="1">
      <alignment horizontal="center"/>
    </xf>
    <xf numFmtId="0" fontId="3" fillId="0" borderId="0" xfId="0" applyFont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9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5" fillId="7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0" fillId="0" borderId="0" xfId="0" applyFont="1" applyAlignment="1"/>
    <xf numFmtId="0" fontId="1" fillId="0" borderId="2" xfId="0" applyFont="1" applyBorder="1"/>
    <xf numFmtId="0" fontId="1" fillId="0" borderId="3" xfId="0" applyFont="1" applyBorder="1"/>
    <xf numFmtId="0" fontId="2" fillId="2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942"/>
  <sheetViews>
    <sheetView tabSelected="1" workbookViewId="0">
      <selection sqref="A1:M1"/>
    </sheetView>
  </sheetViews>
  <sheetFormatPr defaultColWidth="12.6640625" defaultRowHeight="15.75" customHeight="1" x14ac:dyDescent="0.25"/>
  <cols>
    <col min="1" max="1" width="24.77734375" customWidth="1"/>
    <col min="2" max="2" width="8.109375" customWidth="1"/>
    <col min="3" max="3" width="10.21875" customWidth="1"/>
    <col min="4" max="4" width="8.77734375" customWidth="1"/>
    <col min="5" max="6" width="8.88671875" customWidth="1"/>
    <col min="7" max="8" width="9.44140625" customWidth="1"/>
    <col min="9" max="9" width="9.109375" customWidth="1"/>
    <col min="10" max="10" width="2.21875" customWidth="1"/>
    <col min="11" max="11" width="11.77734375" customWidth="1"/>
    <col min="12" max="12" width="15.21875" customWidth="1"/>
    <col min="13" max="13" width="15.77734375" customWidth="1"/>
  </cols>
  <sheetData>
    <row r="1" spans="1:14" ht="17.399999999999999" x14ac:dyDescent="0.35">
      <c r="A1" s="1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  <c r="N1" s="1"/>
    </row>
    <row r="2" spans="1:14" ht="17.399999999999999" x14ac:dyDescent="0.35">
      <c r="A2" s="13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"/>
    </row>
    <row r="3" spans="1:14" ht="17.399999999999999" x14ac:dyDescent="0.35">
      <c r="A3" s="13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"/>
    </row>
    <row r="4" spans="1:14" ht="17.399999999999999" x14ac:dyDescent="0.35">
      <c r="A4" s="13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"/>
    </row>
    <row r="5" spans="1:14" ht="17.399999999999999" x14ac:dyDescent="0.35">
      <c r="A5" s="13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"/>
    </row>
    <row r="6" spans="1:14" ht="17.399999999999999" x14ac:dyDescent="0.35">
      <c r="A6" s="13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"/>
    </row>
    <row r="7" spans="1:14" ht="21" customHeight="1" x14ac:dyDescent="0.35">
      <c r="A7" s="13" t="s">
        <v>6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"/>
    </row>
    <row r="8" spans="1:14" ht="15.6" x14ac:dyDescent="0.3">
      <c r="A8" s="2" t="s">
        <v>9</v>
      </c>
      <c r="B8" s="14" t="s">
        <v>10</v>
      </c>
      <c r="C8" s="10"/>
      <c r="D8" s="10"/>
      <c r="E8" s="10"/>
      <c r="F8" s="15" t="s">
        <v>11</v>
      </c>
      <c r="G8" s="10"/>
      <c r="H8" s="10"/>
      <c r="I8" s="10"/>
      <c r="J8" s="1"/>
      <c r="K8" s="16" t="s">
        <v>12</v>
      </c>
      <c r="L8" s="10"/>
      <c r="M8" s="10"/>
      <c r="N8" s="1"/>
    </row>
    <row r="9" spans="1:14" ht="45.6" x14ac:dyDescent="0.3">
      <c r="A9" s="3" t="s">
        <v>7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14</v>
      </c>
      <c r="H9" s="2" t="s">
        <v>15</v>
      </c>
      <c r="I9" s="2" t="s">
        <v>16</v>
      </c>
      <c r="J9" s="1"/>
      <c r="K9" s="4" t="s">
        <v>18</v>
      </c>
      <c r="L9" s="4" t="s">
        <v>19</v>
      </c>
      <c r="M9" s="5" t="s">
        <v>20</v>
      </c>
      <c r="N9" s="1"/>
    </row>
    <row r="10" spans="1:14" ht="15" x14ac:dyDescent="0.25">
      <c r="A10" s="2">
        <v>5</v>
      </c>
      <c r="B10" s="1">
        <f t="shared" ref="B10:B35" si="0">SUM(C10:D10)</f>
        <v>23</v>
      </c>
      <c r="C10" s="2">
        <v>14</v>
      </c>
      <c r="D10" s="2">
        <v>9</v>
      </c>
      <c r="E10" s="6">
        <v>0.61</v>
      </c>
      <c r="F10" s="1">
        <f t="shared" ref="F10:F35" si="1">SUM(G10:H10)</f>
        <v>10</v>
      </c>
      <c r="G10" s="1">
        <v>7</v>
      </c>
      <c r="H10" s="1">
        <v>3</v>
      </c>
      <c r="I10" s="7">
        <v>70</v>
      </c>
      <c r="J10" s="1"/>
      <c r="K10" s="1">
        <f t="shared" ref="K10:L10" si="2">SUM(B10+F10)</f>
        <v>33</v>
      </c>
      <c r="L10" s="1">
        <f t="shared" si="2"/>
        <v>21</v>
      </c>
      <c r="M10" s="7">
        <f t="shared" ref="M10:M35" si="3">L10*100/K10</f>
        <v>63.636363636363633</v>
      </c>
      <c r="N10" s="1"/>
    </row>
    <row r="11" spans="1:14" ht="15" x14ac:dyDescent="0.25">
      <c r="A11" s="2">
        <v>6</v>
      </c>
      <c r="B11" s="1">
        <f t="shared" si="0"/>
        <v>23</v>
      </c>
      <c r="C11" s="2">
        <v>15</v>
      </c>
      <c r="D11" s="2">
        <v>8</v>
      </c>
      <c r="E11" s="6">
        <v>0.65</v>
      </c>
      <c r="F11" s="1">
        <f t="shared" si="1"/>
        <v>10</v>
      </c>
      <c r="G11" s="1">
        <v>8</v>
      </c>
      <c r="H11" s="1">
        <v>2</v>
      </c>
      <c r="I11" s="7">
        <v>80</v>
      </c>
      <c r="J11" s="1"/>
      <c r="K11" s="1">
        <f t="shared" ref="K11:L11" si="4">SUM(B11+F11)</f>
        <v>33</v>
      </c>
      <c r="L11" s="1">
        <f t="shared" si="4"/>
        <v>23</v>
      </c>
      <c r="M11" s="7">
        <f t="shared" si="3"/>
        <v>69.696969696969703</v>
      </c>
      <c r="N11" s="1"/>
    </row>
    <row r="12" spans="1:14" ht="15" x14ac:dyDescent="0.25">
      <c r="A12" s="2">
        <v>10</v>
      </c>
      <c r="B12" s="1">
        <f t="shared" si="0"/>
        <v>23</v>
      </c>
      <c r="C12" s="2">
        <v>16</v>
      </c>
      <c r="D12" s="2">
        <v>7</v>
      </c>
      <c r="E12" s="6">
        <v>0.7</v>
      </c>
      <c r="F12" s="1">
        <f t="shared" si="1"/>
        <v>10</v>
      </c>
      <c r="G12" s="1">
        <v>8</v>
      </c>
      <c r="H12" s="1">
        <v>2</v>
      </c>
      <c r="I12" s="7">
        <v>80</v>
      </c>
      <c r="J12" s="1"/>
      <c r="K12" s="1">
        <f t="shared" ref="K12:L12" si="5">SUM(B12+F12)</f>
        <v>33</v>
      </c>
      <c r="L12" s="1">
        <f t="shared" si="5"/>
        <v>24</v>
      </c>
      <c r="M12" s="7">
        <f t="shared" si="3"/>
        <v>72.727272727272734</v>
      </c>
      <c r="N12" s="1"/>
    </row>
    <row r="13" spans="1:14" ht="15" x14ac:dyDescent="0.25">
      <c r="A13" s="2">
        <v>15</v>
      </c>
      <c r="B13" s="1">
        <f t="shared" si="0"/>
        <v>23</v>
      </c>
      <c r="C13" s="2">
        <v>12</v>
      </c>
      <c r="D13" s="2">
        <v>11</v>
      </c>
      <c r="E13" s="6">
        <v>0.52</v>
      </c>
      <c r="F13" s="1">
        <f t="shared" si="1"/>
        <v>10</v>
      </c>
      <c r="G13" s="1">
        <v>5</v>
      </c>
      <c r="H13" s="1">
        <v>5</v>
      </c>
      <c r="I13" s="7">
        <v>50</v>
      </c>
      <c r="J13" s="1"/>
      <c r="K13" s="1">
        <f t="shared" ref="K13:L13" si="6">SUM(B13+F13)</f>
        <v>33</v>
      </c>
      <c r="L13" s="1">
        <f t="shared" si="6"/>
        <v>17</v>
      </c>
      <c r="M13" s="7">
        <f t="shared" si="3"/>
        <v>51.515151515151516</v>
      </c>
      <c r="N13" s="1"/>
    </row>
    <row r="14" spans="1:14" ht="15" x14ac:dyDescent="0.25">
      <c r="A14" s="2">
        <v>16</v>
      </c>
      <c r="B14" s="1">
        <f t="shared" si="0"/>
        <v>23</v>
      </c>
      <c r="C14" s="2">
        <v>19</v>
      </c>
      <c r="D14" s="2">
        <v>4</v>
      </c>
      <c r="E14" s="6">
        <v>0.83</v>
      </c>
      <c r="F14" s="1">
        <f t="shared" si="1"/>
        <v>10</v>
      </c>
      <c r="G14" s="1">
        <v>6</v>
      </c>
      <c r="H14" s="1">
        <v>4</v>
      </c>
      <c r="I14" s="7">
        <v>60</v>
      </c>
      <c r="J14" s="1"/>
      <c r="K14" s="1">
        <f t="shared" ref="K14:L14" si="7">SUM(B14+F14)</f>
        <v>33</v>
      </c>
      <c r="L14" s="1">
        <f t="shared" si="7"/>
        <v>25</v>
      </c>
      <c r="M14" s="7">
        <f t="shared" si="3"/>
        <v>75.757575757575751</v>
      </c>
      <c r="N14" s="1"/>
    </row>
    <row r="15" spans="1:14" ht="15" x14ac:dyDescent="0.25">
      <c r="A15" s="2">
        <v>19</v>
      </c>
      <c r="B15" s="1">
        <f t="shared" si="0"/>
        <v>23</v>
      </c>
      <c r="C15" s="2">
        <v>17</v>
      </c>
      <c r="D15" s="2">
        <v>6</v>
      </c>
      <c r="E15" s="6">
        <v>0.74</v>
      </c>
      <c r="F15" s="1">
        <f t="shared" si="1"/>
        <v>10</v>
      </c>
      <c r="G15" s="1">
        <v>8</v>
      </c>
      <c r="H15" s="1">
        <v>2</v>
      </c>
      <c r="I15" s="7">
        <v>80</v>
      </c>
      <c r="J15" s="1"/>
      <c r="K15" s="1">
        <f t="shared" ref="K15:L15" si="8">SUM(B15+F15)</f>
        <v>33</v>
      </c>
      <c r="L15" s="1">
        <f t="shared" si="8"/>
        <v>25</v>
      </c>
      <c r="M15" s="7">
        <f t="shared" si="3"/>
        <v>75.757575757575751</v>
      </c>
      <c r="N15" s="1"/>
    </row>
    <row r="16" spans="1:14" ht="15" x14ac:dyDescent="0.25">
      <c r="A16" s="2">
        <v>28</v>
      </c>
      <c r="B16" s="1">
        <f t="shared" si="0"/>
        <v>23</v>
      </c>
      <c r="C16" s="2">
        <v>12</v>
      </c>
      <c r="D16" s="2">
        <v>11</v>
      </c>
      <c r="E16" s="6">
        <v>0.52</v>
      </c>
      <c r="F16" s="1">
        <f t="shared" si="1"/>
        <v>10</v>
      </c>
      <c r="G16" s="1">
        <v>5</v>
      </c>
      <c r="H16" s="1">
        <v>5</v>
      </c>
      <c r="I16" s="7">
        <v>50</v>
      </c>
      <c r="J16" s="1"/>
      <c r="K16" s="1">
        <f t="shared" ref="K16:L16" si="9">SUM(B16+F16)</f>
        <v>33</v>
      </c>
      <c r="L16" s="1">
        <f t="shared" si="9"/>
        <v>17</v>
      </c>
      <c r="M16" s="7">
        <f t="shared" si="3"/>
        <v>51.515151515151516</v>
      </c>
      <c r="N16" s="1"/>
    </row>
    <row r="17" spans="1:14" ht="15" x14ac:dyDescent="0.25">
      <c r="A17" s="2">
        <v>32</v>
      </c>
      <c r="B17" s="1">
        <f t="shared" si="0"/>
        <v>23</v>
      </c>
      <c r="C17" s="2">
        <v>17</v>
      </c>
      <c r="D17" s="2">
        <v>6</v>
      </c>
      <c r="E17" s="6">
        <v>0.74</v>
      </c>
      <c r="F17" s="1">
        <f t="shared" si="1"/>
        <v>10</v>
      </c>
      <c r="G17" s="1">
        <v>5</v>
      </c>
      <c r="H17" s="1">
        <v>5</v>
      </c>
      <c r="I17" s="7">
        <v>50</v>
      </c>
      <c r="J17" s="1"/>
      <c r="K17" s="1">
        <f t="shared" ref="K17:L17" si="10">SUM(B17+F17)</f>
        <v>33</v>
      </c>
      <c r="L17" s="1">
        <f t="shared" si="10"/>
        <v>22</v>
      </c>
      <c r="M17" s="7">
        <f t="shared" si="3"/>
        <v>66.666666666666671</v>
      </c>
      <c r="N17" s="1"/>
    </row>
    <row r="18" spans="1:14" ht="15" x14ac:dyDescent="0.25">
      <c r="A18" s="2">
        <v>33</v>
      </c>
      <c r="B18" s="1">
        <f t="shared" si="0"/>
        <v>21</v>
      </c>
      <c r="C18" s="2">
        <v>10</v>
      </c>
      <c r="D18" s="2">
        <v>11</v>
      </c>
      <c r="E18" s="6">
        <v>0.48</v>
      </c>
      <c r="F18" s="1">
        <f t="shared" si="1"/>
        <v>10</v>
      </c>
      <c r="G18" s="1">
        <v>6</v>
      </c>
      <c r="H18" s="1">
        <v>4</v>
      </c>
      <c r="I18" s="7">
        <v>60</v>
      </c>
      <c r="J18" s="1"/>
      <c r="K18" s="1">
        <f t="shared" ref="K18:L18" si="11">SUM(B18+F18)</f>
        <v>31</v>
      </c>
      <c r="L18" s="1">
        <f t="shared" si="11"/>
        <v>16</v>
      </c>
      <c r="M18" s="7">
        <f t="shared" si="3"/>
        <v>51.612903225806448</v>
      </c>
      <c r="N18" s="1"/>
    </row>
    <row r="19" spans="1:14" ht="15" x14ac:dyDescent="0.25">
      <c r="A19" s="2">
        <v>35</v>
      </c>
      <c r="B19" s="1">
        <f t="shared" si="0"/>
        <v>23</v>
      </c>
      <c r="C19" s="2">
        <v>18</v>
      </c>
      <c r="D19" s="2">
        <v>5</v>
      </c>
      <c r="E19" s="6">
        <v>0.78</v>
      </c>
      <c r="F19" s="1">
        <f t="shared" si="1"/>
        <v>10</v>
      </c>
      <c r="G19" s="1">
        <v>8</v>
      </c>
      <c r="H19" s="1">
        <v>2</v>
      </c>
      <c r="I19" s="7">
        <v>80</v>
      </c>
      <c r="J19" s="1"/>
      <c r="K19" s="1">
        <f t="shared" ref="K19:L19" si="12">SUM(B19+F19)</f>
        <v>33</v>
      </c>
      <c r="L19" s="1">
        <f t="shared" si="12"/>
        <v>26</v>
      </c>
      <c r="M19" s="7">
        <f t="shared" si="3"/>
        <v>78.787878787878782</v>
      </c>
      <c r="N19" s="1"/>
    </row>
    <row r="20" spans="1:14" ht="15" x14ac:dyDescent="0.25">
      <c r="A20" s="2">
        <v>37</v>
      </c>
      <c r="B20" s="1">
        <f t="shared" si="0"/>
        <v>23</v>
      </c>
      <c r="C20" s="2">
        <v>12</v>
      </c>
      <c r="D20" s="2">
        <v>11</v>
      </c>
      <c r="E20" s="6">
        <v>0.52</v>
      </c>
      <c r="F20" s="1">
        <f t="shared" si="1"/>
        <v>10</v>
      </c>
      <c r="G20" s="1">
        <v>6</v>
      </c>
      <c r="H20" s="1">
        <v>4</v>
      </c>
      <c r="I20" s="7">
        <v>60</v>
      </c>
      <c r="J20" s="1"/>
      <c r="K20" s="1">
        <f t="shared" ref="K20:L20" si="13">SUM(B20+F20)</f>
        <v>33</v>
      </c>
      <c r="L20" s="1">
        <f t="shared" si="13"/>
        <v>18</v>
      </c>
      <c r="M20" s="7">
        <f t="shared" si="3"/>
        <v>54.545454545454547</v>
      </c>
      <c r="N20" s="1"/>
    </row>
    <row r="21" spans="1:14" ht="15" x14ac:dyDescent="0.25">
      <c r="A21" s="2">
        <v>43</v>
      </c>
      <c r="B21" s="1">
        <f t="shared" si="0"/>
        <v>23</v>
      </c>
      <c r="C21" s="2">
        <v>12</v>
      </c>
      <c r="D21" s="2">
        <v>11</v>
      </c>
      <c r="E21" s="6">
        <v>0.52</v>
      </c>
      <c r="F21" s="1">
        <f t="shared" si="1"/>
        <v>10</v>
      </c>
      <c r="G21" s="1">
        <v>8</v>
      </c>
      <c r="H21" s="1">
        <v>2</v>
      </c>
      <c r="I21" s="7">
        <v>80</v>
      </c>
      <c r="J21" s="1"/>
      <c r="K21" s="1">
        <f t="shared" ref="K21:L21" si="14">SUM(B21+F21)</f>
        <v>33</v>
      </c>
      <c r="L21" s="1">
        <f t="shared" si="14"/>
        <v>20</v>
      </c>
      <c r="M21" s="7">
        <f t="shared" si="3"/>
        <v>60.606060606060609</v>
      </c>
      <c r="N21" s="1"/>
    </row>
    <row r="22" spans="1:14" ht="15" x14ac:dyDescent="0.25">
      <c r="A22" s="2">
        <v>53</v>
      </c>
      <c r="B22" s="1">
        <f t="shared" si="0"/>
        <v>23</v>
      </c>
      <c r="C22" s="2">
        <v>17</v>
      </c>
      <c r="D22" s="2">
        <v>6</v>
      </c>
      <c r="E22" s="6">
        <v>0.74</v>
      </c>
      <c r="F22" s="1">
        <f t="shared" si="1"/>
        <v>10</v>
      </c>
      <c r="G22" s="1">
        <v>7</v>
      </c>
      <c r="H22" s="1">
        <v>3</v>
      </c>
      <c r="I22" s="7">
        <v>70</v>
      </c>
      <c r="J22" s="1"/>
      <c r="K22" s="1">
        <f t="shared" ref="K22:L22" si="15">SUM(B22+F22)</f>
        <v>33</v>
      </c>
      <c r="L22" s="1">
        <f t="shared" si="15"/>
        <v>24</v>
      </c>
      <c r="M22" s="7">
        <f t="shared" si="3"/>
        <v>72.727272727272734</v>
      </c>
      <c r="N22" s="1"/>
    </row>
    <row r="23" spans="1:14" ht="15" x14ac:dyDescent="0.25">
      <c r="A23" s="2">
        <v>54</v>
      </c>
      <c r="B23" s="1">
        <f t="shared" si="0"/>
        <v>23</v>
      </c>
      <c r="C23" s="2">
        <v>15</v>
      </c>
      <c r="D23" s="2">
        <v>8</v>
      </c>
      <c r="E23" s="6">
        <v>0.65</v>
      </c>
      <c r="F23" s="1">
        <f t="shared" si="1"/>
        <v>10</v>
      </c>
      <c r="G23" s="1">
        <v>6</v>
      </c>
      <c r="H23" s="1">
        <v>4</v>
      </c>
      <c r="I23" s="7">
        <v>60</v>
      </c>
      <c r="J23" s="1"/>
      <c r="K23" s="1">
        <f t="shared" ref="K23:L23" si="16">SUM(B23+F23)</f>
        <v>33</v>
      </c>
      <c r="L23" s="1">
        <f t="shared" si="16"/>
        <v>21</v>
      </c>
      <c r="M23" s="7">
        <f t="shared" si="3"/>
        <v>63.636363636363633</v>
      </c>
      <c r="N23" s="1"/>
    </row>
    <row r="24" spans="1:14" ht="15" x14ac:dyDescent="0.25">
      <c r="A24" s="2">
        <v>59</v>
      </c>
      <c r="B24" s="1">
        <f t="shared" si="0"/>
        <v>23</v>
      </c>
      <c r="C24" s="2">
        <v>15</v>
      </c>
      <c r="D24" s="2">
        <v>8</v>
      </c>
      <c r="E24" s="6">
        <v>0.65</v>
      </c>
      <c r="F24" s="1">
        <f t="shared" si="1"/>
        <v>10</v>
      </c>
      <c r="G24" s="1">
        <v>5</v>
      </c>
      <c r="H24" s="1">
        <v>5</v>
      </c>
      <c r="I24" s="7">
        <v>50</v>
      </c>
      <c r="J24" s="1"/>
      <c r="K24" s="1">
        <f t="shared" ref="K24:L24" si="17">SUM(B24+F24)</f>
        <v>33</v>
      </c>
      <c r="L24" s="1">
        <f t="shared" si="17"/>
        <v>20</v>
      </c>
      <c r="M24" s="7">
        <f t="shared" si="3"/>
        <v>60.606060606060609</v>
      </c>
      <c r="N24" s="1"/>
    </row>
    <row r="25" spans="1:14" ht="15" x14ac:dyDescent="0.25">
      <c r="A25" s="2">
        <v>66</v>
      </c>
      <c r="B25" s="1">
        <f t="shared" si="0"/>
        <v>23</v>
      </c>
      <c r="C25" s="2">
        <v>15</v>
      </c>
      <c r="D25" s="2">
        <v>8</v>
      </c>
      <c r="E25" s="6">
        <v>0.65</v>
      </c>
      <c r="F25" s="1">
        <f t="shared" si="1"/>
        <v>10</v>
      </c>
      <c r="G25" s="1">
        <v>7</v>
      </c>
      <c r="H25" s="1">
        <v>3</v>
      </c>
      <c r="I25" s="7">
        <v>70</v>
      </c>
      <c r="J25" s="1"/>
      <c r="K25" s="1">
        <f t="shared" ref="K25:L25" si="18">SUM(B25+F25)</f>
        <v>33</v>
      </c>
      <c r="L25" s="1">
        <f t="shared" si="18"/>
        <v>22</v>
      </c>
      <c r="M25" s="7">
        <f t="shared" si="3"/>
        <v>66.666666666666671</v>
      </c>
      <c r="N25" s="1"/>
    </row>
    <row r="26" spans="1:14" ht="15" x14ac:dyDescent="0.25">
      <c r="A26" s="2">
        <v>68</v>
      </c>
      <c r="B26" s="1">
        <f t="shared" si="0"/>
        <v>23</v>
      </c>
      <c r="C26" s="2">
        <v>15</v>
      </c>
      <c r="D26" s="2">
        <v>8</v>
      </c>
      <c r="E26" s="6">
        <v>0.65</v>
      </c>
      <c r="F26" s="1">
        <f t="shared" si="1"/>
        <v>10</v>
      </c>
      <c r="G26" s="1">
        <v>4</v>
      </c>
      <c r="H26" s="1">
        <v>6</v>
      </c>
      <c r="I26" s="7">
        <v>40</v>
      </c>
      <c r="J26" s="1"/>
      <c r="K26" s="1">
        <f t="shared" ref="K26:L26" si="19">SUM(B26+F26)</f>
        <v>33</v>
      </c>
      <c r="L26" s="1">
        <f t="shared" si="19"/>
        <v>19</v>
      </c>
      <c r="M26" s="7">
        <f t="shared" si="3"/>
        <v>57.575757575757578</v>
      </c>
      <c r="N26" s="1"/>
    </row>
    <row r="27" spans="1:14" ht="15" x14ac:dyDescent="0.25">
      <c r="A27" s="2">
        <v>69</v>
      </c>
      <c r="B27" s="1">
        <f t="shared" si="0"/>
        <v>23</v>
      </c>
      <c r="C27" s="2">
        <v>18</v>
      </c>
      <c r="D27" s="2">
        <v>5</v>
      </c>
      <c r="E27" s="6">
        <v>0.78</v>
      </c>
      <c r="F27" s="1">
        <f t="shared" si="1"/>
        <v>10</v>
      </c>
      <c r="G27" s="1">
        <v>5</v>
      </c>
      <c r="H27" s="1">
        <v>5</v>
      </c>
      <c r="I27" s="7">
        <v>50</v>
      </c>
      <c r="J27" s="1"/>
      <c r="K27" s="1">
        <f t="shared" ref="K27:L27" si="20">SUM(B27+F27)</f>
        <v>33</v>
      </c>
      <c r="L27" s="1">
        <f t="shared" si="20"/>
        <v>23</v>
      </c>
      <c r="M27" s="7">
        <f t="shared" si="3"/>
        <v>69.696969696969703</v>
      </c>
      <c r="N27" s="1"/>
    </row>
    <row r="28" spans="1:14" ht="15" x14ac:dyDescent="0.25">
      <c r="A28" s="2">
        <v>70</v>
      </c>
      <c r="B28" s="1">
        <f t="shared" si="0"/>
        <v>23</v>
      </c>
      <c r="C28" s="2">
        <v>18</v>
      </c>
      <c r="D28" s="2">
        <v>5</v>
      </c>
      <c r="E28" s="6">
        <v>0.78</v>
      </c>
      <c r="F28" s="1">
        <f t="shared" si="1"/>
        <v>10</v>
      </c>
      <c r="G28" s="1">
        <v>8</v>
      </c>
      <c r="H28" s="1">
        <v>2</v>
      </c>
      <c r="I28" s="7">
        <v>80</v>
      </c>
      <c r="J28" s="1"/>
      <c r="K28" s="1">
        <f t="shared" ref="K28:L28" si="21">SUM(B28+F28)</f>
        <v>33</v>
      </c>
      <c r="L28" s="1">
        <f t="shared" si="21"/>
        <v>26</v>
      </c>
      <c r="M28" s="7">
        <f t="shared" si="3"/>
        <v>78.787878787878782</v>
      </c>
      <c r="N28" s="1"/>
    </row>
    <row r="29" spans="1:14" ht="15" x14ac:dyDescent="0.25">
      <c r="A29" s="2">
        <v>73</v>
      </c>
      <c r="B29" s="1">
        <f t="shared" si="0"/>
        <v>23</v>
      </c>
      <c r="C29" s="2">
        <v>13</v>
      </c>
      <c r="D29" s="2">
        <v>10</v>
      </c>
      <c r="E29" s="6">
        <v>0.56999999999999995</v>
      </c>
      <c r="F29" s="1">
        <f t="shared" si="1"/>
        <v>10</v>
      </c>
      <c r="G29" s="1">
        <v>5</v>
      </c>
      <c r="H29" s="1">
        <v>5</v>
      </c>
      <c r="I29" s="7">
        <v>50</v>
      </c>
      <c r="J29" s="1"/>
      <c r="K29" s="1">
        <f t="shared" ref="K29:L29" si="22">SUM(B29+F29)</f>
        <v>33</v>
      </c>
      <c r="L29" s="1">
        <f t="shared" si="22"/>
        <v>18</v>
      </c>
      <c r="M29" s="7">
        <f t="shared" si="3"/>
        <v>54.545454545454547</v>
      </c>
      <c r="N29" s="1"/>
    </row>
    <row r="30" spans="1:14" ht="15" x14ac:dyDescent="0.25">
      <c r="A30" s="2">
        <v>75</v>
      </c>
      <c r="B30" s="1">
        <f t="shared" si="0"/>
        <v>23</v>
      </c>
      <c r="C30" s="2">
        <v>17</v>
      </c>
      <c r="D30" s="2">
        <v>6</v>
      </c>
      <c r="E30" s="6">
        <v>0.74</v>
      </c>
      <c r="F30" s="1">
        <f t="shared" si="1"/>
        <v>10</v>
      </c>
      <c r="G30" s="1">
        <v>7</v>
      </c>
      <c r="H30" s="1">
        <v>3</v>
      </c>
      <c r="I30" s="7">
        <v>70</v>
      </c>
      <c r="J30" s="1"/>
      <c r="K30" s="1">
        <f t="shared" ref="K30:L30" si="23">SUM(B30+F30)</f>
        <v>33</v>
      </c>
      <c r="L30" s="1">
        <f t="shared" si="23"/>
        <v>24</v>
      </c>
      <c r="M30" s="7">
        <f t="shared" si="3"/>
        <v>72.727272727272734</v>
      </c>
      <c r="N30" s="1"/>
    </row>
    <row r="31" spans="1:14" ht="15" x14ac:dyDescent="0.25">
      <c r="A31" s="2">
        <v>76</v>
      </c>
      <c r="B31" s="1">
        <f t="shared" si="0"/>
        <v>23</v>
      </c>
      <c r="C31" s="2">
        <v>13</v>
      </c>
      <c r="D31" s="2">
        <v>10</v>
      </c>
      <c r="E31" s="6">
        <v>0.56999999999999995</v>
      </c>
      <c r="F31" s="1">
        <f t="shared" si="1"/>
        <v>10</v>
      </c>
      <c r="G31" s="1">
        <v>7</v>
      </c>
      <c r="H31" s="1">
        <v>3</v>
      </c>
      <c r="I31" s="7">
        <v>70</v>
      </c>
      <c r="J31" s="1"/>
      <c r="K31" s="1">
        <f t="shared" ref="K31:L31" si="24">SUM(B31+F31)</f>
        <v>33</v>
      </c>
      <c r="L31" s="1">
        <f t="shared" si="24"/>
        <v>20</v>
      </c>
      <c r="M31" s="7">
        <f t="shared" si="3"/>
        <v>60.606060606060609</v>
      </c>
      <c r="N31" s="1"/>
    </row>
    <row r="32" spans="1:14" ht="15" x14ac:dyDescent="0.25">
      <c r="A32" s="2">
        <v>77</v>
      </c>
      <c r="B32" s="1">
        <f t="shared" si="0"/>
        <v>23</v>
      </c>
      <c r="C32" s="2">
        <v>12</v>
      </c>
      <c r="D32" s="2">
        <v>11</v>
      </c>
      <c r="E32" s="6">
        <v>0.52</v>
      </c>
      <c r="F32" s="1">
        <f t="shared" si="1"/>
        <v>10</v>
      </c>
      <c r="G32" s="1">
        <v>6</v>
      </c>
      <c r="H32" s="1">
        <v>4</v>
      </c>
      <c r="I32" s="7">
        <v>60</v>
      </c>
      <c r="J32" s="1"/>
      <c r="K32" s="1">
        <f t="shared" ref="K32:L32" si="25">SUM(B32+F32)</f>
        <v>33</v>
      </c>
      <c r="L32" s="1">
        <f t="shared" si="25"/>
        <v>18</v>
      </c>
      <c r="M32" s="7">
        <f t="shared" si="3"/>
        <v>54.545454545454547</v>
      </c>
      <c r="N32" s="1"/>
    </row>
    <row r="33" spans="1:14" ht="15" x14ac:dyDescent="0.25">
      <c r="A33" s="2">
        <v>81</v>
      </c>
      <c r="B33" s="1">
        <f t="shared" si="0"/>
        <v>23</v>
      </c>
      <c r="C33" s="2">
        <v>21</v>
      </c>
      <c r="D33" s="2">
        <v>2</v>
      </c>
      <c r="E33" s="6">
        <v>0.91</v>
      </c>
      <c r="F33" s="1">
        <f t="shared" si="1"/>
        <v>10</v>
      </c>
      <c r="G33" s="1">
        <v>6</v>
      </c>
      <c r="H33" s="1">
        <v>4</v>
      </c>
      <c r="I33" s="7">
        <v>60</v>
      </c>
      <c r="J33" s="1"/>
      <c r="K33" s="1">
        <f t="shared" ref="K33:L33" si="26">SUM(B33+F33)</f>
        <v>33</v>
      </c>
      <c r="L33" s="1">
        <f t="shared" si="26"/>
        <v>27</v>
      </c>
      <c r="M33" s="7">
        <f t="shared" si="3"/>
        <v>81.818181818181813</v>
      </c>
      <c r="N33" s="1"/>
    </row>
    <row r="34" spans="1:14" ht="15" x14ac:dyDescent="0.25">
      <c r="A34" s="2">
        <v>84</v>
      </c>
      <c r="B34" s="1">
        <f t="shared" si="0"/>
        <v>23</v>
      </c>
      <c r="C34" s="2">
        <v>17</v>
      </c>
      <c r="D34" s="2">
        <v>6</v>
      </c>
      <c r="E34" s="6">
        <v>0.74</v>
      </c>
      <c r="F34" s="1">
        <f t="shared" si="1"/>
        <v>10</v>
      </c>
      <c r="G34" s="1">
        <v>7</v>
      </c>
      <c r="H34" s="1">
        <v>3</v>
      </c>
      <c r="I34" s="7">
        <v>70</v>
      </c>
      <c r="J34" s="1"/>
      <c r="K34" s="1">
        <f t="shared" ref="K34:L34" si="27">SUM(B34+F34)</f>
        <v>33</v>
      </c>
      <c r="L34" s="1">
        <f t="shared" si="27"/>
        <v>24</v>
      </c>
      <c r="M34" s="7">
        <f t="shared" si="3"/>
        <v>72.727272727272734</v>
      </c>
      <c r="N34" s="1"/>
    </row>
    <row r="35" spans="1:14" ht="15" x14ac:dyDescent="0.25">
      <c r="A35" s="2">
        <v>88</v>
      </c>
      <c r="B35" s="1">
        <f t="shared" si="0"/>
        <v>23</v>
      </c>
      <c r="C35" s="2">
        <v>16</v>
      </c>
      <c r="D35" s="2">
        <v>7</v>
      </c>
      <c r="E35" s="6">
        <v>0.7</v>
      </c>
      <c r="F35" s="1">
        <f t="shared" si="1"/>
        <v>10</v>
      </c>
      <c r="G35" s="1">
        <v>7</v>
      </c>
      <c r="H35" s="1">
        <v>3</v>
      </c>
      <c r="I35" s="7">
        <v>70</v>
      </c>
      <c r="J35" s="1"/>
      <c r="K35" s="1">
        <f t="shared" ref="K35:L35" si="28">SUM(B35+F35)</f>
        <v>33</v>
      </c>
      <c r="L35" s="1">
        <f t="shared" si="28"/>
        <v>23</v>
      </c>
      <c r="M35" s="7">
        <f t="shared" si="3"/>
        <v>69.696969696969703</v>
      </c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7"/>
      <c r="N36" s="1"/>
    </row>
    <row r="37" spans="1:14" ht="15.6" x14ac:dyDescent="0.3">
      <c r="A37" s="8" t="s">
        <v>8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7"/>
      <c r="N37" s="1"/>
    </row>
    <row r="38" spans="1:14" ht="15" x14ac:dyDescent="0.25">
      <c r="A38" s="2">
        <v>2</v>
      </c>
      <c r="B38" s="1">
        <f t="shared" ref="B38:B49" si="29">SUM(C38:D38)</f>
        <v>23</v>
      </c>
      <c r="C38" s="2">
        <v>12</v>
      </c>
      <c r="D38" s="2">
        <v>11</v>
      </c>
      <c r="E38" s="6">
        <v>0.52</v>
      </c>
      <c r="F38" s="2">
        <v>10</v>
      </c>
      <c r="G38" s="1">
        <v>5</v>
      </c>
      <c r="H38" s="1">
        <v>5</v>
      </c>
      <c r="I38" s="7">
        <v>50</v>
      </c>
      <c r="J38" s="1"/>
      <c r="K38" s="1">
        <f t="shared" ref="K38:L38" si="30">SUM(B38+F38)</f>
        <v>33</v>
      </c>
      <c r="L38" s="1">
        <f t="shared" si="30"/>
        <v>17</v>
      </c>
      <c r="M38" s="7">
        <f t="shared" ref="M38:M49" si="31">L38*100/K38</f>
        <v>51.515151515151516</v>
      </c>
      <c r="N38" s="1"/>
    </row>
    <row r="39" spans="1:14" ht="15" x14ac:dyDescent="0.25">
      <c r="A39" s="2">
        <v>3</v>
      </c>
      <c r="B39" s="1">
        <f t="shared" si="29"/>
        <v>23</v>
      </c>
      <c r="C39" s="2">
        <v>17</v>
      </c>
      <c r="D39" s="2">
        <v>6</v>
      </c>
      <c r="E39" s="6">
        <v>0.74</v>
      </c>
      <c r="F39" s="2">
        <v>10</v>
      </c>
      <c r="G39" s="1">
        <v>6</v>
      </c>
      <c r="H39" s="1">
        <v>4</v>
      </c>
      <c r="I39" s="7">
        <v>60</v>
      </c>
      <c r="J39" s="1"/>
      <c r="K39" s="1">
        <f t="shared" ref="K39:L39" si="32">SUM(B39+F39)</f>
        <v>33</v>
      </c>
      <c r="L39" s="1">
        <f t="shared" si="32"/>
        <v>23</v>
      </c>
      <c r="M39" s="7">
        <f t="shared" si="31"/>
        <v>69.696969696969703</v>
      </c>
      <c r="N39" s="1"/>
    </row>
    <row r="40" spans="1:14" ht="15" x14ac:dyDescent="0.25">
      <c r="A40" s="2">
        <v>18</v>
      </c>
      <c r="B40" s="1">
        <f t="shared" si="29"/>
        <v>23</v>
      </c>
      <c r="C40" s="2">
        <v>12</v>
      </c>
      <c r="D40" s="2">
        <v>11</v>
      </c>
      <c r="E40" s="6">
        <v>0.52</v>
      </c>
      <c r="F40" s="2">
        <v>10</v>
      </c>
      <c r="G40" s="1">
        <v>6</v>
      </c>
      <c r="H40" s="1">
        <v>4</v>
      </c>
      <c r="I40" s="7">
        <v>60</v>
      </c>
      <c r="J40" s="1"/>
      <c r="K40" s="1">
        <f t="shared" ref="K40:L40" si="33">SUM(B40+F40)</f>
        <v>33</v>
      </c>
      <c r="L40" s="1">
        <f t="shared" si="33"/>
        <v>18</v>
      </c>
      <c r="M40" s="7">
        <f t="shared" si="31"/>
        <v>54.545454545454547</v>
      </c>
      <c r="N40" s="1"/>
    </row>
    <row r="41" spans="1:14" ht="15" x14ac:dyDescent="0.25">
      <c r="A41" s="2">
        <v>19</v>
      </c>
      <c r="B41" s="1">
        <f t="shared" si="29"/>
        <v>23</v>
      </c>
      <c r="C41" s="2">
        <v>12</v>
      </c>
      <c r="D41" s="2">
        <v>11</v>
      </c>
      <c r="E41" s="6">
        <v>0.52</v>
      </c>
      <c r="F41" s="2">
        <v>10</v>
      </c>
      <c r="G41" s="1">
        <v>7</v>
      </c>
      <c r="H41" s="1">
        <v>3</v>
      </c>
      <c r="I41" s="7">
        <v>70</v>
      </c>
      <c r="J41" s="1"/>
      <c r="K41" s="1">
        <f t="shared" ref="K41:L41" si="34">SUM(B41+F41)</f>
        <v>33</v>
      </c>
      <c r="L41" s="1">
        <f t="shared" si="34"/>
        <v>19</v>
      </c>
      <c r="M41" s="7">
        <f t="shared" si="31"/>
        <v>57.575757575757578</v>
      </c>
      <c r="N41" s="1"/>
    </row>
    <row r="42" spans="1:14" ht="15" x14ac:dyDescent="0.25">
      <c r="A42" s="2">
        <v>24</v>
      </c>
      <c r="B42" s="1">
        <f t="shared" si="29"/>
        <v>23</v>
      </c>
      <c r="C42" s="2">
        <v>18</v>
      </c>
      <c r="D42" s="2">
        <v>5</v>
      </c>
      <c r="E42" s="6">
        <v>0.78</v>
      </c>
      <c r="F42" s="2">
        <v>10</v>
      </c>
      <c r="G42" s="1">
        <v>7</v>
      </c>
      <c r="H42" s="1">
        <v>3</v>
      </c>
      <c r="I42" s="7">
        <v>70</v>
      </c>
      <c r="J42" s="1"/>
      <c r="K42" s="1">
        <f t="shared" ref="K42:L42" si="35">SUM(B42+F42)</f>
        <v>33</v>
      </c>
      <c r="L42" s="1">
        <f t="shared" si="35"/>
        <v>25</v>
      </c>
      <c r="M42" s="7">
        <f t="shared" si="31"/>
        <v>75.757575757575751</v>
      </c>
      <c r="N42" s="1"/>
    </row>
    <row r="43" spans="1:14" ht="15" x14ac:dyDescent="0.25">
      <c r="A43" s="2">
        <v>44</v>
      </c>
      <c r="B43" s="1">
        <f t="shared" si="29"/>
        <v>23</v>
      </c>
      <c r="C43" s="2">
        <v>17</v>
      </c>
      <c r="D43" s="2">
        <v>6</v>
      </c>
      <c r="E43" s="6">
        <v>0.74</v>
      </c>
      <c r="F43" s="2">
        <v>10</v>
      </c>
      <c r="G43" s="1">
        <v>4</v>
      </c>
      <c r="H43" s="1">
        <v>6</v>
      </c>
      <c r="I43" s="7">
        <v>40</v>
      </c>
      <c r="J43" s="1"/>
      <c r="K43" s="1">
        <f t="shared" ref="K43:L43" si="36">SUM(B43+F43)</f>
        <v>33</v>
      </c>
      <c r="L43" s="1">
        <f t="shared" si="36"/>
        <v>21</v>
      </c>
      <c r="M43" s="7">
        <f t="shared" si="31"/>
        <v>63.636363636363633</v>
      </c>
      <c r="N43" s="1"/>
    </row>
    <row r="44" spans="1:14" ht="15" x14ac:dyDescent="0.25">
      <c r="A44" s="2">
        <v>46</v>
      </c>
      <c r="B44" s="1">
        <f t="shared" si="29"/>
        <v>23</v>
      </c>
      <c r="C44" s="2">
        <v>15</v>
      </c>
      <c r="D44" s="2">
        <v>8</v>
      </c>
      <c r="E44" s="6">
        <v>0.65</v>
      </c>
      <c r="F44" s="2">
        <v>10</v>
      </c>
      <c r="G44" s="1">
        <v>8</v>
      </c>
      <c r="H44" s="1">
        <v>2</v>
      </c>
      <c r="I44" s="7">
        <v>80</v>
      </c>
      <c r="J44" s="1"/>
      <c r="K44" s="1">
        <f t="shared" ref="K44:L44" si="37">SUM(B44+F44)</f>
        <v>33</v>
      </c>
      <c r="L44" s="1">
        <f t="shared" si="37"/>
        <v>23</v>
      </c>
      <c r="M44" s="7">
        <f t="shared" si="31"/>
        <v>69.696969696969703</v>
      </c>
      <c r="N44" s="1"/>
    </row>
    <row r="45" spans="1:14" ht="15" x14ac:dyDescent="0.25">
      <c r="A45" s="2">
        <v>56</v>
      </c>
      <c r="B45" s="1">
        <f t="shared" si="29"/>
        <v>23</v>
      </c>
      <c r="C45" s="2">
        <v>13</v>
      </c>
      <c r="D45" s="2">
        <v>10</v>
      </c>
      <c r="E45" s="6">
        <v>0.56999999999999995</v>
      </c>
      <c r="F45" s="2">
        <v>10</v>
      </c>
      <c r="G45" s="1">
        <v>7</v>
      </c>
      <c r="H45" s="1">
        <v>3</v>
      </c>
      <c r="I45" s="7">
        <v>70</v>
      </c>
      <c r="J45" s="1"/>
      <c r="K45" s="1">
        <f t="shared" ref="K45:L45" si="38">SUM(B45+F45)</f>
        <v>33</v>
      </c>
      <c r="L45" s="1">
        <f t="shared" si="38"/>
        <v>20</v>
      </c>
      <c r="M45" s="7">
        <f t="shared" si="31"/>
        <v>60.606060606060609</v>
      </c>
      <c r="N45" s="1"/>
    </row>
    <row r="46" spans="1:14" ht="15" x14ac:dyDescent="0.25">
      <c r="A46" s="2">
        <v>72</v>
      </c>
      <c r="B46" s="1">
        <f t="shared" si="29"/>
        <v>23</v>
      </c>
      <c r="C46" s="2">
        <v>15</v>
      </c>
      <c r="D46" s="2">
        <v>8</v>
      </c>
      <c r="E46" s="6">
        <v>0.65</v>
      </c>
      <c r="F46" s="2">
        <v>10</v>
      </c>
      <c r="G46" s="1">
        <v>8</v>
      </c>
      <c r="H46" s="1">
        <v>2</v>
      </c>
      <c r="I46" s="7">
        <v>80</v>
      </c>
      <c r="J46" s="1"/>
      <c r="K46" s="1">
        <f t="shared" ref="K46:L46" si="39">SUM(B46+F46)</f>
        <v>33</v>
      </c>
      <c r="L46" s="1">
        <f t="shared" si="39"/>
        <v>23</v>
      </c>
      <c r="M46" s="7">
        <f t="shared" si="31"/>
        <v>69.696969696969703</v>
      </c>
      <c r="N46" s="1"/>
    </row>
    <row r="47" spans="1:14" ht="15" x14ac:dyDescent="0.25">
      <c r="A47" s="2">
        <v>82</v>
      </c>
      <c r="B47" s="1">
        <f t="shared" si="29"/>
        <v>23</v>
      </c>
      <c r="C47" s="2">
        <v>11</v>
      </c>
      <c r="D47" s="2">
        <v>12</v>
      </c>
      <c r="E47" s="6">
        <v>0.48</v>
      </c>
      <c r="F47" s="2">
        <v>10</v>
      </c>
      <c r="G47" s="1">
        <v>5</v>
      </c>
      <c r="H47" s="1">
        <v>5</v>
      </c>
      <c r="I47" s="7">
        <v>50</v>
      </c>
      <c r="J47" s="1"/>
      <c r="K47" s="1">
        <f t="shared" ref="K47:L47" si="40">SUM(B47+F47)</f>
        <v>33</v>
      </c>
      <c r="L47" s="1">
        <f t="shared" si="40"/>
        <v>16</v>
      </c>
      <c r="M47" s="7">
        <f t="shared" si="31"/>
        <v>48.484848484848484</v>
      </c>
      <c r="N47" s="1"/>
    </row>
    <row r="48" spans="1:14" ht="15" x14ac:dyDescent="0.25">
      <c r="A48" s="2">
        <v>52</v>
      </c>
      <c r="B48" s="1">
        <f t="shared" si="29"/>
        <v>23</v>
      </c>
      <c r="C48" s="2">
        <v>16</v>
      </c>
      <c r="D48" s="2">
        <v>7</v>
      </c>
      <c r="E48" s="6">
        <v>0.7</v>
      </c>
      <c r="F48" s="2">
        <v>10</v>
      </c>
      <c r="G48" s="1">
        <v>6</v>
      </c>
      <c r="H48" s="1">
        <v>4</v>
      </c>
      <c r="I48" s="7">
        <v>60</v>
      </c>
      <c r="J48" s="1"/>
      <c r="K48" s="1">
        <f t="shared" ref="K48:L48" si="41">SUM(B48+F48)</f>
        <v>33</v>
      </c>
      <c r="L48" s="1">
        <f t="shared" si="41"/>
        <v>22</v>
      </c>
      <c r="M48" s="7">
        <f t="shared" si="31"/>
        <v>66.666666666666671</v>
      </c>
      <c r="N48" s="1"/>
    </row>
    <row r="49" spans="1:14" ht="15" x14ac:dyDescent="0.25">
      <c r="A49" s="2">
        <v>84</v>
      </c>
      <c r="B49" s="1">
        <f t="shared" si="29"/>
        <v>23</v>
      </c>
      <c r="C49" s="2">
        <v>14</v>
      </c>
      <c r="D49" s="2">
        <v>9</v>
      </c>
      <c r="E49" s="6">
        <v>0.61</v>
      </c>
      <c r="F49" s="2">
        <v>10</v>
      </c>
      <c r="G49" s="1">
        <v>6</v>
      </c>
      <c r="H49" s="1">
        <v>4</v>
      </c>
      <c r="I49" s="7">
        <v>60</v>
      </c>
      <c r="J49" s="1"/>
      <c r="K49" s="1">
        <f t="shared" ref="K49:L49" si="42">SUM(B49+F49)</f>
        <v>33</v>
      </c>
      <c r="L49" s="1">
        <f t="shared" si="42"/>
        <v>20</v>
      </c>
      <c r="M49" s="7">
        <f t="shared" si="31"/>
        <v>60.606060606060609</v>
      </c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7"/>
      <c r="J50" s="1"/>
      <c r="K50" s="1"/>
      <c r="L50" s="1"/>
      <c r="M50" s="7"/>
      <c r="N50" s="1"/>
    </row>
    <row r="51" spans="1:14" ht="15" x14ac:dyDescent="0.25">
      <c r="A51" s="9" t="s">
        <v>21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7"/>
      <c r="N51" s="1"/>
    </row>
    <row r="52" spans="1:14" ht="15" x14ac:dyDescent="0.25">
      <c r="A52" s="2">
        <v>1</v>
      </c>
      <c r="B52" s="1">
        <f t="shared" ref="B52:B64" si="43">SUM(C52:D52)</f>
        <v>23</v>
      </c>
      <c r="C52" s="2">
        <v>15</v>
      </c>
      <c r="D52" s="2">
        <v>8</v>
      </c>
      <c r="E52" s="6">
        <v>0.65</v>
      </c>
      <c r="F52" s="2">
        <v>8</v>
      </c>
      <c r="G52" s="1">
        <v>5</v>
      </c>
      <c r="H52" s="1">
        <v>3</v>
      </c>
      <c r="I52" s="7">
        <v>62.5</v>
      </c>
      <c r="J52" s="1"/>
      <c r="K52" s="1">
        <f t="shared" ref="K52:L52" si="44">SUM(B52+F52)</f>
        <v>31</v>
      </c>
      <c r="L52" s="1">
        <f t="shared" si="44"/>
        <v>20</v>
      </c>
      <c r="M52" s="7">
        <f t="shared" ref="M52:M64" si="45">L52*100/K52</f>
        <v>64.516129032258064</v>
      </c>
      <c r="N52" s="1"/>
    </row>
    <row r="53" spans="1:14" ht="15" x14ac:dyDescent="0.25">
      <c r="A53" s="2">
        <v>2</v>
      </c>
      <c r="B53" s="1">
        <f t="shared" si="43"/>
        <v>23</v>
      </c>
      <c r="C53" s="2">
        <v>15</v>
      </c>
      <c r="D53" s="2">
        <v>8</v>
      </c>
      <c r="E53" s="6">
        <v>0.65</v>
      </c>
      <c r="F53" s="2">
        <v>8</v>
      </c>
      <c r="G53" s="1">
        <v>7</v>
      </c>
      <c r="H53" s="1">
        <v>1</v>
      </c>
      <c r="I53" s="7">
        <v>87.5</v>
      </c>
      <c r="J53" s="1"/>
      <c r="K53" s="1">
        <f t="shared" ref="K53:L53" si="46">SUM(B53+F53)</f>
        <v>31</v>
      </c>
      <c r="L53" s="1">
        <f t="shared" si="46"/>
        <v>22</v>
      </c>
      <c r="M53" s="7">
        <f t="shared" si="45"/>
        <v>70.967741935483872</v>
      </c>
      <c r="N53" s="1"/>
    </row>
    <row r="54" spans="1:14" ht="15" x14ac:dyDescent="0.25">
      <c r="A54" s="2">
        <v>3</v>
      </c>
      <c r="B54" s="1">
        <f t="shared" si="43"/>
        <v>23</v>
      </c>
      <c r="C54" s="2">
        <v>13</v>
      </c>
      <c r="D54" s="2">
        <v>10</v>
      </c>
      <c r="E54" s="6">
        <v>0.56999999999999995</v>
      </c>
      <c r="F54" s="2">
        <v>8</v>
      </c>
      <c r="G54" s="1">
        <v>6</v>
      </c>
      <c r="H54" s="1">
        <v>2</v>
      </c>
      <c r="I54" s="7">
        <v>75</v>
      </c>
      <c r="J54" s="1"/>
      <c r="K54" s="1">
        <f t="shared" ref="K54:L54" si="47">SUM(B54+F54)</f>
        <v>31</v>
      </c>
      <c r="L54" s="1">
        <f t="shared" si="47"/>
        <v>19</v>
      </c>
      <c r="M54" s="7">
        <f t="shared" si="45"/>
        <v>61.29032258064516</v>
      </c>
      <c r="N54" s="1"/>
    </row>
    <row r="55" spans="1:14" ht="15" x14ac:dyDescent="0.25">
      <c r="A55" s="2">
        <v>4</v>
      </c>
      <c r="B55" s="1">
        <f t="shared" si="43"/>
        <v>23</v>
      </c>
      <c r="C55" s="2">
        <v>13</v>
      </c>
      <c r="D55" s="2">
        <v>10</v>
      </c>
      <c r="E55" s="6">
        <v>0.56999999999999995</v>
      </c>
      <c r="F55" s="2">
        <v>8</v>
      </c>
      <c r="G55" s="1">
        <v>6</v>
      </c>
      <c r="H55" s="1">
        <v>2</v>
      </c>
      <c r="I55" s="7">
        <v>75</v>
      </c>
      <c r="J55" s="1"/>
      <c r="K55" s="1">
        <f t="shared" ref="K55:L55" si="48">SUM(B55+F55)</f>
        <v>31</v>
      </c>
      <c r="L55" s="1">
        <f t="shared" si="48"/>
        <v>19</v>
      </c>
      <c r="M55" s="7">
        <f t="shared" si="45"/>
        <v>61.29032258064516</v>
      </c>
      <c r="N55" s="1"/>
    </row>
    <row r="56" spans="1:14" ht="15" x14ac:dyDescent="0.25">
      <c r="A56" s="2">
        <v>5</v>
      </c>
      <c r="B56" s="1">
        <f t="shared" si="43"/>
        <v>23</v>
      </c>
      <c r="C56" s="2">
        <v>14</v>
      </c>
      <c r="D56" s="2">
        <v>9</v>
      </c>
      <c r="E56" s="6">
        <v>0.61</v>
      </c>
      <c r="F56" s="2">
        <v>8</v>
      </c>
      <c r="G56" s="1">
        <v>7</v>
      </c>
      <c r="H56" s="1">
        <v>1</v>
      </c>
      <c r="I56" s="7">
        <v>87.5</v>
      </c>
      <c r="J56" s="1"/>
      <c r="K56" s="1">
        <f t="shared" ref="K56:L56" si="49">SUM(B56+F56)</f>
        <v>31</v>
      </c>
      <c r="L56" s="1">
        <f t="shared" si="49"/>
        <v>21</v>
      </c>
      <c r="M56" s="7">
        <f t="shared" si="45"/>
        <v>67.741935483870961</v>
      </c>
      <c r="N56" s="1"/>
    </row>
    <row r="57" spans="1:14" ht="15" x14ac:dyDescent="0.25">
      <c r="A57" s="2">
        <v>6</v>
      </c>
      <c r="B57" s="1">
        <f t="shared" si="43"/>
        <v>23</v>
      </c>
      <c r="C57" s="2">
        <v>13</v>
      </c>
      <c r="D57" s="2">
        <v>10</v>
      </c>
      <c r="E57" s="6">
        <v>0.56999999999999995</v>
      </c>
      <c r="F57" s="2">
        <v>8</v>
      </c>
      <c r="G57" s="1">
        <v>7</v>
      </c>
      <c r="H57" s="1">
        <v>1</v>
      </c>
      <c r="I57" s="7">
        <v>87.5</v>
      </c>
      <c r="J57" s="1"/>
      <c r="K57" s="1">
        <f t="shared" ref="K57:L57" si="50">SUM(B57+F57)</f>
        <v>31</v>
      </c>
      <c r="L57" s="1">
        <f t="shared" si="50"/>
        <v>20</v>
      </c>
      <c r="M57" s="7">
        <f t="shared" si="45"/>
        <v>64.516129032258064</v>
      </c>
      <c r="N57" s="1"/>
    </row>
    <row r="58" spans="1:14" ht="15" x14ac:dyDescent="0.25">
      <c r="A58" s="2">
        <v>7</v>
      </c>
      <c r="B58" s="1">
        <f t="shared" si="43"/>
        <v>23</v>
      </c>
      <c r="C58" s="2">
        <v>15</v>
      </c>
      <c r="D58" s="2">
        <v>8</v>
      </c>
      <c r="E58" s="6">
        <v>0.65</v>
      </c>
      <c r="F58" s="2">
        <v>8</v>
      </c>
      <c r="G58" s="1">
        <v>7</v>
      </c>
      <c r="H58" s="1">
        <v>1</v>
      </c>
      <c r="I58" s="7">
        <v>87.5</v>
      </c>
      <c r="J58" s="1"/>
      <c r="K58" s="1">
        <f t="shared" ref="K58:L58" si="51">SUM(B58+F58)</f>
        <v>31</v>
      </c>
      <c r="L58" s="1">
        <f t="shared" si="51"/>
        <v>22</v>
      </c>
      <c r="M58" s="7">
        <f t="shared" si="45"/>
        <v>70.967741935483872</v>
      </c>
      <c r="N58" s="1"/>
    </row>
    <row r="59" spans="1:14" ht="15" x14ac:dyDescent="0.25">
      <c r="A59" s="2">
        <v>8</v>
      </c>
      <c r="B59" s="1">
        <f t="shared" si="43"/>
        <v>23</v>
      </c>
      <c r="C59" s="2">
        <v>16</v>
      </c>
      <c r="D59" s="2">
        <v>7</v>
      </c>
      <c r="E59" s="6">
        <v>0.7</v>
      </c>
      <c r="F59" s="2">
        <v>8</v>
      </c>
      <c r="G59" s="1">
        <v>7</v>
      </c>
      <c r="H59" s="1">
        <v>1</v>
      </c>
      <c r="I59" s="7">
        <v>87.5</v>
      </c>
      <c r="J59" s="1"/>
      <c r="K59" s="1">
        <f t="shared" ref="K59:L59" si="52">SUM(B59+F59)</f>
        <v>31</v>
      </c>
      <c r="L59" s="1">
        <f t="shared" si="52"/>
        <v>23</v>
      </c>
      <c r="M59" s="7">
        <f t="shared" si="45"/>
        <v>74.193548387096769</v>
      </c>
      <c r="N59" s="1"/>
    </row>
    <row r="60" spans="1:14" ht="15" x14ac:dyDescent="0.25">
      <c r="A60" s="2">
        <v>9</v>
      </c>
      <c r="B60" s="1">
        <f t="shared" si="43"/>
        <v>23</v>
      </c>
      <c r="C60" s="2">
        <v>15</v>
      </c>
      <c r="D60" s="2">
        <v>8</v>
      </c>
      <c r="E60" s="6">
        <v>0.65</v>
      </c>
      <c r="F60" s="2">
        <v>8</v>
      </c>
      <c r="G60" s="1">
        <v>7</v>
      </c>
      <c r="H60" s="1">
        <v>1</v>
      </c>
      <c r="I60" s="7">
        <v>87.5</v>
      </c>
      <c r="J60" s="1"/>
      <c r="K60" s="1">
        <f t="shared" ref="K60:L60" si="53">SUM(B60+F60)</f>
        <v>31</v>
      </c>
      <c r="L60" s="1">
        <f t="shared" si="53"/>
        <v>22</v>
      </c>
      <c r="M60" s="7">
        <f t="shared" si="45"/>
        <v>70.967741935483872</v>
      </c>
      <c r="N60" s="1"/>
    </row>
    <row r="61" spans="1:14" ht="15" x14ac:dyDescent="0.25">
      <c r="A61" s="2">
        <v>10</v>
      </c>
      <c r="B61" s="1">
        <f t="shared" si="43"/>
        <v>23</v>
      </c>
      <c r="C61" s="2">
        <v>15</v>
      </c>
      <c r="D61" s="2">
        <v>8</v>
      </c>
      <c r="E61" s="6">
        <v>0.65</v>
      </c>
      <c r="F61" s="2">
        <v>8</v>
      </c>
      <c r="G61" s="1">
        <v>7</v>
      </c>
      <c r="H61" s="1">
        <v>1</v>
      </c>
      <c r="I61" s="7">
        <v>87.5</v>
      </c>
      <c r="J61" s="1"/>
      <c r="K61" s="1">
        <f t="shared" ref="K61:L61" si="54">SUM(B61+F61)</f>
        <v>31</v>
      </c>
      <c r="L61" s="1">
        <f t="shared" si="54"/>
        <v>22</v>
      </c>
      <c r="M61" s="7">
        <f t="shared" si="45"/>
        <v>70.967741935483872</v>
      </c>
      <c r="N61" s="1"/>
    </row>
    <row r="62" spans="1:14" ht="15" x14ac:dyDescent="0.25">
      <c r="A62" s="2">
        <v>11</v>
      </c>
      <c r="B62" s="1">
        <f t="shared" si="43"/>
        <v>23</v>
      </c>
      <c r="C62" s="2">
        <v>12</v>
      </c>
      <c r="D62" s="2">
        <v>11</v>
      </c>
      <c r="E62" s="6">
        <v>0.52</v>
      </c>
      <c r="F62" s="2">
        <v>8</v>
      </c>
      <c r="G62" s="1">
        <v>6</v>
      </c>
      <c r="H62" s="1">
        <v>2</v>
      </c>
      <c r="I62" s="7">
        <v>75</v>
      </c>
      <c r="J62" s="1"/>
      <c r="K62" s="1">
        <f t="shared" ref="K62:L62" si="55">SUM(B62+F62)</f>
        <v>31</v>
      </c>
      <c r="L62" s="1">
        <f t="shared" si="55"/>
        <v>18</v>
      </c>
      <c r="M62" s="7">
        <f t="shared" si="45"/>
        <v>58.064516129032256</v>
      </c>
      <c r="N62" s="1"/>
    </row>
    <row r="63" spans="1:14" ht="15" x14ac:dyDescent="0.25">
      <c r="A63" s="2">
        <v>12</v>
      </c>
      <c r="B63" s="1">
        <f t="shared" si="43"/>
        <v>23</v>
      </c>
      <c r="C63" s="2">
        <v>15</v>
      </c>
      <c r="D63" s="2">
        <v>8</v>
      </c>
      <c r="E63" s="6">
        <v>0.65</v>
      </c>
      <c r="F63" s="2">
        <v>8</v>
      </c>
      <c r="G63" s="1">
        <v>7</v>
      </c>
      <c r="H63" s="1">
        <v>1</v>
      </c>
      <c r="I63" s="7">
        <v>87.5</v>
      </c>
      <c r="J63" s="1"/>
      <c r="K63" s="1">
        <f t="shared" ref="K63:L63" si="56">SUM(B63+F63)</f>
        <v>31</v>
      </c>
      <c r="L63" s="1">
        <f t="shared" si="56"/>
        <v>22</v>
      </c>
      <c r="M63" s="7">
        <f t="shared" si="45"/>
        <v>70.967741935483872</v>
      </c>
      <c r="N63" s="1"/>
    </row>
    <row r="64" spans="1:14" ht="15" x14ac:dyDescent="0.25">
      <c r="A64" s="2">
        <v>13</v>
      </c>
      <c r="B64" s="1">
        <f t="shared" si="43"/>
        <v>23</v>
      </c>
      <c r="C64" s="2">
        <v>10</v>
      </c>
      <c r="D64" s="2">
        <v>13</v>
      </c>
      <c r="E64" s="6">
        <v>0.43</v>
      </c>
      <c r="F64" s="2">
        <v>8</v>
      </c>
      <c r="G64" s="1">
        <v>5</v>
      </c>
      <c r="H64" s="1">
        <v>3</v>
      </c>
      <c r="I64" s="7">
        <v>62.5</v>
      </c>
      <c r="J64" s="1"/>
      <c r="K64" s="1">
        <f t="shared" ref="K64:L64" si="57">SUM(B64+F64)</f>
        <v>31</v>
      </c>
      <c r="L64" s="1">
        <f t="shared" si="57"/>
        <v>15</v>
      </c>
      <c r="M64" s="7">
        <f t="shared" si="45"/>
        <v>48.387096774193552</v>
      </c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7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7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7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7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7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7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7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7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7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7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7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7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7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7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7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7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7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7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7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7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7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7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7"/>
      <c r="N87" s="1"/>
    </row>
    <row r="88" spans="1:14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7"/>
      <c r="N88" s="1"/>
    </row>
    <row r="89" spans="1:14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7"/>
      <c r="N89" s="1"/>
    </row>
    <row r="90" spans="1:14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7"/>
      <c r="N90" s="1"/>
    </row>
    <row r="91" spans="1:14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7"/>
      <c r="N91" s="1"/>
    </row>
    <row r="92" spans="1:14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7"/>
      <c r="N92" s="1"/>
    </row>
    <row r="93" spans="1:14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7"/>
      <c r="N93" s="1"/>
    </row>
    <row r="94" spans="1:14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7"/>
      <c r="N94" s="1"/>
    </row>
    <row r="95" spans="1:14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7"/>
      <c r="N95" s="1"/>
    </row>
    <row r="96" spans="1:14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7"/>
      <c r="N96" s="1"/>
    </row>
    <row r="97" spans="1:14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7"/>
      <c r="N97" s="1"/>
    </row>
    <row r="98" spans="1:14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7"/>
      <c r="N98" s="1"/>
    </row>
    <row r="99" spans="1:14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7"/>
      <c r="N99" s="1"/>
    </row>
    <row r="100" spans="1:14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7"/>
      <c r="N100" s="1"/>
    </row>
    <row r="101" spans="1:14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7"/>
      <c r="N101" s="1"/>
    </row>
    <row r="102" spans="1:14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7"/>
      <c r="N102" s="1"/>
    </row>
    <row r="103" spans="1:14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7"/>
      <c r="N103" s="1"/>
    </row>
    <row r="104" spans="1:14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7"/>
      <c r="N104" s="1"/>
    </row>
    <row r="105" spans="1:14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7"/>
      <c r="N105" s="1"/>
    </row>
    <row r="106" spans="1:14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7"/>
      <c r="N106" s="1"/>
    </row>
    <row r="107" spans="1:14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7"/>
      <c r="N107" s="1"/>
    </row>
    <row r="108" spans="1:14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7"/>
      <c r="N108" s="1"/>
    </row>
    <row r="109" spans="1:14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7"/>
      <c r="N109" s="1"/>
    </row>
    <row r="110" spans="1:14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7"/>
      <c r="N110" s="1"/>
    </row>
    <row r="111" spans="1:14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7"/>
      <c r="N111" s="1"/>
    </row>
    <row r="112" spans="1:14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7"/>
      <c r="N112" s="1"/>
    </row>
    <row r="113" spans="1:14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7"/>
      <c r="N113" s="1"/>
    </row>
    <row r="114" spans="1:14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7"/>
      <c r="N114" s="1"/>
    </row>
    <row r="115" spans="1:14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7"/>
      <c r="N115" s="1"/>
    </row>
    <row r="116" spans="1:14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7"/>
      <c r="N116" s="1"/>
    </row>
    <row r="117" spans="1:14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7"/>
      <c r="N117" s="1"/>
    </row>
    <row r="118" spans="1:14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7"/>
      <c r="N118" s="1"/>
    </row>
    <row r="119" spans="1:14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7"/>
      <c r="N119" s="1"/>
    </row>
    <row r="120" spans="1:14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7"/>
      <c r="N120" s="1"/>
    </row>
    <row r="121" spans="1:14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7"/>
      <c r="N121" s="1"/>
    </row>
    <row r="122" spans="1:14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7"/>
      <c r="N122" s="1"/>
    </row>
    <row r="123" spans="1:14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7"/>
      <c r="N123" s="1"/>
    </row>
    <row r="124" spans="1:14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7"/>
      <c r="N124" s="1"/>
    </row>
    <row r="125" spans="1:14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7"/>
      <c r="N125" s="1"/>
    </row>
    <row r="126" spans="1:14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7"/>
      <c r="N126" s="1"/>
    </row>
    <row r="127" spans="1:14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7"/>
      <c r="N127" s="1"/>
    </row>
    <row r="128" spans="1:14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7"/>
      <c r="N128" s="1"/>
    </row>
    <row r="129" spans="1:14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7"/>
      <c r="N129" s="1"/>
    </row>
    <row r="130" spans="1:14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7"/>
      <c r="N130" s="1"/>
    </row>
    <row r="131" spans="1:14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7"/>
      <c r="N131" s="1"/>
    </row>
    <row r="132" spans="1:14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7"/>
      <c r="N132" s="1"/>
    </row>
    <row r="133" spans="1:14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7"/>
      <c r="N133" s="1"/>
    </row>
    <row r="134" spans="1:14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7"/>
      <c r="N134" s="1"/>
    </row>
    <row r="135" spans="1:14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7"/>
      <c r="N135" s="1"/>
    </row>
    <row r="136" spans="1:14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7"/>
      <c r="N136" s="1"/>
    </row>
    <row r="137" spans="1:14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7"/>
      <c r="N137" s="1"/>
    </row>
    <row r="138" spans="1:14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7"/>
      <c r="N138" s="1"/>
    </row>
    <row r="139" spans="1:14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7"/>
      <c r="N139" s="1"/>
    </row>
    <row r="140" spans="1:14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7"/>
      <c r="N140" s="1"/>
    </row>
    <row r="141" spans="1:14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7"/>
      <c r="N141" s="1"/>
    </row>
    <row r="142" spans="1:14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7"/>
      <c r="N142" s="1"/>
    </row>
    <row r="143" spans="1:14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7"/>
      <c r="N143" s="1"/>
    </row>
    <row r="144" spans="1:14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7"/>
      <c r="N144" s="1"/>
    </row>
    <row r="145" spans="1:14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7"/>
      <c r="N145" s="1"/>
    </row>
    <row r="146" spans="1:14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7"/>
      <c r="N146" s="1"/>
    </row>
    <row r="147" spans="1:14" ht="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7"/>
      <c r="N147" s="1"/>
    </row>
    <row r="148" spans="1:14" ht="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7"/>
      <c r="N148" s="1"/>
    </row>
    <row r="149" spans="1:14" ht="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7"/>
      <c r="N149" s="1"/>
    </row>
    <row r="150" spans="1:14" ht="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7"/>
      <c r="N150" s="1"/>
    </row>
    <row r="151" spans="1:14" ht="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7"/>
      <c r="N151" s="1"/>
    </row>
    <row r="152" spans="1:14" ht="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7"/>
      <c r="N152" s="1"/>
    </row>
    <row r="153" spans="1:14" ht="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7"/>
      <c r="N153" s="1"/>
    </row>
    <row r="154" spans="1:14" ht="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7"/>
      <c r="N154" s="1"/>
    </row>
    <row r="155" spans="1:14" ht="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7"/>
      <c r="N155" s="1"/>
    </row>
    <row r="156" spans="1:14" ht="1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7"/>
      <c r="N156" s="1"/>
    </row>
    <row r="157" spans="1:14" ht="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7"/>
      <c r="N157" s="1"/>
    </row>
    <row r="158" spans="1:14" ht="1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7"/>
      <c r="N158" s="1"/>
    </row>
    <row r="159" spans="1:14" ht="1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7"/>
      <c r="N159" s="1"/>
    </row>
    <row r="160" spans="1:14" ht="1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7"/>
      <c r="N160" s="1"/>
    </row>
    <row r="161" spans="1:14" ht="1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7"/>
      <c r="N161" s="1"/>
    </row>
    <row r="162" spans="1:14" ht="1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7"/>
      <c r="N162" s="1"/>
    </row>
    <row r="163" spans="1:14" ht="1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7"/>
      <c r="N163" s="1"/>
    </row>
    <row r="164" spans="1:14" ht="1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7"/>
      <c r="N164" s="1"/>
    </row>
    <row r="165" spans="1:14" ht="1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7"/>
      <c r="N165" s="1"/>
    </row>
    <row r="166" spans="1:14" ht="1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7"/>
      <c r="N166" s="1"/>
    </row>
    <row r="167" spans="1:14" ht="1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7"/>
      <c r="N167" s="1"/>
    </row>
    <row r="168" spans="1:14" ht="1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7"/>
      <c r="N168" s="1"/>
    </row>
    <row r="169" spans="1:14" ht="1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7"/>
      <c r="N169" s="1"/>
    </row>
    <row r="170" spans="1:14" ht="1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7"/>
      <c r="N170" s="1"/>
    </row>
    <row r="171" spans="1:14" ht="1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7"/>
      <c r="N171" s="1"/>
    </row>
    <row r="172" spans="1:14" ht="1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7"/>
      <c r="N172" s="1"/>
    </row>
    <row r="173" spans="1:14" ht="1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7"/>
      <c r="N173" s="1"/>
    </row>
    <row r="174" spans="1:14" ht="1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7"/>
      <c r="N174" s="1"/>
    </row>
    <row r="175" spans="1:14" ht="1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7"/>
      <c r="N175" s="1"/>
    </row>
    <row r="176" spans="1:14" ht="1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7"/>
      <c r="N176" s="1"/>
    </row>
    <row r="177" spans="1:14" ht="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7"/>
      <c r="N177" s="1"/>
    </row>
    <row r="178" spans="1:14" ht="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7"/>
      <c r="N178" s="1"/>
    </row>
    <row r="179" spans="1:14" ht="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7"/>
      <c r="N179" s="1"/>
    </row>
    <row r="180" spans="1:14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7"/>
      <c r="N180" s="1"/>
    </row>
    <row r="181" spans="1:14" ht="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7"/>
      <c r="N181" s="1"/>
    </row>
    <row r="182" spans="1:14" ht="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7"/>
      <c r="N182" s="1"/>
    </row>
    <row r="183" spans="1:14" ht="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7"/>
      <c r="N183" s="1"/>
    </row>
    <row r="184" spans="1:14" ht="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7"/>
      <c r="N184" s="1"/>
    </row>
    <row r="185" spans="1:14" ht="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7"/>
      <c r="N185" s="1"/>
    </row>
    <row r="186" spans="1:14" ht="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7"/>
      <c r="N186" s="1"/>
    </row>
    <row r="187" spans="1:14" ht="1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7"/>
      <c r="N187" s="1"/>
    </row>
    <row r="188" spans="1:14" ht="1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7"/>
      <c r="N188" s="1"/>
    </row>
    <row r="189" spans="1:14" ht="1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7"/>
      <c r="N189" s="1"/>
    </row>
    <row r="190" spans="1:14" ht="1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7"/>
      <c r="N190" s="1"/>
    </row>
    <row r="191" spans="1:14" ht="1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7"/>
      <c r="N191" s="1"/>
    </row>
    <row r="192" spans="1:14" ht="1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7"/>
      <c r="N192" s="1"/>
    </row>
    <row r="193" spans="1:14" ht="1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7"/>
      <c r="N193" s="1"/>
    </row>
    <row r="194" spans="1:14" ht="1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7"/>
      <c r="N194" s="1"/>
    </row>
    <row r="195" spans="1:14" ht="1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7"/>
      <c r="N195" s="1"/>
    </row>
    <row r="196" spans="1:14" ht="1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7"/>
      <c r="N196" s="1"/>
    </row>
    <row r="197" spans="1:14" ht="1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7"/>
      <c r="N197" s="1"/>
    </row>
    <row r="198" spans="1:14" ht="1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7"/>
      <c r="N198" s="1"/>
    </row>
    <row r="199" spans="1:14" ht="1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7"/>
      <c r="N199" s="1"/>
    </row>
    <row r="200" spans="1:14" ht="1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7"/>
      <c r="N200" s="1"/>
    </row>
    <row r="201" spans="1:14" ht="1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7"/>
      <c r="N201" s="1"/>
    </row>
    <row r="202" spans="1:14" ht="1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7"/>
      <c r="N202" s="1"/>
    </row>
    <row r="203" spans="1:14" ht="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7"/>
      <c r="N203" s="1"/>
    </row>
    <row r="204" spans="1:14" ht="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7"/>
      <c r="N204" s="1"/>
    </row>
    <row r="205" spans="1:14" ht="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7"/>
      <c r="N205" s="1"/>
    </row>
    <row r="206" spans="1:14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7"/>
      <c r="N206" s="1"/>
    </row>
    <row r="207" spans="1:14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7"/>
      <c r="N207" s="1"/>
    </row>
    <row r="208" spans="1:14" ht="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7"/>
      <c r="N208" s="1"/>
    </row>
    <row r="209" spans="1:14" ht="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7"/>
      <c r="N209" s="1"/>
    </row>
    <row r="210" spans="1:14" ht="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7"/>
      <c r="N210" s="1"/>
    </row>
    <row r="211" spans="1:14" ht="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7"/>
      <c r="N211" s="1"/>
    </row>
    <row r="212" spans="1:14" ht="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7"/>
      <c r="N212" s="1"/>
    </row>
    <row r="213" spans="1:14" ht="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7"/>
      <c r="N213" s="1"/>
    </row>
    <row r="214" spans="1:14" ht="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7"/>
      <c r="N214" s="1"/>
    </row>
    <row r="215" spans="1:14" ht="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7"/>
      <c r="N215" s="1"/>
    </row>
    <row r="216" spans="1:14" ht="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7"/>
      <c r="N216" s="1"/>
    </row>
    <row r="217" spans="1:14" ht="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7"/>
      <c r="N217" s="1"/>
    </row>
    <row r="218" spans="1:14" ht="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7"/>
      <c r="N218" s="1"/>
    </row>
    <row r="219" spans="1:14" ht="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7"/>
      <c r="N219" s="1"/>
    </row>
    <row r="220" spans="1:14" ht="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7"/>
      <c r="N220" s="1"/>
    </row>
    <row r="221" spans="1:14" ht="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7"/>
      <c r="N221" s="1"/>
    </row>
    <row r="222" spans="1:14" ht="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7"/>
      <c r="N222" s="1"/>
    </row>
    <row r="223" spans="1:14" ht="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7"/>
      <c r="N223" s="1"/>
    </row>
    <row r="224" spans="1:14" ht="1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7"/>
      <c r="N224" s="1"/>
    </row>
    <row r="225" spans="1:14" ht="1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7"/>
      <c r="N225" s="1"/>
    </row>
    <row r="226" spans="1:14" ht="1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7"/>
      <c r="N226" s="1"/>
    </row>
    <row r="227" spans="1:14" ht="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7"/>
      <c r="N227" s="1"/>
    </row>
    <row r="228" spans="1:14" ht="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7"/>
      <c r="N228" s="1"/>
    </row>
    <row r="229" spans="1:14" ht="1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7"/>
      <c r="N229" s="1"/>
    </row>
    <row r="230" spans="1:14" ht="1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7"/>
      <c r="N230" s="1"/>
    </row>
    <row r="231" spans="1:14" ht="1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7"/>
      <c r="N231" s="1"/>
    </row>
    <row r="232" spans="1:14" ht="1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7"/>
      <c r="N232" s="1"/>
    </row>
    <row r="233" spans="1:14" ht="1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7"/>
      <c r="N233" s="1"/>
    </row>
    <row r="234" spans="1:14" ht="1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7"/>
      <c r="N234" s="1"/>
    </row>
    <row r="235" spans="1:14" ht="1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7"/>
      <c r="N235" s="1"/>
    </row>
    <row r="236" spans="1:14" ht="1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7"/>
      <c r="N236" s="1"/>
    </row>
    <row r="237" spans="1:14" ht="1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7"/>
      <c r="N237" s="1"/>
    </row>
    <row r="238" spans="1:14" ht="1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7"/>
      <c r="N238" s="1"/>
    </row>
    <row r="239" spans="1:14" ht="1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7"/>
      <c r="N239" s="1"/>
    </row>
    <row r="240" spans="1:14" ht="1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7"/>
      <c r="N240" s="1"/>
    </row>
    <row r="241" spans="1:14" ht="1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7"/>
      <c r="N241" s="1"/>
    </row>
    <row r="242" spans="1:14" ht="1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7"/>
      <c r="N242" s="1"/>
    </row>
    <row r="243" spans="1:14" ht="1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7"/>
      <c r="N243" s="1"/>
    </row>
    <row r="244" spans="1:14" ht="1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7"/>
      <c r="N244" s="1"/>
    </row>
    <row r="245" spans="1:14" ht="1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7"/>
      <c r="N245" s="1"/>
    </row>
    <row r="246" spans="1:14" ht="1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7"/>
      <c r="N246" s="1"/>
    </row>
    <row r="247" spans="1:14" ht="1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7"/>
      <c r="N247" s="1"/>
    </row>
    <row r="248" spans="1:14" ht="1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7"/>
      <c r="N248" s="1"/>
    </row>
    <row r="249" spans="1:14" ht="1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7"/>
      <c r="N249" s="1"/>
    </row>
    <row r="250" spans="1:14" ht="1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7"/>
      <c r="N250" s="1"/>
    </row>
    <row r="251" spans="1:14" ht="1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7"/>
      <c r="N251" s="1"/>
    </row>
    <row r="252" spans="1:14" ht="1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7"/>
      <c r="N252" s="1"/>
    </row>
    <row r="253" spans="1:14" ht="1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7"/>
      <c r="N253" s="1"/>
    </row>
    <row r="254" spans="1:14" ht="1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7"/>
      <c r="N254" s="1"/>
    </row>
    <row r="255" spans="1:14" ht="1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7"/>
      <c r="N255" s="1"/>
    </row>
    <row r="256" spans="1:14" ht="1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7"/>
      <c r="N256" s="1"/>
    </row>
    <row r="257" spans="1:14" ht="1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7"/>
      <c r="N257" s="1"/>
    </row>
    <row r="258" spans="1:14" ht="1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7"/>
      <c r="N258" s="1"/>
    </row>
    <row r="259" spans="1:14" ht="1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7"/>
      <c r="N259" s="1"/>
    </row>
    <row r="260" spans="1:14" ht="1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7"/>
      <c r="N260" s="1"/>
    </row>
    <row r="261" spans="1:14" ht="1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7"/>
      <c r="N261" s="1"/>
    </row>
    <row r="262" spans="1:14" ht="1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7"/>
      <c r="N262" s="1"/>
    </row>
    <row r="263" spans="1:14" ht="1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7"/>
      <c r="N263" s="1"/>
    </row>
    <row r="264" spans="1:14" ht="1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7"/>
      <c r="N264" s="1"/>
    </row>
    <row r="265" spans="1:14" ht="1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7"/>
      <c r="N265" s="1"/>
    </row>
    <row r="266" spans="1:14" ht="1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7"/>
      <c r="N266" s="1"/>
    </row>
    <row r="267" spans="1:14" ht="1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7"/>
      <c r="N267" s="1"/>
    </row>
    <row r="268" spans="1:14" ht="1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7"/>
      <c r="N268" s="1"/>
    </row>
    <row r="269" spans="1:14" ht="1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7"/>
      <c r="N269" s="1"/>
    </row>
    <row r="270" spans="1:14" ht="1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7"/>
      <c r="N270" s="1"/>
    </row>
    <row r="271" spans="1:14" ht="1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7"/>
      <c r="N271" s="1"/>
    </row>
    <row r="272" spans="1:14" ht="1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7"/>
      <c r="N272" s="1"/>
    </row>
    <row r="273" spans="1:14" ht="1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7"/>
      <c r="N273" s="1"/>
    </row>
    <row r="274" spans="1:14" ht="1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7"/>
      <c r="N274" s="1"/>
    </row>
    <row r="275" spans="1:14" ht="1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7"/>
      <c r="N275" s="1"/>
    </row>
    <row r="276" spans="1:14" ht="1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7"/>
      <c r="N276" s="1"/>
    </row>
    <row r="277" spans="1:14" ht="1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7"/>
      <c r="N277" s="1"/>
    </row>
    <row r="278" spans="1:14" ht="1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7"/>
      <c r="N278" s="1"/>
    </row>
    <row r="279" spans="1:14" ht="1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7"/>
      <c r="N279" s="1"/>
    </row>
    <row r="280" spans="1:14" ht="1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7"/>
      <c r="N280" s="1"/>
    </row>
    <row r="281" spans="1:14" ht="1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7"/>
      <c r="N281" s="1"/>
    </row>
    <row r="282" spans="1:14" ht="1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7"/>
      <c r="N282" s="1"/>
    </row>
    <row r="283" spans="1:14" ht="1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7"/>
      <c r="N283" s="1"/>
    </row>
    <row r="284" spans="1:14" ht="1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7"/>
      <c r="N284" s="1"/>
    </row>
    <row r="285" spans="1:14" ht="1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7"/>
      <c r="N285" s="1"/>
    </row>
    <row r="286" spans="1:14" ht="1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7"/>
      <c r="N286" s="1"/>
    </row>
    <row r="287" spans="1:14" ht="1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7"/>
      <c r="N287" s="1"/>
    </row>
    <row r="288" spans="1:14" ht="1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7"/>
      <c r="N288" s="1"/>
    </row>
    <row r="289" spans="1:14" ht="1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7"/>
      <c r="N289" s="1"/>
    </row>
    <row r="290" spans="1:14" ht="1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7"/>
      <c r="N290" s="1"/>
    </row>
    <row r="291" spans="1:14" ht="1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7"/>
      <c r="N291" s="1"/>
    </row>
    <row r="292" spans="1:14" ht="1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7"/>
      <c r="N292" s="1"/>
    </row>
    <row r="293" spans="1:14" ht="1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7"/>
      <c r="N293" s="1"/>
    </row>
    <row r="294" spans="1:14" ht="1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7"/>
      <c r="N294" s="1"/>
    </row>
    <row r="295" spans="1:14" ht="1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7"/>
      <c r="N295" s="1"/>
    </row>
    <row r="296" spans="1:14" ht="1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7"/>
      <c r="N296" s="1"/>
    </row>
    <row r="297" spans="1:14" ht="1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7"/>
      <c r="N297" s="1"/>
    </row>
    <row r="298" spans="1:14" ht="1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7"/>
      <c r="N298" s="1"/>
    </row>
    <row r="299" spans="1:14" ht="1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7"/>
      <c r="N299" s="1"/>
    </row>
    <row r="300" spans="1:14" ht="1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7"/>
      <c r="N300" s="1"/>
    </row>
    <row r="301" spans="1:14" ht="1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7"/>
      <c r="N301" s="1"/>
    </row>
    <row r="302" spans="1:14" ht="1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7"/>
      <c r="N302" s="1"/>
    </row>
    <row r="303" spans="1:14" ht="1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7"/>
      <c r="N303" s="1"/>
    </row>
    <row r="304" spans="1:14" ht="1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7"/>
      <c r="N304" s="1"/>
    </row>
    <row r="305" spans="1:14" ht="1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7"/>
      <c r="N305" s="1"/>
    </row>
    <row r="306" spans="1:14" ht="1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7"/>
      <c r="N306" s="1"/>
    </row>
    <row r="307" spans="1:14" ht="1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7"/>
      <c r="N307" s="1"/>
    </row>
    <row r="308" spans="1:14" ht="1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7"/>
      <c r="N308" s="1"/>
    </row>
    <row r="309" spans="1:14" ht="1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7"/>
      <c r="N309" s="1"/>
    </row>
    <row r="310" spans="1:14" ht="1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7"/>
      <c r="N310" s="1"/>
    </row>
    <row r="311" spans="1:14" ht="1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7"/>
      <c r="N311" s="1"/>
    </row>
    <row r="312" spans="1:14" ht="1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7"/>
      <c r="N312" s="1"/>
    </row>
    <row r="313" spans="1:14" ht="1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7"/>
      <c r="N313" s="1"/>
    </row>
    <row r="314" spans="1:14" ht="1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7"/>
      <c r="N314" s="1"/>
    </row>
    <row r="315" spans="1:14" ht="1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7"/>
      <c r="N315" s="1"/>
    </row>
    <row r="316" spans="1:14" ht="1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7"/>
      <c r="N316" s="1"/>
    </row>
    <row r="317" spans="1:14" ht="1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7"/>
      <c r="N317" s="1"/>
    </row>
    <row r="318" spans="1:14" ht="1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7"/>
      <c r="N318" s="1"/>
    </row>
    <row r="319" spans="1:14" ht="1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7"/>
      <c r="N319" s="1"/>
    </row>
    <row r="320" spans="1:14" ht="1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7"/>
      <c r="N320" s="1"/>
    </row>
    <row r="321" spans="1:14" ht="1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7"/>
      <c r="N321" s="1"/>
    </row>
    <row r="322" spans="1:14" ht="1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7"/>
      <c r="N322" s="1"/>
    </row>
    <row r="323" spans="1:14" ht="1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7"/>
      <c r="N323" s="1"/>
    </row>
    <row r="324" spans="1:14" ht="1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7"/>
      <c r="N324" s="1"/>
    </row>
    <row r="325" spans="1:14" ht="1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7"/>
      <c r="N325" s="1"/>
    </row>
    <row r="326" spans="1:14" ht="1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7"/>
      <c r="N326" s="1"/>
    </row>
    <row r="327" spans="1:14" ht="1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7"/>
      <c r="N327" s="1"/>
    </row>
    <row r="328" spans="1:14" ht="1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7"/>
      <c r="N328" s="1"/>
    </row>
    <row r="329" spans="1:14" ht="1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7"/>
      <c r="N329" s="1"/>
    </row>
    <row r="330" spans="1:14" ht="1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7"/>
      <c r="N330" s="1"/>
    </row>
    <row r="331" spans="1:14" ht="1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7"/>
      <c r="N331" s="1"/>
    </row>
    <row r="332" spans="1:14" ht="1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7"/>
      <c r="N332" s="1"/>
    </row>
    <row r="333" spans="1:14" ht="1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7"/>
      <c r="N333" s="1"/>
    </row>
    <row r="334" spans="1:14" ht="1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7"/>
      <c r="N334" s="1"/>
    </row>
    <row r="335" spans="1:14" ht="1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7"/>
      <c r="N335" s="1"/>
    </row>
    <row r="336" spans="1:14" ht="1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7"/>
      <c r="N336" s="1"/>
    </row>
    <row r="337" spans="1:14" ht="1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7"/>
      <c r="N337" s="1"/>
    </row>
    <row r="338" spans="1:14" ht="1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7"/>
      <c r="N338" s="1"/>
    </row>
    <row r="339" spans="1:14" ht="1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7"/>
      <c r="N339" s="1"/>
    </row>
    <row r="340" spans="1:14" ht="1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7"/>
      <c r="N340" s="1"/>
    </row>
    <row r="341" spans="1:14" ht="1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7"/>
      <c r="N341" s="1"/>
    </row>
    <row r="342" spans="1:14" ht="1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7"/>
      <c r="N342" s="1"/>
    </row>
    <row r="343" spans="1:14" ht="1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7"/>
      <c r="N343" s="1"/>
    </row>
    <row r="344" spans="1:14" ht="1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7"/>
      <c r="N344" s="1"/>
    </row>
    <row r="345" spans="1:14" ht="1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7"/>
      <c r="N345" s="1"/>
    </row>
    <row r="346" spans="1:14" ht="1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7"/>
      <c r="N346" s="1"/>
    </row>
    <row r="347" spans="1:14" ht="1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7"/>
      <c r="N347" s="1"/>
    </row>
    <row r="348" spans="1:14" ht="1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7"/>
      <c r="N348" s="1"/>
    </row>
    <row r="349" spans="1:14" ht="1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7"/>
      <c r="N349" s="1"/>
    </row>
    <row r="350" spans="1:14" ht="1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7"/>
      <c r="N350" s="1"/>
    </row>
    <row r="351" spans="1:14" ht="1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7"/>
      <c r="N351" s="1"/>
    </row>
    <row r="352" spans="1:14" ht="1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7"/>
      <c r="N352" s="1"/>
    </row>
    <row r="353" spans="1:14" ht="1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7"/>
      <c r="N353" s="1"/>
    </row>
    <row r="354" spans="1:14" ht="1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7"/>
      <c r="N354" s="1"/>
    </row>
    <row r="355" spans="1:14" ht="1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7"/>
      <c r="N355" s="1"/>
    </row>
    <row r="356" spans="1:14" ht="1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7"/>
      <c r="N356" s="1"/>
    </row>
    <row r="357" spans="1:14" ht="1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7"/>
      <c r="N357" s="1"/>
    </row>
    <row r="358" spans="1:14" ht="1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7"/>
      <c r="N358" s="1"/>
    </row>
    <row r="359" spans="1:14" ht="1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7"/>
      <c r="N359" s="1"/>
    </row>
    <row r="360" spans="1:14" ht="1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7"/>
      <c r="N360" s="1"/>
    </row>
    <row r="361" spans="1:14" ht="1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7"/>
      <c r="N361" s="1"/>
    </row>
    <row r="362" spans="1:14" ht="1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7"/>
      <c r="N362" s="1"/>
    </row>
    <row r="363" spans="1:14" ht="1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7"/>
      <c r="N363" s="1"/>
    </row>
    <row r="364" spans="1:14" ht="1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7"/>
      <c r="N364" s="1"/>
    </row>
    <row r="365" spans="1:14" ht="1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7"/>
      <c r="N365" s="1"/>
    </row>
    <row r="366" spans="1:14" ht="1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7"/>
      <c r="N366" s="1"/>
    </row>
    <row r="367" spans="1:14" ht="1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7"/>
      <c r="N367" s="1"/>
    </row>
    <row r="368" spans="1:14" ht="1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7"/>
      <c r="N368" s="1"/>
    </row>
    <row r="369" spans="1:14" ht="1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7"/>
      <c r="N369" s="1"/>
    </row>
    <row r="370" spans="1:14" ht="1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7"/>
      <c r="N370" s="1"/>
    </row>
    <row r="371" spans="1:14" ht="1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7"/>
      <c r="N371" s="1"/>
    </row>
    <row r="372" spans="1:14" ht="1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7"/>
      <c r="N372" s="1"/>
    </row>
    <row r="373" spans="1:14" ht="1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7"/>
      <c r="N373" s="1"/>
    </row>
    <row r="374" spans="1:14" ht="1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7"/>
      <c r="N374" s="1"/>
    </row>
    <row r="375" spans="1:14" ht="1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7"/>
      <c r="N375" s="1"/>
    </row>
    <row r="376" spans="1:14" ht="1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7"/>
      <c r="N376" s="1"/>
    </row>
    <row r="377" spans="1:14" ht="1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7"/>
      <c r="N377" s="1"/>
    </row>
    <row r="378" spans="1:14" ht="1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7"/>
      <c r="N378" s="1"/>
    </row>
    <row r="379" spans="1:14" ht="1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7"/>
      <c r="N379" s="1"/>
    </row>
    <row r="380" spans="1:14" ht="1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7"/>
      <c r="N380" s="1"/>
    </row>
    <row r="381" spans="1:14" ht="1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7"/>
      <c r="N381" s="1"/>
    </row>
    <row r="382" spans="1:14" ht="1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7"/>
      <c r="N382" s="1"/>
    </row>
    <row r="383" spans="1:14" ht="1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7"/>
      <c r="N383" s="1"/>
    </row>
    <row r="384" spans="1:14" ht="1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7"/>
      <c r="N384" s="1"/>
    </row>
    <row r="385" spans="1:14" ht="1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7"/>
      <c r="N385" s="1"/>
    </row>
    <row r="386" spans="1:14" ht="1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7"/>
      <c r="N386" s="1"/>
    </row>
    <row r="387" spans="1:14" ht="1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7"/>
      <c r="N387" s="1"/>
    </row>
    <row r="388" spans="1:14" ht="1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7"/>
      <c r="N388" s="1"/>
    </row>
    <row r="389" spans="1:14" ht="1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7"/>
      <c r="N389" s="1"/>
    </row>
    <row r="390" spans="1:14" ht="1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7"/>
      <c r="N390" s="1"/>
    </row>
    <row r="391" spans="1:14" ht="1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7"/>
      <c r="N391" s="1"/>
    </row>
    <row r="392" spans="1:14" ht="1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7"/>
      <c r="N392" s="1"/>
    </row>
    <row r="393" spans="1:14" ht="1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7"/>
      <c r="N393" s="1"/>
    </row>
    <row r="394" spans="1:14" ht="1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7"/>
      <c r="N394" s="1"/>
    </row>
    <row r="395" spans="1:14" ht="1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7"/>
      <c r="N395" s="1"/>
    </row>
    <row r="396" spans="1:14" ht="1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7"/>
      <c r="N396" s="1"/>
    </row>
    <row r="397" spans="1:14" ht="1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7"/>
      <c r="N397" s="1"/>
    </row>
    <row r="398" spans="1:14" ht="1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7"/>
      <c r="N398" s="1"/>
    </row>
    <row r="399" spans="1:14" ht="1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7"/>
      <c r="N399" s="1"/>
    </row>
    <row r="400" spans="1:14" ht="1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7"/>
      <c r="N400" s="1"/>
    </row>
    <row r="401" spans="1:14" ht="1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7"/>
      <c r="N401" s="1"/>
    </row>
    <row r="402" spans="1:14" ht="1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7"/>
      <c r="N402" s="1"/>
    </row>
    <row r="403" spans="1:14" ht="1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7"/>
      <c r="N403" s="1"/>
    </row>
    <row r="404" spans="1:14" ht="1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7"/>
      <c r="N404" s="1"/>
    </row>
    <row r="405" spans="1:14" ht="1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7"/>
      <c r="N405" s="1"/>
    </row>
    <row r="406" spans="1:14" ht="1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7"/>
      <c r="N406" s="1"/>
    </row>
    <row r="407" spans="1:14" ht="1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7"/>
      <c r="N407" s="1"/>
    </row>
    <row r="408" spans="1:14" ht="1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7"/>
      <c r="N408" s="1"/>
    </row>
    <row r="409" spans="1:14" ht="1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7"/>
      <c r="N409" s="1"/>
    </row>
    <row r="410" spans="1:14" ht="1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7"/>
      <c r="N410" s="1"/>
    </row>
    <row r="411" spans="1:14" ht="1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7"/>
      <c r="N411" s="1"/>
    </row>
    <row r="412" spans="1:14" ht="1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7"/>
      <c r="N412" s="1"/>
    </row>
    <row r="413" spans="1:14" ht="1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7"/>
      <c r="N413" s="1"/>
    </row>
    <row r="414" spans="1:14" ht="1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7"/>
      <c r="N414" s="1"/>
    </row>
    <row r="415" spans="1:14" ht="1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7"/>
      <c r="N415" s="1"/>
    </row>
    <row r="416" spans="1:14" ht="1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7"/>
      <c r="N416" s="1"/>
    </row>
    <row r="417" spans="1:14" ht="1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7"/>
      <c r="N417" s="1"/>
    </row>
    <row r="418" spans="1:14" ht="1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7"/>
      <c r="N418" s="1"/>
    </row>
    <row r="419" spans="1:14" ht="1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7"/>
      <c r="N419" s="1"/>
    </row>
    <row r="420" spans="1:14" ht="1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7"/>
      <c r="N420" s="1"/>
    </row>
    <row r="421" spans="1:14" ht="1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7"/>
      <c r="N421" s="1"/>
    </row>
    <row r="422" spans="1:14" ht="1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7"/>
      <c r="N422" s="1"/>
    </row>
    <row r="423" spans="1:14" ht="1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7"/>
      <c r="N423" s="1"/>
    </row>
    <row r="424" spans="1:14" ht="1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7"/>
      <c r="N424" s="1"/>
    </row>
    <row r="425" spans="1:14" ht="1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7"/>
      <c r="N425" s="1"/>
    </row>
    <row r="426" spans="1:14" ht="1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7"/>
      <c r="N426" s="1"/>
    </row>
    <row r="427" spans="1:14" ht="1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7"/>
      <c r="N427" s="1"/>
    </row>
    <row r="428" spans="1:14" ht="1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7"/>
      <c r="N428" s="1"/>
    </row>
    <row r="429" spans="1:14" ht="1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7"/>
      <c r="N429" s="1"/>
    </row>
    <row r="430" spans="1:14" ht="1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7"/>
      <c r="N430" s="1"/>
    </row>
    <row r="431" spans="1:14" ht="1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7"/>
      <c r="N431" s="1"/>
    </row>
    <row r="432" spans="1:14" ht="1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7"/>
      <c r="N432" s="1"/>
    </row>
    <row r="433" spans="1:14" ht="1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7"/>
      <c r="N433" s="1"/>
    </row>
    <row r="434" spans="1:14" ht="1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7"/>
      <c r="N434" s="1"/>
    </row>
    <row r="435" spans="1:14" ht="1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7"/>
      <c r="N435" s="1"/>
    </row>
    <row r="436" spans="1:14" ht="1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7"/>
      <c r="N436" s="1"/>
    </row>
    <row r="437" spans="1:14" ht="1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7"/>
      <c r="N437" s="1"/>
    </row>
    <row r="438" spans="1:14" ht="1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7"/>
      <c r="N438" s="1"/>
    </row>
    <row r="439" spans="1:14" ht="1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7"/>
      <c r="N439" s="1"/>
    </row>
    <row r="440" spans="1:14" ht="1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7"/>
      <c r="N440" s="1"/>
    </row>
    <row r="441" spans="1:14" ht="1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7"/>
      <c r="N441" s="1"/>
    </row>
    <row r="442" spans="1:14" ht="1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7"/>
      <c r="N442" s="1"/>
    </row>
    <row r="443" spans="1:14" ht="1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7"/>
      <c r="N443" s="1"/>
    </row>
    <row r="444" spans="1:14" ht="1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7"/>
      <c r="N444" s="1"/>
    </row>
    <row r="445" spans="1:14" ht="1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7"/>
      <c r="N445" s="1"/>
    </row>
    <row r="446" spans="1:14" ht="1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7"/>
      <c r="N446" s="1"/>
    </row>
    <row r="447" spans="1:14" ht="1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7"/>
      <c r="N447" s="1"/>
    </row>
    <row r="448" spans="1:14" ht="1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7"/>
      <c r="N448" s="1"/>
    </row>
    <row r="449" spans="1:14" ht="1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7"/>
      <c r="N449" s="1"/>
    </row>
    <row r="450" spans="1:14" ht="1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7"/>
      <c r="N450" s="1"/>
    </row>
    <row r="451" spans="1:14" ht="1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7"/>
      <c r="N451" s="1"/>
    </row>
    <row r="452" spans="1:14" ht="1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7"/>
      <c r="N452" s="1"/>
    </row>
    <row r="453" spans="1:14" ht="1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7"/>
      <c r="N453" s="1"/>
    </row>
    <row r="454" spans="1:14" ht="1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7"/>
      <c r="N454" s="1"/>
    </row>
    <row r="455" spans="1:14" ht="1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7"/>
      <c r="N455" s="1"/>
    </row>
    <row r="456" spans="1:14" ht="1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7"/>
      <c r="N456" s="1"/>
    </row>
    <row r="457" spans="1:14" ht="1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7"/>
      <c r="N457" s="1"/>
    </row>
    <row r="458" spans="1:14" ht="1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7"/>
      <c r="N458" s="1"/>
    </row>
    <row r="459" spans="1:14" ht="1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7"/>
      <c r="N459" s="1"/>
    </row>
    <row r="460" spans="1:14" ht="1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7"/>
      <c r="N460" s="1"/>
    </row>
    <row r="461" spans="1:14" ht="1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7"/>
      <c r="N461" s="1"/>
    </row>
    <row r="462" spans="1:14" ht="1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7"/>
      <c r="N462" s="1"/>
    </row>
    <row r="463" spans="1:14" ht="1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7"/>
      <c r="N463" s="1"/>
    </row>
    <row r="464" spans="1:14" ht="1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7"/>
      <c r="N464" s="1"/>
    </row>
    <row r="465" spans="1:14" ht="1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7"/>
      <c r="N465" s="1"/>
    </row>
    <row r="466" spans="1:14" ht="1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7"/>
      <c r="N466" s="1"/>
    </row>
    <row r="467" spans="1:14" ht="1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7"/>
      <c r="N467" s="1"/>
    </row>
    <row r="468" spans="1:14" ht="1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7"/>
      <c r="N468" s="1"/>
    </row>
    <row r="469" spans="1:14" ht="1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7"/>
      <c r="N469" s="1"/>
    </row>
    <row r="470" spans="1:14" ht="1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7"/>
      <c r="N470" s="1"/>
    </row>
    <row r="471" spans="1:14" ht="1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7"/>
      <c r="N471" s="1"/>
    </row>
    <row r="472" spans="1:14" ht="1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7"/>
      <c r="N472" s="1"/>
    </row>
    <row r="473" spans="1:14" ht="1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7"/>
      <c r="N473" s="1"/>
    </row>
    <row r="474" spans="1:14" ht="1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7"/>
      <c r="N474" s="1"/>
    </row>
    <row r="475" spans="1:14" ht="1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7"/>
      <c r="N475" s="1"/>
    </row>
    <row r="476" spans="1:14" ht="1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7"/>
      <c r="N476" s="1"/>
    </row>
    <row r="477" spans="1:14" ht="1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7"/>
      <c r="N477" s="1"/>
    </row>
    <row r="478" spans="1:14" ht="1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7"/>
      <c r="N478" s="1"/>
    </row>
    <row r="479" spans="1:14" ht="1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7"/>
      <c r="N479" s="1"/>
    </row>
    <row r="480" spans="1:14" ht="1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7"/>
      <c r="N480" s="1"/>
    </row>
    <row r="481" spans="1:14" ht="1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7"/>
      <c r="N481" s="1"/>
    </row>
    <row r="482" spans="1:14" ht="1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7"/>
      <c r="N482" s="1"/>
    </row>
    <row r="483" spans="1:14" ht="1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7"/>
      <c r="N483" s="1"/>
    </row>
    <row r="484" spans="1:14" ht="1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7"/>
      <c r="N484" s="1"/>
    </row>
    <row r="485" spans="1:14" ht="1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7"/>
      <c r="N485" s="1"/>
    </row>
    <row r="486" spans="1:14" ht="1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7"/>
      <c r="N486" s="1"/>
    </row>
    <row r="487" spans="1:14" ht="1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7"/>
      <c r="N487" s="1"/>
    </row>
    <row r="488" spans="1:14" ht="1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7"/>
      <c r="N488" s="1"/>
    </row>
    <row r="489" spans="1:14" ht="1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7"/>
      <c r="N489" s="1"/>
    </row>
    <row r="490" spans="1:14" ht="1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7"/>
      <c r="N490" s="1"/>
    </row>
    <row r="491" spans="1:14" ht="1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7"/>
      <c r="N491" s="1"/>
    </row>
    <row r="492" spans="1:14" ht="1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7"/>
      <c r="N492" s="1"/>
    </row>
    <row r="493" spans="1:14" ht="1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7"/>
      <c r="N493" s="1"/>
    </row>
    <row r="494" spans="1:14" ht="1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7"/>
      <c r="N494" s="1"/>
    </row>
    <row r="495" spans="1:14" ht="1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7"/>
      <c r="N495" s="1"/>
    </row>
    <row r="496" spans="1:14" ht="1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7"/>
      <c r="N496" s="1"/>
    </row>
    <row r="497" spans="1:14" ht="1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7"/>
      <c r="N497" s="1"/>
    </row>
    <row r="498" spans="1:14" ht="1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7"/>
      <c r="N498" s="1"/>
    </row>
    <row r="499" spans="1:14" ht="1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7"/>
      <c r="N499" s="1"/>
    </row>
    <row r="500" spans="1:14" ht="1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7"/>
      <c r="N500" s="1"/>
    </row>
    <row r="501" spans="1:14" ht="1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7"/>
      <c r="N501" s="1"/>
    </row>
    <row r="502" spans="1:14" ht="1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7"/>
      <c r="N502" s="1"/>
    </row>
    <row r="503" spans="1:14" ht="1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7"/>
      <c r="N503" s="1"/>
    </row>
    <row r="504" spans="1:14" ht="1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7"/>
      <c r="N504" s="1"/>
    </row>
    <row r="505" spans="1:14" ht="1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7"/>
      <c r="N505" s="1"/>
    </row>
    <row r="506" spans="1:14" ht="1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7"/>
      <c r="N506" s="1"/>
    </row>
    <row r="507" spans="1:14" ht="1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7"/>
      <c r="N507" s="1"/>
    </row>
    <row r="508" spans="1:14" ht="1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7"/>
      <c r="N508" s="1"/>
    </row>
    <row r="509" spans="1:14" ht="1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7"/>
      <c r="N509" s="1"/>
    </row>
    <row r="510" spans="1:14" ht="1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7"/>
      <c r="N510" s="1"/>
    </row>
    <row r="511" spans="1:14" ht="1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7"/>
      <c r="N511" s="1"/>
    </row>
    <row r="512" spans="1:14" ht="1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7"/>
      <c r="N512" s="1"/>
    </row>
    <row r="513" spans="1:14" ht="1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7"/>
      <c r="N513" s="1"/>
    </row>
    <row r="514" spans="1:14" ht="1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7"/>
      <c r="N514" s="1"/>
    </row>
    <row r="515" spans="1:14" ht="1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7"/>
      <c r="N515" s="1"/>
    </row>
    <row r="516" spans="1:14" ht="1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7"/>
      <c r="N516" s="1"/>
    </row>
    <row r="517" spans="1:14" ht="1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7"/>
      <c r="N517" s="1"/>
    </row>
    <row r="518" spans="1:14" ht="1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7"/>
      <c r="N518" s="1"/>
    </row>
    <row r="519" spans="1:14" ht="1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7"/>
      <c r="N519" s="1"/>
    </row>
    <row r="520" spans="1:14" ht="1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7"/>
      <c r="N520" s="1"/>
    </row>
    <row r="521" spans="1:14" ht="1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7"/>
      <c r="N521" s="1"/>
    </row>
    <row r="522" spans="1:14" ht="1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7"/>
      <c r="N522" s="1"/>
    </row>
    <row r="523" spans="1:14" ht="1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7"/>
      <c r="N523" s="1"/>
    </row>
    <row r="524" spans="1:14" ht="1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7"/>
      <c r="N524" s="1"/>
    </row>
    <row r="525" spans="1:14" ht="1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7"/>
      <c r="N525" s="1"/>
    </row>
    <row r="526" spans="1:14" ht="1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7"/>
      <c r="N526" s="1"/>
    </row>
    <row r="527" spans="1:14" ht="1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7"/>
      <c r="N527" s="1"/>
    </row>
    <row r="528" spans="1:14" ht="1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7"/>
      <c r="N528" s="1"/>
    </row>
    <row r="529" spans="1:14" ht="1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7"/>
      <c r="N529" s="1"/>
    </row>
    <row r="530" spans="1:14" ht="1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7"/>
      <c r="N530" s="1"/>
    </row>
    <row r="531" spans="1:14" ht="1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7"/>
      <c r="N531" s="1"/>
    </row>
    <row r="532" spans="1:14" ht="1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7"/>
      <c r="N532" s="1"/>
    </row>
    <row r="533" spans="1:14" ht="1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7"/>
      <c r="N533" s="1"/>
    </row>
    <row r="534" spans="1:14" ht="1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7"/>
      <c r="N534" s="1"/>
    </row>
    <row r="535" spans="1:14" ht="1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7"/>
      <c r="N535" s="1"/>
    </row>
    <row r="536" spans="1:14" ht="1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7"/>
      <c r="N536" s="1"/>
    </row>
    <row r="537" spans="1:14" ht="1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7"/>
      <c r="N537" s="1"/>
    </row>
    <row r="538" spans="1:14" ht="1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7"/>
      <c r="N538" s="1"/>
    </row>
    <row r="539" spans="1:14" ht="1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7"/>
      <c r="N539" s="1"/>
    </row>
    <row r="540" spans="1:14" ht="1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7"/>
      <c r="N540" s="1"/>
    </row>
    <row r="541" spans="1:14" ht="1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7"/>
      <c r="N541" s="1"/>
    </row>
    <row r="542" spans="1:14" ht="1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7"/>
      <c r="N542" s="1"/>
    </row>
    <row r="543" spans="1:14" ht="1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7"/>
      <c r="N543" s="1"/>
    </row>
    <row r="544" spans="1:14" ht="1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7"/>
      <c r="N544" s="1"/>
    </row>
    <row r="545" spans="1:14" ht="1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7"/>
      <c r="N545" s="1"/>
    </row>
    <row r="546" spans="1:14" ht="1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7"/>
      <c r="N546" s="1"/>
    </row>
    <row r="547" spans="1:14" ht="1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7"/>
      <c r="N547" s="1"/>
    </row>
    <row r="548" spans="1:14" ht="1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7"/>
      <c r="N548" s="1"/>
    </row>
    <row r="549" spans="1:14" ht="1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7"/>
      <c r="N549" s="1"/>
    </row>
    <row r="550" spans="1:14" ht="1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7"/>
      <c r="N550" s="1"/>
    </row>
    <row r="551" spans="1:14" ht="1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7"/>
      <c r="N551" s="1"/>
    </row>
    <row r="552" spans="1:14" ht="1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7"/>
      <c r="N552" s="1"/>
    </row>
    <row r="553" spans="1:14" ht="1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7"/>
      <c r="N553" s="1"/>
    </row>
    <row r="554" spans="1:14" ht="1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7"/>
      <c r="N554" s="1"/>
    </row>
    <row r="555" spans="1:14" ht="1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7"/>
      <c r="N555" s="1"/>
    </row>
    <row r="556" spans="1:14" ht="1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7"/>
      <c r="N556" s="1"/>
    </row>
    <row r="557" spans="1:14" ht="1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7"/>
      <c r="N557" s="1"/>
    </row>
    <row r="558" spans="1:14" ht="1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7"/>
      <c r="N558" s="1"/>
    </row>
    <row r="559" spans="1:14" ht="1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7"/>
      <c r="N559" s="1"/>
    </row>
    <row r="560" spans="1:14" ht="1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7"/>
      <c r="N560" s="1"/>
    </row>
    <row r="561" spans="1:14" ht="1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7"/>
      <c r="N561" s="1"/>
    </row>
    <row r="562" spans="1:14" ht="1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7"/>
      <c r="N562" s="1"/>
    </row>
    <row r="563" spans="1:14" ht="1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7"/>
      <c r="N563" s="1"/>
    </row>
    <row r="564" spans="1:14" ht="1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7"/>
      <c r="N564" s="1"/>
    </row>
    <row r="565" spans="1:14" ht="1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7"/>
      <c r="N565" s="1"/>
    </row>
    <row r="566" spans="1:14" ht="1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7"/>
      <c r="N566" s="1"/>
    </row>
    <row r="567" spans="1:14" ht="1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7"/>
      <c r="N567" s="1"/>
    </row>
    <row r="568" spans="1:14" ht="1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7"/>
      <c r="N568" s="1"/>
    </row>
    <row r="569" spans="1:14" ht="1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7"/>
      <c r="N569" s="1"/>
    </row>
    <row r="570" spans="1:14" ht="1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7"/>
      <c r="N570" s="1"/>
    </row>
    <row r="571" spans="1:14" ht="1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7"/>
      <c r="N571" s="1"/>
    </row>
    <row r="572" spans="1:14" ht="1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7"/>
      <c r="N572" s="1"/>
    </row>
    <row r="573" spans="1:14" ht="1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7"/>
      <c r="N573" s="1"/>
    </row>
    <row r="574" spans="1:14" ht="1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7"/>
      <c r="N574" s="1"/>
    </row>
    <row r="575" spans="1:14" ht="1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7"/>
      <c r="N575" s="1"/>
    </row>
    <row r="576" spans="1:14" ht="1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7"/>
      <c r="N576" s="1"/>
    </row>
    <row r="577" spans="1:14" ht="1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7"/>
      <c r="N577" s="1"/>
    </row>
    <row r="578" spans="1:14" ht="1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7"/>
      <c r="N578" s="1"/>
    </row>
    <row r="579" spans="1:14" ht="1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7"/>
      <c r="N579" s="1"/>
    </row>
    <row r="580" spans="1:14" ht="1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7"/>
      <c r="N580" s="1"/>
    </row>
    <row r="581" spans="1:14" ht="1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7"/>
      <c r="N581" s="1"/>
    </row>
    <row r="582" spans="1:14" ht="1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7"/>
      <c r="N582" s="1"/>
    </row>
    <row r="583" spans="1:14" ht="1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7"/>
      <c r="N583" s="1"/>
    </row>
    <row r="584" spans="1:14" ht="1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7"/>
      <c r="N584" s="1"/>
    </row>
    <row r="585" spans="1:14" ht="1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7"/>
      <c r="N585" s="1"/>
    </row>
    <row r="586" spans="1:14" ht="1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7"/>
      <c r="N586" s="1"/>
    </row>
    <row r="587" spans="1:14" ht="1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7"/>
      <c r="N587" s="1"/>
    </row>
    <row r="588" spans="1:14" ht="1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7"/>
      <c r="N588" s="1"/>
    </row>
    <row r="589" spans="1:14" ht="1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7"/>
      <c r="N589" s="1"/>
    </row>
    <row r="590" spans="1:14" ht="1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7"/>
      <c r="N590" s="1"/>
    </row>
    <row r="591" spans="1:14" ht="1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7"/>
      <c r="N591" s="1"/>
    </row>
    <row r="592" spans="1:14" ht="1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7"/>
      <c r="N592" s="1"/>
    </row>
    <row r="593" spans="1:14" ht="1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7"/>
      <c r="N593" s="1"/>
    </row>
    <row r="594" spans="1:14" ht="1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7"/>
      <c r="N594" s="1"/>
    </row>
    <row r="595" spans="1:14" ht="1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7"/>
      <c r="N595" s="1"/>
    </row>
    <row r="596" spans="1:14" ht="1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7"/>
      <c r="N596" s="1"/>
    </row>
    <row r="597" spans="1:14" ht="1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7"/>
      <c r="N597" s="1"/>
    </row>
    <row r="598" spans="1:14" ht="1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7"/>
      <c r="N598" s="1"/>
    </row>
    <row r="599" spans="1:14" ht="1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7"/>
      <c r="N599" s="1"/>
    </row>
    <row r="600" spans="1:14" ht="1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7"/>
      <c r="N600" s="1"/>
    </row>
    <row r="601" spans="1:14" ht="1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7"/>
      <c r="N601" s="1"/>
    </row>
    <row r="602" spans="1:14" ht="1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7"/>
      <c r="N602" s="1"/>
    </row>
    <row r="603" spans="1:14" ht="1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7"/>
      <c r="N603" s="1"/>
    </row>
    <row r="604" spans="1:14" ht="1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7"/>
      <c r="N604" s="1"/>
    </row>
    <row r="605" spans="1:14" ht="1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7"/>
      <c r="N605" s="1"/>
    </row>
    <row r="606" spans="1:14" ht="1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7"/>
      <c r="N606" s="1"/>
    </row>
    <row r="607" spans="1:14" ht="1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7"/>
      <c r="N607" s="1"/>
    </row>
    <row r="608" spans="1:14" ht="1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7"/>
      <c r="N608" s="1"/>
    </row>
    <row r="609" spans="1:14" ht="1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7"/>
      <c r="N609" s="1"/>
    </row>
    <row r="610" spans="1:14" ht="1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7"/>
      <c r="N610" s="1"/>
    </row>
    <row r="611" spans="1:14" ht="1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7"/>
      <c r="N611" s="1"/>
    </row>
    <row r="612" spans="1:14" ht="1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7"/>
      <c r="N612" s="1"/>
    </row>
    <row r="613" spans="1:14" ht="1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7"/>
      <c r="N613" s="1"/>
    </row>
    <row r="614" spans="1:14" ht="1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7"/>
      <c r="N614" s="1"/>
    </row>
    <row r="615" spans="1:14" ht="1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7"/>
      <c r="N615" s="1"/>
    </row>
    <row r="616" spans="1:14" ht="1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7"/>
      <c r="N616" s="1"/>
    </row>
    <row r="617" spans="1:14" ht="1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7"/>
      <c r="N617" s="1"/>
    </row>
    <row r="618" spans="1:14" ht="1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7"/>
      <c r="N618" s="1"/>
    </row>
    <row r="619" spans="1:14" ht="1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7"/>
      <c r="N619" s="1"/>
    </row>
    <row r="620" spans="1:14" ht="1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7"/>
      <c r="N620" s="1"/>
    </row>
    <row r="621" spans="1:14" ht="1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7"/>
      <c r="N621" s="1"/>
    </row>
    <row r="622" spans="1:14" ht="1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7"/>
      <c r="N622" s="1"/>
    </row>
    <row r="623" spans="1:14" ht="1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7"/>
      <c r="N623" s="1"/>
    </row>
    <row r="624" spans="1:14" ht="1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7"/>
      <c r="N624" s="1"/>
    </row>
    <row r="625" spans="1:14" ht="1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7"/>
      <c r="N625" s="1"/>
    </row>
    <row r="626" spans="1:14" ht="1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7"/>
      <c r="N626" s="1"/>
    </row>
    <row r="627" spans="1:14" ht="1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7"/>
      <c r="N627" s="1"/>
    </row>
    <row r="628" spans="1:14" ht="1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7"/>
      <c r="N628" s="1"/>
    </row>
    <row r="629" spans="1:14" ht="1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7"/>
      <c r="N629" s="1"/>
    </row>
    <row r="630" spans="1:14" ht="1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7"/>
      <c r="N630" s="1"/>
    </row>
    <row r="631" spans="1:14" ht="1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7"/>
      <c r="N631" s="1"/>
    </row>
    <row r="632" spans="1:14" ht="1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7"/>
      <c r="N632" s="1"/>
    </row>
    <row r="633" spans="1:14" ht="1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7"/>
      <c r="N633" s="1"/>
    </row>
    <row r="634" spans="1:14" ht="1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7"/>
      <c r="N634" s="1"/>
    </row>
    <row r="635" spans="1:14" ht="1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7"/>
      <c r="N635" s="1"/>
    </row>
    <row r="636" spans="1:14" ht="1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7"/>
      <c r="N636" s="1"/>
    </row>
    <row r="637" spans="1:14" ht="1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7"/>
      <c r="N637" s="1"/>
    </row>
    <row r="638" spans="1:14" ht="1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7"/>
      <c r="N638" s="1"/>
    </row>
    <row r="639" spans="1:14" ht="1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7"/>
      <c r="N639" s="1"/>
    </row>
    <row r="640" spans="1:14" ht="1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7"/>
      <c r="N640" s="1"/>
    </row>
    <row r="641" spans="1:14" ht="1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7"/>
      <c r="N641" s="1"/>
    </row>
    <row r="642" spans="1:14" ht="1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7"/>
      <c r="N642" s="1"/>
    </row>
    <row r="643" spans="1:14" ht="1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7"/>
      <c r="N643" s="1"/>
    </row>
    <row r="644" spans="1:14" ht="1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7"/>
      <c r="N644" s="1"/>
    </row>
    <row r="645" spans="1:14" ht="1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7"/>
      <c r="N645" s="1"/>
    </row>
    <row r="646" spans="1:14" ht="1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7"/>
      <c r="N646" s="1"/>
    </row>
    <row r="647" spans="1:14" ht="1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7"/>
      <c r="N647" s="1"/>
    </row>
    <row r="648" spans="1:14" ht="1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7"/>
      <c r="N648" s="1"/>
    </row>
    <row r="649" spans="1:14" ht="1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7"/>
      <c r="N649" s="1"/>
    </row>
    <row r="650" spans="1:14" ht="1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7"/>
      <c r="N650" s="1"/>
    </row>
    <row r="651" spans="1:14" ht="1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7"/>
      <c r="N651" s="1"/>
    </row>
    <row r="652" spans="1:14" ht="1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7"/>
      <c r="N652" s="1"/>
    </row>
    <row r="653" spans="1:14" ht="1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7"/>
      <c r="N653" s="1"/>
    </row>
    <row r="654" spans="1:14" ht="1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7"/>
      <c r="N654" s="1"/>
    </row>
    <row r="655" spans="1:14" ht="1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7"/>
      <c r="N655" s="1"/>
    </row>
    <row r="656" spans="1:14" ht="1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7"/>
      <c r="N656" s="1"/>
    </row>
    <row r="657" spans="1:14" ht="1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7"/>
      <c r="N657" s="1"/>
    </row>
    <row r="658" spans="1:14" ht="1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7"/>
      <c r="N658" s="1"/>
    </row>
    <row r="659" spans="1:14" ht="1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7"/>
      <c r="N659" s="1"/>
    </row>
    <row r="660" spans="1:14" ht="1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7"/>
      <c r="N660" s="1"/>
    </row>
    <row r="661" spans="1:14" ht="1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7"/>
      <c r="N661" s="1"/>
    </row>
    <row r="662" spans="1:14" ht="1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7"/>
      <c r="N662" s="1"/>
    </row>
    <row r="663" spans="1:14" ht="1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7"/>
      <c r="N663" s="1"/>
    </row>
    <row r="664" spans="1:14" ht="1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7"/>
      <c r="N664" s="1"/>
    </row>
    <row r="665" spans="1:14" ht="1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7"/>
      <c r="N665" s="1"/>
    </row>
    <row r="666" spans="1:14" ht="1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7"/>
      <c r="N666" s="1"/>
    </row>
    <row r="667" spans="1:14" ht="1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7"/>
      <c r="N667" s="1"/>
    </row>
    <row r="668" spans="1:14" ht="1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7"/>
      <c r="N668" s="1"/>
    </row>
    <row r="669" spans="1:14" ht="1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7"/>
      <c r="N669" s="1"/>
    </row>
    <row r="670" spans="1:14" ht="1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7"/>
      <c r="N670" s="1"/>
    </row>
    <row r="671" spans="1:14" ht="1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7"/>
      <c r="N671" s="1"/>
    </row>
    <row r="672" spans="1:14" ht="1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7"/>
      <c r="N672" s="1"/>
    </row>
    <row r="673" spans="1:14" ht="1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7"/>
      <c r="N673" s="1"/>
    </row>
    <row r="674" spans="1:14" ht="1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7"/>
      <c r="N674" s="1"/>
    </row>
    <row r="675" spans="1:14" ht="1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7"/>
      <c r="N675" s="1"/>
    </row>
    <row r="676" spans="1:14" ht="1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7"/>
      <c r="N676" s="1"/>
    </row>
    <row r="677" spans="1:14" ht="1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7"/>
      <c r="N677" s="1"/>
    </row>
    <row r="678" spans="1:14" ht="1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7"/>
      <c r="N678" s="1"/>
    </row>
    <row r="679" spans="1:14" ht="1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7"/>
      <c r="N679" s="1"/>
    </row>
    <row r="680" spans="1:14" ht="1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7"/>
      <c r="N680" s="1"/>
    </row>
    <row r="681" spans="1:14" ht="1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7"/>
      <c r="N681" s="1"/>
    </row>
    <row r="682" spans="1:14" ht="1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7"/>
      <c r="N682" s="1"/>
    </row>
    <row r="683" spans="1:14" ht="1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7"/>
      <c r="N683" s="1"/>
    </row>
    <row r="684" spans="1:14" ht="1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7"/>
      <c r="N684" s="1"/>
    </row>
    <row r="685" spans="1:14" ht="1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7"/>
      <c r="N685" s="1"/>
    </row>
    <row r="686" spans="1:14" ht="1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7"/>
      <c r="N686" s="1"/>
    </row>
    <row r="687" spans="1:14" ht="1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7"/>
      <c r="N687" s="1"/>
    </row>
    <row r="688" spans="1:14" ht="1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7"/>
      <c r="N688" s="1"/>
    </row>
    <row r="689" spans="1:14" ht="1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7"/>
      <c r="N689" s="1"/>
    </row>
    <row r="690" spans="1:14" ht="1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7"/>
      <c r="N690" s="1"/>
    </row>
    <row r="691" spans="1:14" ht="1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7"/>
      <c r="N691" s="1"/>
    </row>
    <row r="692" spans="1:14" ht="1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7"/>
      <c r="N692" s="1"/>
    </row>
    <row r="693" spans="1:14" ht="1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7"/>
      <c r="N693" s="1"/>
    </row>
    <row r="694" spans="1:14" ht="1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7"/>
      <c r="N694" s="1"/>
    </row>
    <row r="695" spans="1:14" ht="1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7"/>
      <c r="N695" s="1"/>
    </row>
    <row r="696" spans="1:14" ht="1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7"/>
      <c r="N696" s="1"/>
    </row>
    <row r="697" spans="1:14" ht="1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7"/>
      <c r="N697" s="1"/>
    </row>
    <row r="698" spans="1:14" ht="1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7"/>
      <c r="N698" s="1"/>
    </row>
    <row r="699" spans="1:14" ht="1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7"/>
      <c r="N699" s="1"/>
    </row>
    <row r="700" spans="1:14" ht="1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7"/>
      <c r="N700" s="1"/>
    </row>
    <row r="701" spans="1:14" ht="1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7"/>
      <c r="N701" s="1"/>
    </row>
    <row r="702" spans="1:14" ht="1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7"/>
      <c r="N702" s="1"/>
    </row>
    <row r="703" spans="1:14" ht="1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7"/>
      <c r="N703" s="1"/>
    </row>
    <row r="704" spans="1:14" ht="1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7"/>
      <c r="N704" s="1"/>
    </row>
    <row r="705" spans="1:14" ht="1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7"/>
      <c r="N705" s="1"/>
    </row>
    <row r="706" spans="1:14" ht="1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7"/>
      <c r="N706" s="1"/>
    </row>
    <row r="707" spans="1:14" ht="1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7"/>
      <c r="N707" s="1"/>
    </row>
    <row r="708" spans="1:14" ht="1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7"/>
      <c r="N708" s="1"/>
    </row>
    <row r="709" spans="1:14" ht="1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7"/>
      <c r="N709" s="1"/>
    </row>
    <row r="710" spans="1:14" ht="1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7"/>
      <c r="N710" s="1"/>
    </row>
    <row r="711" spans="1:14" ht="1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7"/>
      <c r="N711" s="1"/>
    </row>
    <row r="712" spans="1:14" ht="1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7"/>
      <c r="N712" s="1"/>
    </row>
    <row r="713" spans="1:14" ht="1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7"/>
      <c r="N713" s="1"/>
    </row>
    <row r="714" spans="1:14" ht="1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7"/>
      <c r="N714" s="1"/>
    </row>
    <row r="715" spans="1:14" ht="1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7"/>
      <c r="N715" s="1"/>
    </row>
    <row r="716" spans="1:14" ht="1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7"/>
      <c r="N716" s="1"/>
    </row>
    <row r="717" spans="1:14" ht="1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7"/>
      <c r="N717" s="1"/>
    </row>
    <row r="718" spans="1:14" ht="1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7"/>
      <c r="N718" s="1"/>
    </row>
    <row r="719" spans="1:14" ht="1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7"/>
      <c r="N719" s="1"/>
    </row>
    <row r="720" spans="1:14" ht="1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7"/>
      <c r="N720" s="1"/>
    </row>
    <row r="721" spans="1:14" ht="1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7"/>
      <c r="N721" s="1"/>
    </row>
    <row r="722" spans="1:14" ht="1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7"/>
      <c r="N722" s="1"/>
    </row>
    <row r="723" spans="1:14" ht="1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7"/>
      <c r="N723" s="1"/>
    </row>
    <row r="724" spans="1:14" ht="1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7"/>
      <c r="N724" s="1"/>
    </row>
    <row r="725" spans="1:14" ht="1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7"/>
      <c r="N725" s="1"/>
    </row>
    <row r="726" spans="1:14" ht="1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7"/>
      <c r="N726" s="1"/>
    </row>
    <row r="727" spans="1:14" ht="1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7"/>
      <c r="N727" s="1"/>
    </row>
    <row r="728" spans="1:14" ht="1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7"/>
      <c r="N728" s="1"/>
    </row>
    <row r="729" spans="1:14" ht="1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7"/>
      <c r="N729" s="1"/>
    </row>
    <row r="730" spans="1:14" ht="1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7"/>
      <c r="N730" s="1"/>
    </row>
    <row r="731" spans="1:14" ht="1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7"/>
      <c r="N731" s="1"/>
    </row>
    <row r="732" spans="1:14" ht="1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7"/>
      <c r="N732" s="1"/>
    </row>
    <row r="733" spans="1:14" ht="1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7"/>
      <c r="N733" s="1"/>
    </row>
    <row r="734" spans="1:14" ht="1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7"/>
      <c r="N734" s="1"/>
    </row>
    <row r="735" spans="1:14" ht="1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7"/>
      <c r="N735" s="1"/>
    </row>
    <row r="736" spans="1:14" ht="1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7"/>
      <c r="N736" s="1"/>
    </row>
    <row r="737" spans="1:14" ht="1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7"/>
      <c r="N737" s="1"/>
    </row>
    <row r="738" spans="1:14" ht="1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7"/>
      <c r="N738" s="1"/>
    </row>
    <row r="739" spans="1:14" ht="1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7"/>
      <c r="N739" s="1"/>
    </row>
    <row r="740" spans="1:14" ht="1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7"/>
      <c r="N740" s="1"/>
    </row>
    <row r="741" spans="1:14" ht="1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7"/>
      <c r="N741" s="1"/>
    </row>
    <row r="742" spans="1:14" ht="1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7"/>
      <c r="N742" s="1"/>
    </row>
    <row r="743" spans="1:14" ht="1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7"/>
      <c r="N743" s="1"/>
    </row>
    <row r="744" spans="1:14" ht="1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7"/>
      <c r="N744" s="1"/>
    </row>
    <row r="745" spans="1:14" ht="1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7"/>
      <c r="N745" s="1"/>
    </row>
    <row r="746" spans="1:14" ht="1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7"/>
      <c r="N746" s="1"/>
    </row>
    <row r="747" spans="1:14" ht="1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7"/>
      <c r="N747" s="1"/>
    </row>
    <row r="748" spans="1:14" ht="1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7"/>
      <c r="N748" s="1"/>
    </row>
    <row r="749" spans="1:14" ht="1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7"/>
      <c r="N749" s="1"/>
    </row>
    <row r="750" spans="1:14" ht="1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7"/>
      <c r="N750" s="1"/>
    </row>
    <row r="751" spans="1:14" ht="1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7"/>
      <c r="N751" s="1"/>
    </row>
    <row r="752" spans="1:14" ht="1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7"/>
      <c r="N752" s="1"/>
    </row>
    <row r="753" spans="1:14" ht="1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7"/>
      <c r="N753" s="1"/>
    </row>
    <row r="754" spans="1:14" ht="1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7"/>
      <c r="N754" s="1"/>
    </row>
    <row r="755" spans="1:14" ht="1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7"/>
      <c r="N755" s="1"/>
    </row>
    <row r="756" spans="1:14" ht="1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7"/>
      <c r="N756" s="1"/>
    </row>
    <row r="757" spans="1:14" ht="1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7"/>
      <c r="N757" s="1"/>
    </row>
    <row r="758" spans="1:14" ht="1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7"/>
      <c r="N758" s="1"/>
    </row>
    <row r="759" spans="1:14" ht="1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7"/>
      <c r="N759" s="1"/>
    </row>
    <row r="760" spans="1:14" ht="1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7"/>
      <c r="N760" s="1"/>
    </row>
    <row r="761" spans="1:14" ht="1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7"/>
      <c r="N761" s="1"/>
    </row>
    <row r="762" spans="1:14" ht="1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7"/>
      <c r="N762" s="1"/>
    </row>
    <row r="763" spans="1:14" ht="1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7"/>
      <c r="N763" s="1"/>
    </row>
    <row r="764" spans="1:14" ht="1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7"/>
      <c r="N764" s="1"/>
    </row>
    <row r="765" spans="1:14" ht="1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7"/>
      <c r="N765" s="1"/>
    </row>
    <row r="766" spans="1:14" ht="1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7"/>
      <c r="N766" s="1"/>
    </row>
    <row r="767" spans="1:14" ht="1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7"/>
      <c r="N767" s="1"/>
    </row>
    <row r="768" spans="1:14" ht="1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7"/>
      <c r="N768" s="1"/>
    </row>
    <row r="769" spans="1:14" ht="1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7"/>
      <c r="N769" s="1"/>
    </row>
    <row r="770" spans="1:14" ht="1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7"/>
      <c r="N770" s="1"/>
    </row>
    <row r="771" spans="1:14" ht="1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7"/>
      <c r="N771" s="1"/>
    </row>
    <row r="772" spans="1:14" ht="1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7"/>
      <c r="N772" s="1"/>
    </row>
    <row r="773" spans="1:14" ht="1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7"/>
      <c r="N773" s="1"/>
    </row>
    <row r="774" spans="1:14" ht="1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7"/>
      <c r="N774" s="1"/>
    </row>
    <row r="775" spans="1:14" ht="1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7"/>
      <c r="N775" s="1"/>
    </row>
    <row r="776" spans="1:14" ht="1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7"/>
      <c r="N776" s="1"/>
    </row>
    <row r="777" spans="1:14" ht="1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7"/>
      <c r="N777" s="1"/>
    </row>
    <row r="778" spans="1:14" ht="1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7"/>
      <c r="N778" s="1"/>
    </row>
    <row r="779" spans="1:14" ht="1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7"/>
      <c r="N779" s="1"/>
    </row>
    <row r="780" spans="1:14" ht="1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7"/>
      <c r="N780" s="1"/>
    </row>
    <row r="781" spans="1:14" ht="1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7"/>
      <c r="N781" s="1"/>
    </row>
    <row r="782" spans="1:14" ht="1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7"/>
      <c r="N782" s="1"/>
    </row>
    <row r="783" spans="1:14" ht="1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7"/>
      <c r="N783" s="1"/>
    </row>
    <row r="784" spans="1:14" ht="1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7"/>
      <c r="N784" s="1"/>
    </row>
    <row r="785" spans="1:14" ht="1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7"/>
      <c r="N785" s="1"/>
    </row>
    <row r="786" spans="1:14" ht="1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7"/>
      <c r="N786" s="1"/>
    </row>
    <row r="787" spans="1:14" ht="1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7"/>
      <c r="N787" s="1"/>
    </row>
    <row r="788" spans="1:14" ht="1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7"/>
      <c r="N788" s="1"/>
    </row>
    <row r="789" spans="1:14" ht="1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7"/>
      <c r="N789" s="1"/>
    </row>
    <row r="790" spans="1:14" ht="1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7"/>
      <c r="N790" s="1"/>
    </row>
    <row r="791" spans="1:14" ht="1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7"/>
      <c r="N791" s="1"/>
    </row>
    <row r="792" spans="1:14" ht="1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7"/>
      <c r="N792" s="1"/>
    </row>
    <row r="793" spans="1:14" ht="1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7"/>
      <c r="N793" s="1"/>
    </row>
    <row r="794" spans="1:14" ht="1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7"/>
      <c r="N794" s="1"/>
    </row>
    <row r="795" spans="1:14" ht="1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7"/>
      <c r="N795" s="1"/>
    </row>
    <row r="796" spans="1:14" ht="1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7"/>
      <c r="N796" s="1"/>
    </row>
    <row r="797" spans="1:14" ht="1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7"/>
      <c r="N797" s="1"/>
    </row>
    <row r="798" spans="1:14" ht="1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7"/>
      <c r="N798" s="1"/>
    </row>
    <row r="799" spans="1:14" ht="1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7"/>
      <c r="N799" s="1"/>
    </row>
    <row r="800" spans="1:14" ht="1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7"/>
      <c r="N800" s="1"/>
    </row>
    <row r="801" spans="1:14" ht="1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7"/>
      <c r="N801" s="1"/>
    </row>
    <row r="802" spans="1:14" ht="1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7"/>
      <c r="N802" s="1"/>
    </row>
    <row r="803" spans="1:14" ht="1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7"/>
      <c r="N803" s="1"/>
    </row>
    <row r="804" spans="1:14" ht="1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7"/>
      <c r="N804" s="1"/>
    </row>
    <row r="805" spans="1:14" ht="1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7"/>
      <c r="N805" s="1"/>
    </row>
    <row r="806" spans="1:14" ht="1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7"/>
      <c r="N806" s="1"/>
    </row>
    <row r="807" spans="1:14" ht="1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7"/>
      <c r="N807" s="1"/>
    </row>
    <row r="808" spans="1:14" ht="1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7"/>
      <c r="N808" s="1"/>
    </row>
    <row r="809" spans="1:14" ht="1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7"/>
      <c r="N809" s="1"/>
    </row>
    <row r="810" spans="1:14" ht="1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7"/>
      <c r="N810" s="1"/>
    </row>
    <row r="811" spans="1:14" ht="1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7"/>
      <c r="N811" s="1"/>
    </row>
    <row r="812" spans="1:14" ht="1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7"/>
      <c r="N812" s="1"/>
    </row>
    <row r="813" spans="1:14" ht="1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7"/>
      <c r="N813" s="1"/>
    </row>
    <row r="814" spans="1:14" ht="1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7"/>
      <c r="N814" s="1"/>
    </row>
    <row r="815" spans="1:14" ht="1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7"/>
      <c r="N815" s="1"/>
    </row>
    <row r="816" spans="1:14" ht="1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7"/>
      <c r="N816" s="1"/>
    </row>
    <row r="817" spans="1:14" ht="1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7"/>
      <c r="N817" s="1"/>
    </row>
    <row r="818" spans="1:14" ht="1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7"/>
      <c r="N818" s="1"/>
    </row>
    <row r="819" spans="1:14" ht="1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7"/>
      <c r="N819" s="1"/>
    </row>
    <row r="820" spans="1:14" ht="1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7"/>
      <c r="N820" s="1"/>
    </row>
    <row r="821" spans="1:14" ht="1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7"/>
      <c r="N821" s="1"/>
    </row>
    <row r="822" spans="1:14" ht="1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7"/>
      <c r="N822" s="1"/>
    </row>
    <row r="823" spans="1:14" ht="1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7"/>
      <c r="N823" s="1"/>
    </row>
    <row r="824" spans="1:14" ht="1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7"/>
      <c r="N824" s="1"/>
    </row>
    <row r="825" spans="1:14" ht="1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7"/>
      <c r="N825" s="1"/>
    </row>
    <row r="826" spans="1:14" ht="1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7"/>
      <c r="N826" s="1"/>
    </row>
    <row r="827" spans="1:14" ht="1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7"/>
      <c r="N827" s="1"/>
    </row>
    <row r="828" spans="1:14" ht="1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7"/>
      <c r="N828" s="1"/>
    </row>
    <row r="829" spans="1:14" ht="1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7"/>
      <c r="N829" s="1"/>
    </row>
    <row r="830" spans="1:14" ht="1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7"/>
      <c r="N830" s="1"/>
    </row>
    <row r="831" spans="1:14" ht="1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7"/>
      <c r="N831" s="1"/>
    </row>
    <row r="832" spans="1:14" ht="1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7"/>
      <c r="N832" s="1"/>
    </row>
    <row r="833" spans="1:14" ht="1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7"/>
      <c r="N833" s="1"/>
    </row>
    <row r="834" spans="1:14" ht="1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7"/>
      <c r="N834" s="1"/>
    </row>
    <row r="835" spans="1:14" ht="1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7"/>
      <c r="N835" s="1"/>
    </row>
    <row r="836" spans="1:14" ht="1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7"/>
      <c r="N836" s="1"/>
    </row>
    <row r="837" spans="1:14" ht="1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7"/>
      <c r="N837" s="1"/>
    </row>
    <row r="838" spans="1:14" ht="1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7"/>
      <c r="N838" s="1"/>
    </row>
    <row r="839" spans="1:14" ht="1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7"/>
      <c r="N839" s="1"/>
    </row>
    <row r="840" spans="1:14" ht="1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7"/>
      <c r="N840" s="1"/>
    </row>
    <row r="841" spans="1:14" ht="1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7"/>
      <c r="N841" s="1"/>
    </row>
    <row r="842" spans="1:14" ht="1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7"/>
      <c r="N842" s="1"/>
    </row>
    <row r="843" spans="1:14" ht="1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7"/>
      <c r="N843" s="1"/>
    </row>
    <row r="844" spans="1:14" ht="1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7"/>
      <c r="N844" s="1"/>
    </row>
    <row r="845" spans="1:14" ht="1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7"/>
      <c r="N845" s="1"/>
    </row>
    <row r="846" spans="1:14" ht="1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7"/>
      <c r="N846" s="1"/>
    </row>
    <row r="847" spans="1:14" ht="1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7"/>
      <c r="N847" s="1"/>
    </row>
    <row r="848" spans="1:14" ht="1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7"/>
      <c r="N848" s="1"/>
    </row>
    <row r="849" spans="1:14" ht="1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7"/>
      <c r="N849" s="1"/>
    </row>
    <row r="850" spans="1:14" ht="1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7"/>
      <c r="N850" s="1"/>
    </row>
    <row r="851" spans="1:14" ht="1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7"/>
      <c r="N851" s="1"/>
    </row>
    <row r="852" spans="1:14" ht="1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7"/>
      <c r="N852" s="1"/>
    </row>
    <row r="853" spans="1:14" ht="1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7"/>
      <c r="N853" s="1"/>
    </row>
    <row r="854" spans="1:14" ht="1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7"/>
      <c r="N854" s="1"/>
    </row>
    <row r="855" spans="1:14" ht="1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7"/>
      <c r="N855" s="1"/>
    </row>
    <row r="856" spans="1:14" ht="1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7"/>
      <c r="N856" s="1"/>
    </row>
    <row r="857" spans="1:14" ht="1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7"/>
      <c r="N857" s="1"/>
    </row>
    <row r="858" spans="1:14" ht="1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7"/>
      <c r="N858" s="1"/>
    </row>
    <row r="859" spans="1:14" ht="1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7"/>
      <c r="N859" s="1"/>
    </row>
    <row r="860" spans="1:14" ht="1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7"/>
      <c r="N860" s="1"/>
    </row>
    <row r="861" spans="1:14" ht="1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7"/>
      <c r="N861" s="1"/>
    </row>
    <row r="862" spans="1:14" ht="1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7"/>
      <c r="N862" s="1"/>
    </row>
    <row r="863" spans="1:14" ht="1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7"/>
      <c r="N863" s="1"/>
    </row>
    <row r="864" spans="1:14" ht="1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7"/>
      <c r="N864" s="1"/>
    </row>
    <row r="865" spans="1:14" ht="1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7"/>
      <c r="N865" s="1"/>
    </row>
    <row r="866" spans="1:14" ht="1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7"/>
      <c r="N866" s="1"/>
    </row>
    <row r="867" spans="1:14" ht="1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7"/>
      <c r="N867" s="1"/>
    </row>
    <row r="868" spans="1:14" ht="1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7"/>
      <c r="N868" s="1"/>
    </row>
    <row r="869" spans="1:14" ht="1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7"/>
      <c r="N869" s="1"/>
    </row>
    <row r="870" spans="1:14" ht="1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7"/>
      <c r="N870" s="1"/>
    </row>
    <row r="871" spans="1:14" ht="1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7"/>
      <c r="N871" s="1"/>
    </row>
    <row r="872" spans="1:14" ht="1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7"/>
      <c r="N872" s="1"/>
    </row>
    <row r="873" spans="1:14" ht="1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7"/>
      <c r="N873" s="1"/>
    </row>
    <row r="874" spans="1:14" ht="1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7"/>
      <c r="N874" s="1"/>
    </row>
    <row r="875" spans="1:14" ht="1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7"/>
      <c r="N875" s="1"/>
    </row>
    <row r="876" spans="1:14" ht="1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7"/>
      <c r="N876" s="1"/>
    </row>
    <row r="877" spans="1:14" ht="1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7"/>
      <c r="N877" s="1"/>
    </row>
    <row r="878" spans="1:14" ht="1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7"/>
      <c r="N878" s="1"/>
    </row>
    <row r="879" spans="1:14" ht="1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7"/>
      <c r="N879" s="1"/>
    </row>
    <row r="880" spans="1:14" ht="1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7"/>
      <c r="N880" s="1"/>
    </row>
    <row r="881" spans="1:14" ht="1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7"/>
      <c r="N881" s="1"/>
    </row>
    <row r="882" spans="1:14" ht="1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7"/>
      <c r="N882" s="1"/>
    </row>
    <row r="883" spans="1:14" ht="1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7"/>
      <c r="N883" s="1"/>
    </row>
    <row r="884" spans="1:14" ht="1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7"/>
      <c r="N884" s="1"/>
    </row>
    <row r="885" spans="1:14" ht="1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7"/>
      <c r="N885" s="1"/>
    </row>
    <row r="886" spans="1:14" ht="1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7"/>
      <c r="N886" s="1"/>
    </row>
    <row r="887" spans="1:14" ht="1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7"/>
      <c r="N887" s="1"/>
    </row>
    <row r="888" spans="1:14" ht="1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7"/>
      <c r="N888" s="1"/>
    </row>
    <row r="889" spans="1:14" ht="1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7"/>
      <c r="N889" s="1"/>
    </row>
    <row r="890" spans="1:14" ht="1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7"/>
      <c r="N890" s="1"/>
    </row>
    <row r="891" spans="1:14" ht="1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7"/>
      <c r="N891" s="1"/>
    </row>
    <row r="892" spans="1:14" ht="1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7"/>
      <c r="N892" s="1"/>
    </row>
    <row r="893" spans="1:14" ht="1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7"/>
      <c r="N893" s="1"/>
    </row>
    <row r="894" spans="1:14" ht="1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7"/>
      <c r="N894" s="1"/>
    </row>
    <row r="895" spans="1:14" ht="1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7"/>
      <c r="N895" s="1"/>
    </row>
    <row r="896" spans="1:14" ht="1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7"/>
      <c r="N896" s="1"/>
    </row>
    <row r="897" spans="1:14" ht="1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7"/>
      <c r="N897" s="1"/>
    </row>
    <row r="898" spans="1:14" ht="1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7"/>
      <c r="N898" s="1"/>
    </row>
    <row r="899" spans="1:14" ht="1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7"/>
      <c r="N899" s="1"/>
    </row>
    <row r="900" spans="1:14" ht="1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7"/>
      <c r="N900" s="1"/>
    </row>
    <row r="901" spans="1:14" ht="1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7"/>
      <c r="N901" s="1"/>
    </row>
    <row r="902" spans="1:14" ht="1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7"/>
      <c r="N902" s="1"/>
    </row>
    <row r="903" spans="1:14" ht="1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7"/>
      <c r="N903" s="1"/>
    </row>
    <row r="904" spans="1:14" ht="1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7"/>
      <c r="N904" s="1"/>
    </row>
    <row r="905" spans="1:14" ht="1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7"/>
      <c r="N905" s="1"/>
    </row>
    <row r="906" spans="1:14" ht="1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7"/>
      <c r="N906" s="1"/>
    </row>
    <row r="907" spans="1:14" ht="1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7"/>
      <c r="N907" s="1"/>
    </row>
    <row r="908" spans="1:14" ht="1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7"/>
      <c r="N908" s="1"/>
    </row>
    <row r="909" spans="1:14" ht="1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7"/>
      <c r="N909" s="1"/>
    </row>
    <row r="910" spans="1:14" ht="1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7"/>
      <c r="N910" s="1"/>
    </row>
    <row r="911" spans="1:14" ht="1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7"/>
      <c r="N911" s="1"/>
    </row>
    <row r="912" spans="1:14" ht="1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7"/>
      <c r="N912" s="1"/>
    </row>
    <row r="913" spans="1:14" ht="1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7"/>
      <c r="N913" s="1"/>
    </row>
    <row r="914" spans="1:14" ht="1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7"/>
      <c r="N914" s="1"/>
    </row>
    <row r="915" spans="1:14" ht="1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7"/>
      <c r="N915" s="1"/>
    </row>
    <row r="916" spans="1:14" ht="1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7"/>
      <c r="N916" s="1"/>
    </row>
    <row r="917" spans="1:14" ht="1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7"/>
      <c r="N917" s="1"/>
    </row>
    <row r="918" spans="1:14" ht="1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7"/>
      <c r="N918" s="1"/>
    </row>
    <row r="919" spans="1:14" ht="1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7"/>
      <c r="N919" s="1"/>
    </row>
    <row r="920" spans="1:14" ht="1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7"/>
      <c r="N920" s="1"/>
    </row>
    <row r="921" spans="1:14" ht="1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7"/>
      <c r="N921" s="1"/>
    </row>
    <row r="922" spans="1:14" ht="1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7"/>
      <c r="N922" s="1"/>
    </row>
    <row r="923" spans="1:14" ht="1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7"/>
      <c r="N923" s="1"/>
    </row>
    <row r="924" spans="1:14" ht="1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7"/>
      <c r="N924" s="1"/>
    </row>
    <row r="925" spans="1:14" ht="1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7"/>
      <c r="N925" s="1"/>
    </row>
    <row r="926" spans="1:14" ht="1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7"/>
      <c r="N926" s="1"/>
    </row>
    <row r="927" spans="1:14" ht="1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7"/>
      <c r="N927" s="1"/>
    </row>
    <row r="928" spans="1:14" ht="1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7"/>
      <c r="N928" s="1"/>
    </row>
    <row r="929" spans="1:14" ht="1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7"/>
      <c r="N929" s="1"/>
    </row>
    <row r="930" spans="1:14" ht="1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7"/>
      <c r="N930" s="1"/>
    </row>
    <row r="931" spans="1:14" ht="1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7"/>
      <c r="N931" s="1"/>
    </row>
    <row r="932" spans="1:14" ht="1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7"/>
      <c r="N932" s="1"/>
    </row>
    <row r="933" spans="1:14" ht="1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7"/>
      <c r="N933" s="1"/>
    </row>
    <row r="934" spans="1:14" ht="1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7"/>
      <c r="N934" s="1"/>
    </row>
    <row r="935" spans="1:14" ht="1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7"/>
      <c r="N935" s="1"/>
    </row>
    <row r="936" spans="1:14" ht="1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7"/>
      <c r="N936" s="1"/>
    </row>
    <row r="937" spans="1:14" ht="1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7"/>
      <c r="N937" s="1"/>
    </row>
    <row r="938" spans="1:14" ht="1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7"/>
      <c r="N938" s="1"/>
    </row>
    <row r="939" spans="1:14" ht="1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7"/>
      <c r="N939" s="1"/>
    </row>
    <row r="940" spans="1:14" ht="1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7"/>
      <c r="N940" s="1"/>
    </row>
    <row r="941" spans="1:14" ht="1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7"/>
      <c r="N941" s="1"/>
    </row>
    <row r="942" spans="1:14" ht="1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7"/>
      <c r="N942" s="1"/>
    </row>
  </sheetData>
  <mergeCells count="10">
    <mergeCell ref="A3:M3"/>
    <mergeCell ref="A1:M1"/>
    <mergeCell ref="A2:M2"/>
    <mergeCell ref="B8:E8"/>
    <mergeCell ref="F8:I8"/>
    <mergeCell ref="K8:M8"/>
    <mergeCell ref="A5:M5"/>
    <mergeCell ref="A4:M4"/>
    <mergeCell ref="A6:M6"/>
    <mergeCell ref="A7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2025-11-24T11:23:11Z</dcterms:modified>
</cp:coreProperties>
</file>