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710705-9404-4E33-8034-CEF73EC9CCE2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PPS_class" sheetId="1" r:id="rId1"/>
    <sheet name="Lab_B1" sheetId="2" r:id="rId2"/>
    <sheet name="Lab_B2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FMHbQcsrolpEMMR6frCH5NHpQl3CQJwv47nhwMszq3w="/>
    </ext>
  </extLst>
</workbook>
</file>

<file path=xl/calcChain.xml><?xml version="1.0" encoding="utf-8"?>
<calcChain xmlns="http://schemas.openxmlformats.org/spreadsheetml/2006/main">
  <c r="T52" i="3" l="1"/>
  <c r="S52" i="3"/>
  <c r="R52" i="3"/>
  <c r="Q52" i="3"/>
  <c r="P52" i="3"/>
  <c r="N52" i="3"/>
  <c r="L52" i="3"/>
  <c r="K52" i="3"/>
  <c r="H52" i="3"/>
  <c r="G52" i="3"/>
  <c r="F52" i="3"/>
  <c r="E52" i="3"/>
  <c r="D52" i="3"/>
  <c r="V50" i="3"/>
  <c r="U50" i="3"/>
  <c r="W50" i="3" s="1"/>
  <c r="X50" i="3" s="1"/>
  <c r="E92" i="4" s="1"/>
  <c r="V49" i="3"/>
  <c r="U49" i="3"/>
  <c r="V48" i="3"/>
  <c r="U48" i="3"/>
  <c r="W48" i="3" s="1"/>
  <c r="X48" i="3" s="1"/>
  <c r="E90" i="4" s="1"/>
  <c r="V47" i="3"/>
  <c r="U47" i="3"/>
  <c r="V46" i="3"/>
  <c r="U46" i="3"/>
  <c r="V45" i="3"/>
  <c r="U45" i="3"/>
  <c r="V44" i="3"/>
  <c r="U44" i="3"/>
  <c r="V43" i="3"/>
  <c r="U43" i="3"/>
  <c r="V42" i="3"/>
  <c r="U42" i="3"/>
  <c r="W42" i="3" s="1"/>
  <c r="V41" i="3"/>
  <c r="U41" i="3"/>
  <c r="V40" i="3"/>
  <c r="U40" i="3"/>
  <c r="W40" i="3" s="1"/>
  <c r="V39" i="3"/>
  <c r="U39" i="3"/>
  <c r="V38" i="3"/>
  <c r="U38" i="3"/>
  <c r="W38" i="3" s="1"/>
  <c r="X38" i="3" s="1"/>
  <c r="E80" i="4" s="1"/>
  <c r="V37" i="3"/>
  <c r="U37" i="3"/>
  <c r="X36" i="3"/>
  <c r="E78" i="4" s="1"/>
  <c r="V36" i="3"/>
  <c r="U36" i="3"/>
  <c r="W36" i="3" s="1"/>
  <c r="V35" i="3"/>
  <c r="U35" i="3"/>
  <c r="V34" i="3"/>
  <c r="U34" i="3"/>
  <c r="W34" i="3" s="1"/>
  <c r="X34" i="3" s="1"/>
  <c r="E76" i="4" s="1"/>
  <c r="V33" i="3"/>
  <c r="U33" i="3"/>
  <c r="V32" i="3"/>
  <c r="U32" i="3"/>
  <c r="W32" i="3" s="1"/>
  <c r="X32" i="3" s="1"/>
  <c r="E74" i="4" s="1"/>
  <c r="V31" i="3"/>
  <c r="U31" i="3"/>
  <c r="V30" i="3"/>
  <c r="U30" i="3"/>
  <c r="W30" i="3" s="1"/>
  <c r="V29" i="3"/>
  <c r="U29" i="3"/>
  <c r="V28" i="3"/>
  <c r="U28" i="3"/>
  <c r="W28" i="3" s="1"/>
  <c r="X28" i="3" s="1"/>
  <c r="E70" i="4" s="1"/>
  <c r="V27" i="3"/>
  <c r="U27" i="3"/>
  <c r="X26" i="3"/>
  <c r="E68" i="4" s="1"/>
  <c r="V26" i="3"/>
  <c r="U26" i="3"/>
  <c r="W26" i="3" s="1"/>
  <c r="V25" i="3"/>
  <c r="U25" i="3"/>
  <c r="V24" i="3"/>
  <c r="U24" i="3"/>
  <c r="W24" i="3" s="1"/>
  <c r="X24" i="3" s="1"/>
  <c r="E66" i="4" s="1"/>
  <c r="V23" i="3"/>
  <c r="U23" i="3"/>
  <c r="V22" i="3"/>
  <c r="U22" i="3"/>
  <c r="W22" i="3" s="1"/>
  <c r="X22" i="3" s="1"/>
  <c r="E64" i="4" s="1"/>
  <c r="V21" i="3"/>
  <c r="U21" i="3"/>
  <c r="V20" i="3"/>
  <c r="U20" i="3"/>
  <c r="W20" i="3" s="1"/>
  <c r="V19" i="3"/>
  <c r="U19" i="3"/>
  <c r="V18" i="3"/>
  <c r="U18" i="3"/>
  <c r="W18" i="3" s="1"/>
  <c r="X18" i="3" s="1"/>
  <c r="E60" i="4" s="1"/>
  <c r="V17" i="3"/>
  <c r="U17" i="3"/>
  <c r="V16" i="3"/>
  <c r="U16" i="3"/>
  <c r="V15" i="3"/>
  <c r="U15" i="3"/>
  <c r="V14" i="3"/>
  <c r="U14" i="3"/>
  <c r="W14" i="3" s="1"/>
  <c r="V13" i="3"/>
  <c r="U13" i="3"/>
  <c r="V12" i="3"/>
  <c r="U12" i="3"/>
  <c r="W12" i="3" s="1"/>
  <c r="X12" i="3" s="1"/>
  <c r="E54" i="4" s="1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AC51" i="2"/>
  <c r="AB51" i="2"/>
  <c r="AD51" i="2" s="1"/>
  <c r="AE51" i="2" s="1"/>
  <c r="E53" i="4" s="1"/>
  <c r="AC50" i="2"/>
  <c r="AB50" i="2"/>
  <c r="AC49" i="2"/>
  <c r="AB49" i="2"/>
  <c r="AD49" i="2" s="1"/>
  <c r="AE49" i="2" s="1"/>
  <c r="E51" i="4" s="1"/>
  <c r="AC48" i="2"/>
  <c r="AB48" i="2"/>
  <c r="AC47" i="2"/>
  <c r="AB47" i="2"/>
  <c r="AD47" i="2" s="1"/>
  <c r="AE47" i="2" s="1"/>
  <c r="E49" i="4" s="1"/>
  <c r="AC46" i="2"/>
  <c r="AB46" i="2"/>
  <c r="AC45" i="2"/>
  <c r="AB45" i="2"/>
  <c r="AD45" i="2" s="1"/>
  <c r="AE45" i="2" s="1"/>
  <c r="E47" i="4" s="1"/>
  <c r="AC44" i="2"/>
  <c r="AB44" i="2"/>
  <c r="AC43" i="2"/>
  <c r="AD43" i="2" s="1"/>
  <c r="AE43" i="2" s="1"/>
  <c r="E45" i="4" s="1"/>
  <c r="AB43" i="2"/>
  <c r="AC42" i="2"/>
  <c r="AB42" i="2"/>
  <c r="AC41" i="2"/>
  <c r="AB41" i="2"/>
  <c r="AD41" i="2" s="1"/>
  <c r="AE41" i="2" s="1"/>
  <c r="E43" i="4" s="1"/>
  <c r="AC40" i="2"/>
  <c r="AB40" i="2"/>
  <c r="AC39" i="2"/>
  <c r="AB39" i="2"/>
  <c r="AD39" i="2" s="1"/>
  <c r="AE39" i="2" s="1"/>
  <c r="E41" i="4" s="1"/>
  <c r="AC38" i="2"/>
  <c r="AB38" i="2"/>
  <c r="AC37" i="2"/>
  <c r="AB37" i="2"/>
  <c r="AD37" i="2" s="1"/>
  <c r="AE37" i="2" s="1"/>
  <c r="E39" i="4" s="1"/>
  <c r="AC36" i="2"/>
  <c r="AB36" i="2"/>
  <c r="AC35" i="2"/>
  <c r="AD35" i="2" s="1"/>
  <c r="AE35" i="2" s="1"/>
  <c r="E37" i="4" s="1"/>
  <c r="AB35" i="2"/>
  <c r="AC34" i="2"/>
  <c r="AD34" i="2" s="1"/>
  <c r="AE34" i="2" s="1"/>
  <c r="E36" i="4" s="1"/>
  <c r="AB34" i="2"/>
  <c r="AC33" i="2"/>
  <c r="AB33" i="2"/>
  <c r="AD33" i="2" s="1"/>
  <c r="AE33" i="2" s="1"/>
  <c r="E35" i="4" s="1"/>
  <c r="AC32" i="2"/>
  <c r="AB32" i="2"/>
  <c r="AC31" i="2"/>
  <c r="AB31" i="2"/>
  <c r="AD31" i="2" s="1"/>
  <c r="AE31" i="2" s="1"/>
  <c r="E33" i="4" s="1"/>
  <c r="AC30" i="2"/>
  <c r="AB30" i="2"/>
  <c r="AC29" i="2"/>
  <c r="AB29" i="2"/>
  <c r="AD29" i="2" s="1"/>
  <c r="AE29" i="2" s="1"/>
  <c r="E31" i="4" s="1"/>
  <c r="AC28" i="2"/>
  <c r="AB28" i="2"/>
  <c r="AC27" i="2"/>
  <c r="AB27" i="2"/>
  <c r="AD27" i="2" s="1"/>
  <c r="AE27" i="2" s="1"/>
  <c r="E29" i="4" s="1"/>
  <c r="AC26" i="2"/>
  <c r="AD26" i="2" s="1"/>
  <c r="AE26" i="2" s="1"/>
  <c r="E28" i="4" s="1"/>
  <c r="AB26" i="2"/>
  <c r="AD25" i="2"/>
  <c r="AE25" i="2" s="1"/>
  <c r="E27" i="4" s="1"/>
  <c r="AC25" i="2"/>
  <c r="AB25" i="2"/>
  <c r="AC24" i="2"/>
  <c r="AB24" i="2"/>
  <c r="AC23" i="2"/>
  <c r="AB23" i="2"/>
  <c r="AD23" i="2" s="1"/>
  <c r="AE23" i="2" s="1"/>
  <c r="E25" i="4" s="1"/>
  <c r="AC22" i="2"/>
  <c r="AB22" i="2"/>
  <c r="AC21" i="2"/>
  <c r="AB21" i="2"/>
  <c r="AD21" i="2" s="1"/>
  <c r="AE21" i="2" s="1"/>
  <c r="E23" i="4" s="1"/>
  <c r="AC20" i="2"/>
  <c r="AB20" i="2"/>
  <c r="AC19" i="2"/>
  <c r="AB19" i="2"/>
  <c r="AD19" i="2" s="1"/>
  <c r="AE19" i="2" s="1"/>
  <c r="E21" i="4" s="1"/>
  <c r="AC18" i="2"/>
  <c r="AB18" i="2"/>
  <c r="AD17" i="2"/>
  <c r="AE17" i="2" s="1"/>
  <c r="E19" i="4" s="1"/>
  <c r="AC17" i="2"/>
  <c r="AB17" i="2"/>
  <c r="AC16" i="2"/>
  <c r="AB16" i="2"/>
  <c r="AC15" i="2"/>
  <c r="AB15" i="2"/>
  <c r="AD15" i="2" s="1"/>
  <c r="AE15" i="2" s="1"/>
  <c r="E17" i="4" s="1"/>
  <c r="AC14" i="2"/>
  <c r="AB14" i="2"/>
  <c r="AC13" i="2"/>
  <c r="AB13" i="2"/>
  <c r="AC12" i="2"/>
  <c r="AB12" i="2"/>
  <c r="AW91" i="1"/>
  <c r="AV91" i="1"/>
  <c r="AU91" i="1"/>
  <c r="AT91" i="1"/>
  <c r="AS91" i="1"/>
  <c r="AR91" i="1"/>
  <c r="AQ91" i="1"/>
  <c r="AP91" i="1"/>
  <c r="AY90" i="1"/>
  <c r="AX90" i="1"/>
  <c r="AY89" i="1"/>
  <c r="AX89" i="1"/>
  <c r="AY88" i="1"/>
  <c r="AX88" i="1"/>
  <c r="AY87" i="1"/>
  <c r="AX87" i="1"/>
  <c r="AY86" i="1"/>
  <c r="AX86" i="1"/>
  <c r="AY85" i="1"/>
  <c r="AX85" i="1"/>
  <c r="AY84" i="1"/>
  <c r="AX84" i="1"/>
  <c r="AY83" i="1"/>
  <c r="AX83" i="1"/>
  <c r="AY82" i="1"/>
  <c r="AX82" i="1"/>
  <c r="AY81" i="1"/>
  <c r="AX81" i="1"/>
  <c r="AY80" i="1"/>
  <c r="AX80" i="1"/>
  <c r="AY79" i="1"/>
  <c r="AX79" i="1"/>
  <c r="AY78" i="1"/>
  <c r="AX78" i="1"/>
  <c r="AY77" i="1"/>
  <c r="AX77" i="1"/>
  <c r="AY76" i="1"/>
  <c r="AX76" i="1"/>
  <c r="AY75" i="1"/>
  <c r="AX75" i="1"/>
  <c r="AY74" i="1"/>
  <c r="AX74" i="1"/>
  <c r="AY73" i="1"/>
  <c r="AX73" i="1"/>
  <c r="AY72" i="1"/>
  <c r="AX72" i="1"/>
  <c r="AY71" i="1"/>
  <c r="AX71" i="1"/>
  <c r="AY70" i="1"/>
  <c r="AX70" i="1"/>
  <c r="AY69" i="1"/>
  <c r="AX69" i="1"/>
  <c r="AY68" i="1"/>
  <c r="AX68" i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57" i="1"/>
  <c r="AX57" i="1"/>
  <c r="AY56" i="1"/>
  <c r="AX56" i="1"/>
  <c r="AY55" i="1"/>
  <c r="AX55" i="1"/>
  <c r="AY54" i="1"/>
  <c r="AX54" i="1"/>
  <c r="AY53" i="1"/>
  <c r="AX53" i="1"/>
  <c r="AY52" i="1"/>
  <c r="AX52" i="1"/>
  <c r="AY51" i="1"/>
  <c r="AX51" i="1"/>
  <c r="AY50" i="1"/>
  <c r="AX50" i="1"/>
  <c r="AY49" i="1"/>
  <c r="AX49" i="1"/>
  <c r="AY48" i="1"/>
  <c r="AX48" i="1"/>
  <c r="AY47" i="1"/>
  <c r="AX47" i="1"/>
  <c r="AY46" i="1"/>
  <c r="AX46" i="1"/>
  <c r="AY45" i="1"/>
  <c r="AX45" i="1"/>
  <c r="AZ45" i="1" s="1"/>
  <c r="AY44" i="1"/>
  <c r="AX44" i="1"/>
  <c r="AY43" i="1"/>
  <c r="AX43" i="1"/>
  <c r="AY42" i="1"/>
  <c r="AX42" i="1"/>
  <c r="AY41" i="1"/>
  <c r="AX41" i="1"/>
  <c r="AZ41" i="1" s="1"/>
  <c r="AY40" i="1"/>
  <c r="AX40" i="1"/>
  <c r="AY39" i="1"/>
  <c r="AX39" i="1"/>
  <c r="AZ39" i="1" s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Z29" i="1" s="1"/>
  <c r="AY28" i="1"/>
  <c r="AX28" i="1"/>
  <c r="AY27" i="1"/>
  <c r="AX27" i="1"/>
  <c r="AZ27" i="1" s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Z21" i="1" s="1"/>
  <c r="AY20" i="1"/>
  <c r="AX20" i="1"/>
  <c r="AZ20" i="1" s="1"/>
  <c r="BA20" i="1" s="1"/>
  <c r="D22" i="4" s="1"/>
  <c r="AY19" i="1"/>
  <c r="AX19" i="1"/>
  <c r="AZ19" i="1" s="1"/>
  <c r="AY18" i="1"/>
  <c r="AX18" i="1"/>
  <c r="AZ18" i="1" s="1"/>
  <c r="BA18" i="1" s="1"/>
  <c r="D20" i="4" s="1"/>
  <c r="AY17" i="1"/>
  <c r="AX17" i="1"/>
  <c r="AZ17" i="1" s="1"/>
  <c r="AY16" i="1"/>
  <c r="AX16" i="1"/>
  <c r="AZ15" i="1"/>
  <c r="AY15" i="1"/>
  <c r="AX15" i="1"/>
  <c r="AY14" i="1"/>
  <c r="AX14" i="1"/>
  <c r="AZ14" i="1" s="1"/>
  <c r="BA14" i="1" s="1"/>
  <c r="D16" i="4" s="1"/>
  <c r="AY13" i="1"/>
  <c r="AX13" i="1"/>
  <c r="AY12" i="1"/>
  <c r="AX12" i="1"/>
  <c r="AZ12" i="1" s="1"/>
  <c r="BA12" i="1" s="1"/>
  <c r="D14" i="4" s="1"/>
  <c r="W44" i="3" l="1"/>
  <c r="X44" i="3" s="1"/>
  <c r="E86" i="4" s="1"/>
  <c r="AD18" i="2"/>
  <c r="AE18" i="2" s="1"/>
  <c r="E20" i="4" s="1"/>
  <c r="AZ23" i="1"/>
  <c r="AZ49" i="1"/>
  <c r="AD28" i="2"/>
  <c r="AE28" i="2" s="1"/>
  <c r="E30" i="4" s="1"/>
  <c r="AD46" i="2"/>
  <c r="AE46" i="2" s="1"/>
  <c r="E48" i="4" s="1"/>
  <c r="AD20" i="2"/>
  <c r="AE20" i="2" s="1"/>
  <c r="E22" i="4" s="1"/>
  <c r="AD38" i="2"/>
  <c r="AE38" i="2" s="1"/>
  <c r="E40" i="4" s="1"/>
  <c r="AD12" i="2"/>
  <c r="AE12" i="2" s="1"/>
  <c r="E14" i="4" s="1"/>
  <c r="F14" i="4" s="1"/>
  <c r="X20" i="3"/>
  <c r="E62" i="4" s="1"/>
  <c r="X40" i="3"/>
  <c r="E82" i="4" s="1"/>
  <c r="AD30" i="2"/>
  <c r="AE30" i="2" s="1"/>
  <c r="E32" i="4" s="1"/>
  <c r="AD48" i="2"/>
  <c r="AE48" i="2" s="1"/>
  <c r="E50" i="4" s="1"/>
  <c r="AD22" i="2"/>
  <c r="AE22" i="2" s="1"/>
  <c r="E24" i="4" s="1"/>
  <c r="BA13" i="1"/>
  <c r="D15" i="4" s="1"/>
  <c r="AD14" i="2"/>
  <c r="AE14" i="2" s="1"/>
  <c r="E16" i="4" s="1"/>
  <c r="F16" i="4" s="1"/>
  <c r="X42" i="3"/>
  <c r="E84" i="4" s="1"/>
  <c r="AD32" i="2"/>
  <c r="AE32" i="2" s="1"/>
  <c r="E34" i="4" s="1"/>
  <c r="AD24" i="2"/>
  <c r="AE24" i="2" s="1"/>
  <c r="E26" i="4" s="1"/>
  <c r="BA15" i="1"/>
  <c r="D17" i="4" s="1"/>
  <c r="F17" i="4" s="1"/>
  <c r="AD42" i="2"/>
  <c r="AE42" i="2" s="1"/>
  <c r="E44" i="4" s="1"/>
  <c r="X14" i="3"/>
  <c r="E56" i="4" s="1"/>
  <c r="AZ24" i="1"/>
  <c r="AZ35" i="1"/>
  <c r="AD16" i="2"/>
  <c r="AE16" i="2" s="1"/>
  <c r="E18" i="4" s="1"/>
  <c r="BA17" i="1"/>
  <c r="D19" i="4" s="1"/>
  <c r="F19" i="4" s="1"/>
  <c r="AD44" i="2"/>
  <c r="AE44" i="2" s="1"/>
  <c r="E46" i="4" s="1"/>
  <c r="AD36" i="2"/>
  <c r="AE36" i="2" s="1"/>
  <c r="E38" i="4" s="1"/>
  <c r="F20" i="4"/>
  <c r="BA19" i="1"/>
  <c r="D21" i="4" s="1"/>
  <c r="F21" i="4" s="1"/>
  <c r="F22" i="4"/>
  <c r="X30" i="3"/>
  <c r="E72" i="4" s="1"/>
  <c r="AD13" i="2"/>
  <c r="AE13" i="2" s="1"/>
  <c r="E15" i="4" s="1"/>
  <c r="AD40" i="2"/>
  <c r="AE40" i="2" s="1"/>
  <c r="E42" i="4" s="1"/>
  <c r="AZ13" i="1"/>
  <c r="AZ33" i="1"/>
  <c r="BA33" i="1" s="1"/>
  <c r="D35" i="4" s="1"/>
  <c r="F35" i="4" s="1"/>
  <c r="AD50" i="2"/>
  <c r="AE50" i="2" s="1"/>
  <c r="E52" i="4" s="1"/>
  <c r="AZ16" i="1"/>
  <c r="BA16" i="1" s="1"/>
  <c r="D18" i="4" s="1"/>
  <c r="F18" i="4" s="1"/>
  <c r="W16" i="3"/>
  <c r="X16" i="3" s="1"/>
  <c r="E58" i="4" s="1"/>
  <c r="W46" i="3"/>
  <c r="X46" i="3" s="1"/>
  <c r="E88" i="4" s="1"/>
  <c r="BA21" i="1"/>
  <c r="D23" i="4" s="1"/>
  <c r="F23" i="4" s="1"/>
  <c r="BA39" i="1"/>
  <c r="D41" i="4" s="1"/>
  <c r="F41" i="4" s="1"/>
  <c r="AZ42" i="1"/>
  <c r="BA42" i="1" s="1"/>
  <c r="D44" i="4" s="1"/>
  <c r="AZ52" i="1"/>
  <c r="BA52" i="1" s="1"/>
  <c r="D54" i="4" s="1"/>
  <c r="F54" i="4" s="1"/>
  <c r="AZ56" i="1"/>
  <c r="BA56" i="1" s="1"/>
  <c r="D58" i="4" s="1"/>
  <c r="AZ60" i="1"/>
  <c r="BA60" i="1" s="1"/>
  <c r="D62" i="4" s="1"/>
  <c r="AZ64" i="1"/>
  <c r="BA64" i="1" s="1"/>
  <c r="D66" i="4" s="1"/>
  <c r="F66" i="4" s="1"/>
  <c r="AZ68" i="1"/>
  <c r="BA68" i="1" s="1"/>
  <c r="D70" i="4" s="1"/>
  <c r="F70" i="4" s="1"/>
  <c r="AZ72" i="1"/>
  <c r="BA72" i="1" s="1"/>
  <c r="D74" i="4" s="1"/>
  <c r="F74" i="4" s="1"/>
  <c r="AZ76" i="1"/>
  <c r="BA76" i="1" s="1"/>
  <c r="D78" i="4" s="1"/>
  <c r="F78" i="4" s="1"/>
  <c r="AZ80" i="1"/>
  <c r="BA80" i="1" s="1"/>
  <c r="D82" i="4" s="1"/>
  <c r="AZ84" i="1"/>
  <c r="BA84" i="1" s="1"/>
  <c r="D86" i="4" s="1"/>
  <c r="F86" i="4" s="1"/>
  <c r="AZ32" i="1"/>
  <c r="BA32" i="1" s="1"/>
  <c r="D34" i="4" s="1"/>
  <c r="BA24" i="1"/>
  <c r="D26" i="4" s="1"/>
  <c r="AZ26" i="1"/>
  <c r="BA26" i="1" s="1"/>
  <c r="D28" i="4" s="1"/>
  <c r="F28" i="4" s="1"/>
  <c r="AZ36" i="1"/>
  <c r="BA36" i="1" s="1"/>
  <c r="D38" i="4" s="1"/>
  <c r="F38" i="4" s="1"/>
  <c r="BA49" i="1"/>
  <c r="D51" i="4" s="1"/>
  <c r="F51" i="4" s="1"/>
  <c r="X41" i="3"/>
  <c r="E83" i="4" s="1"/>
  <c r="AZ30" i="1"/>
  <c r="BA30" i="1" s="1"/>
  <c r="D32" i="4" s="1"/>
  <c r="F32" i="4" s="1"/>
  <c r="AZ69" i="1"/>
  <c r="BA69" i="1" s="1"/>
  <c r="D71" i="4" s="1"/>
  <c r="AZ73" i="1"/>
  <c r="BA73" i="1" s="1"/>
  <c r="D75" i="4" s="1"/>
  <c r="AZ77" i="1"/>
  <c r="BA77" i="1" s="1"/>
  <c r="D79" i="4" s="1"/>
  <c r="AZ81" i="1"/>
  <c r="BA81" i="1" s="1"/>
  <c r="D83" i="4" s="1"/>
  <c r="F83" i="4" s="1"/>
  <c r="AZ85" i="1"/>
  <c r="BA85" i="1" s="1"/>
  <c r="D87" i="4" s="1"/>
  <c r="AZ48" i="1"/>
  <c r="BA48" i="1" s="1"/>
  <c r="D50" i="4" s="1"/>
  <c r="F50" i="4" s="1"/>
  <c r="AZ57" i="1"/>
  <c r="BA57" i="1" s="1"/>
  <c r="D59" i="4" s="1"/>
  <c r="AZ65" i="1"/>
  <c r="BA65" i="1" s="1"/>
  <c r="D67" i="4" s="1"/>
  <c r="AZ40" i="1"/>
  <c r="BA40" i="1" s="1"/>
  <c r="D42" i="4" s="1"/>
  <c r="BA29" i="1"/>
  <c r="D31" i="4" s="1"/>
  <c r="F31" i="4" s="1"/>
  <c r="AZ53" i="1"/>
  <c r="BA53" i="1" s="1"/>
  <c r="D55" i="4" s="1"/>
  <c r="AZ34" i="1"/>
  <c r="BA34" i="1" s="1"/>
  <c r="D36" i="4" s="1"/>
  <c r="F36" i="4" s="1"/>
  <c r="AZ43" i="1"/>
  <c r="BA43" i="1" s="1"/>
  <c r="D45" i="4" s="1"/>
  <c r="F45" i="4" s="1"/>
  <c r="AZ50" i="1"/>
  <c r="BA50" i="1" s="1"/>
  <c r="D52" i="4" s="1"/>
  <c r="AZ54" i="1"/>
  <c r="BA54" i="1" s="1"/>
  <c r="D56" i="4" s="1"/>
  <c r="F56" i="4" s="1"/>
  <c r="AZ58" i="1"/>
  <c r="BA58" i="1" s="1"/>
  <c r="D60" i="4" s="1"/>
  <c r="F60" i="4" s="1"/>
  <c r="AZ62" i="1"/>
  <c r="BA62" i="1" s="1"/>
  <c r="D64" i="4" s="1"/>
  <c r="F64" i="4" s="1"/>
  <c r="AZ66" i="1"/>
  <c r="BA66" i="1" s="1"/>
  <c r="D68" i="4" s="1"/>
  <c r="F68" i="4" s="1"/>
  <c r="AZ70" i="1"/>
  <c r="BA70" i="1" s="1"/>
  <c r="D72" i="4" s="1"/>
  <c r="F72" i="4" s="1"/>
  <c r="AZ74" i="1"/>
  <c r="BA74" i="1" s="1"/>
  <c r="D76" i="4" s="1"/>
  <c r="F76" i="4" s="1"/>
  <c r="AZ78" i="1"/>
  <c r="BA78" i="1" s="1"/>
  <c r="D80" i="4" s="1"/>
  <c r="F80" i="4" s="1"/>
  <c r="AZ82" i="1"/>
  <c r="BA82" i="1" s="1"/>
  <c r="D84" i="4" s="1"/>
  <c r="F84" i="4" s="1"/>
  <c r="AZ86" i="1"/>
  <c r="BA86" i="1" s="1"/>
  <c r="D88" i="4" s="1"/>
  <c r="F88" i="4" s="1"/>
  <c r="BA45" i="1"/>
  <c r="D47" i="4" s="1"/>
  <c r="F47" i="4" s="1"/>
  <c r="BA27" i="1"/>
  <c r="D29" i="4" s="1"/>
  <c r="F29" i="4" s="1"/>
  <c r="AZ46" i="1"/>
  <c r="BA46" i="1" s="1"/>
  <c r="D48" i="4" s="1"/>
  <c r="F48" i="4" s="1"/>
  <c r="AZ61" i="1"/>
  <c r="BA61" i="1" s="1"/>
  <c r="D63" i="4" s="1"/>
  <c r="AZ37" i="1"/>
  <c r="BA37" i="1" s="1"/>
  <c r="D39" i="4" s="1"/>
  <c r="F39" i="4" s="1"/>
  <c r="BA41" i="1"/>
  <c r="D43" i="4" s="1"/>
  <c r="F43" i="4" s="1"/>
  <c r="AZ44" i="1"/>
  <c r="BA44" i="1" s="1"/>
  <c r="D46" i="4" s="1"/>
  <c r="F46" i="4" s="1"/>
  <c r="X17" i="3"/>
  <c r="E59" i="4" s="1"/>
  <c r="AZ22" i="1"/>
  <c r="BA22" i="1" s="1"/>
  <c r="D24" i="4" s="1"/>
  <c r="AZ28" i="1"/>
  <c r="BA28" i="1" s="1"/>
  <c r="D30" i="4" s="1"/>
  <c r="F30" i="4" s="1"/>
  <c r="BA23" i="1"/>
  <c r="D25" i="4" s="1"/>
  <c r="F25" i="4" s="1"/>
  <c r="AZ25" i="1"/>
  <c r="BA25" i="1" s="1"/>
  <c r="D27" i="4" s="1"/>
  <c r="F27" i="4" s="1"/>
  <c r="AZ31" i="1"/>
  <c r="BA31" i="1" s="1"/>
  <c r="D33" i="4" s="1"/>
  <c r="F33" i="4" s="1"/>
  <c r="BA35" i="1"/>
  <c r="D37" i="4" s="1"/>
  <c r="F37" i="4" s="1"/>
  <c r="AZ38" i="1"/>
  <c r="BA38" i="1" s="1"/>
  <c r="D40" i="4" s="1"/>
  <c r="F40" i="4" s="1"/>
  <c r="AZ47" i="1"/>
  <c r="BA47" i="1" s="1"/>
  <c r="D49" i="4" s="1"/>
  <c r="F49" i="4" s="1"/>
  <c r="AZ51" i="1"/>
  <c r="BA51" i="1" s="1"/>
  <c r="D53" i="4" s="1"/>
  <c r="F53" i="4" s="1"/>
  <c r="AZ55" i="1"/>
  <c r="BA55" i="1" s="1"/>
  <c r="D57" i="4" s="1"/>
  <c r="AZ59" i="1"/>
  <c r="BA59" i="1" s="1"/>
  <c r="D61" i="4" s="1"/>
  <c r="BA63" i="1"/>
  <c r="D65" i="4" s="1"/>
  <c r="AZ63" i="1"/>
  <c r="AZ67" i="1"/>
  <c r="BA67" i="1" s="1"/>
  <c r="D69" i="4" s="1"/>
  <c r="AZ71" i="1"/>
  <c r="BA71" i="1" s="1"/>
  <c r="D73" i="4" s="1"/>
  <c r="AZ75" i="1"/>
  <c r="BA75" i="1" s="1"/>
  <c r="D77" i="4" s="1"/>
  <c r="AZ79" i="1"/>
  <c r="BA79" i="1" s="1"/>
  <c r="D81" i="4" s="1"/>
  <c r="AZ83" i="1"/>
  <c r="BA83" i="1" s="1"/>
  <c r="D85" i="4" s="1"/>
  <c r="W13" i="3"/>
  <c r="X13" i="3" s="1"/>
  <c r="E55" i="4" s="1"/>
  <c r="W15" i="3"/>
  <c r="X15" i="3" s="1"/>
  <c r="E57" i="4" s="1"/>
  <c r="W17" i="3"/>
  <c r="W19" i="3"/>
  <c r="X19" i="3" s="1"/>
  <c r="E61" i="4" s="1"/>
  <c r="W21" i="3"/>
  <c r="X21" i="3" s="1"/>
  <c r="E63" i="4" s="1"/>
  <c r="W23" i="3"/>
  <c r="X23" i="3" s="1"/>
  <c r="E65" i="4" s="1"/>
  <c r="W25" i="3"/>
  <c r="X25" i="3" s="1"/>
  <c r="E67" i="4" s="1"/>
  <c r="W27" i="3"/>
  <c r="X27" i="3" s="1"/>
  <c r="E69" i="4" s="1"/>
  <c r="W29" i="3"/>
  <c r="X29" i="3" s="1"/>
  <c r="E71" i="4" s="1"/>
  <c r="W31" i="3"/>
  <c r="X31" i="3" s="1"/>
  <c r="E73" i="4" s="1"/>
  <c r="W33" i="3"/>
  <c r="X33" i="3" s="1"/>
  <c r="E75" i="4" s="1"/>
  <c r="W35" i="3"/>
  <c r="X35" i="3" s="1"/>
  <c r="E77" i="4" s="1"/>
  <c r="W37" i="3"/>
  <c r="X37" i="3" s="1"/>
  <c r="E79" i="4" s="1"/>
  <c r="W39" i="3"/>
  <c r="X39" i="3" s="1"/>
  <c r="E81" i="4" s="1"/>
  <c r="W41" i="3"/>
  <c r="W43" i="3"/>
  <c r="X43" i="3" s="1"/>
  <c r="E85" i="4" s="1"/>
  <c r="W45" i="3"/>
  <c r="X45" i="3" s="1"/>
  <c r="E87" i="4" s="1"/>
  <c r="W47" i="3"/>
  <c r="X47" i="3" s="1"/>
  <c r="E89" i="4" s="1"/>
  <c r="W49" i="3"/>
  <c r="X49" i="3" s="1"/>
  <c r="E91" i="4" s="1"/>
  <c r="AZ88" i="1"/>
  <c r="BA88" i="1" s="1"/>
  <c r="D90" i="4" s="1"/>
  <c r="F90" i="4" s="1"/>
  <c r="AZ90" i="1"/>
  <c r="BA90" i="1" s="1"/>
  <c r="D92" i="4" s="1"/>
  <c r="F92" i="4" s="1"/>
  <c r="AZ87" i="1"/>
  <c r="BA87" i="1" s="1"/>
  <c r="D89" i="4" s="1"/>
  <c r="AZ89" i="1"/>
  <c r="BA89" i="1" s="1"/>
  <c r="D91" i="4" s="1"/>
  <c r="F15" i="4" l="1"/>
  <c r="F24" i="4"/>
  <c r="F34" i="4"/>
  <c r="F52" i="4"/>
  <c r="F26" i="4"/>
  <c r="F82" i="4"/>
  <c r="F42" i="4"/>
  <c r="F77" i="4"/>
  <c r="F59" i="4"/>
  <c r="F62" i="4"/>
  <c r="F73" i="4"/>
  <c r="F58" i="4"/>
  <c r="F44" i="4"/>
  <c r="F79" i="4"/>
  <c r="F69" i="4"/>
  <c r="F75" i="4"/>
  <c r="F67" i="4"/>
  <c r="F71" i="4"/>
  <c r="F85" i="4"/>
  <c r="F61" i="4"/>
  <c r="F63" i="4"/>
  <c r="F91" i="4"/>
  <c r="F89" i="4"/>
  <c r="F57" i="4"/>
  <c r="F55" i="4"/>
  <c r="F87" i="4"/>
  <c r="F65" i="4"/>
  <c r="F81" i="4"/>
</calcChain>
</file>

<file path=xl/sharedStrings.xml><?xml version="1.0" encoding="utf-8"?>
<sst xmlns="http://schemas.openxmlformats.org/spreadsheetml/2006/main" count="5282" uniqueCount="184">
  <si>
    <t>Indian Institute of Information Technology (IIIT), Surat</t>
  </si>
  <si>
    <t>Computer Science and Engineering Department</t>
  </si>
  <si>
    <t>B.Tech - II Semester - III</t>
  </si>
  <si>
    <t>Subject Name: PPS</t>
  </si>
  <si>
    <t xml:space="preserve">Subject Coordinator: </t>
  </si>
  <si>
    <t>Faculty Name:  Trupti Gondaliya</t>
  </si>
  <si>
    <t>Academic Year: July 2025 - December 2025</t>
  </si>
  <si>
    <t>July</t>
  </si>
  <si>
    <t>Aug</t>
  </si>
  <si>
    <t>Sep</t>
  </si>
  <si>
    <t>Oct</t>
  </si>
  <si>
    <t>Nov</t>
  </si>
  <si>
    <t>Total P</t>
  </si>
  <si>
    <t>Total A</t>
  </si>
  <si>
    <t>Total</t>
  </si>
  <si>
    <t>Present</t>
  </si>
  <si>
    <t>Sr. No</t>
  </si>
  <si>
    <t>Enrollment No.</t>
  </si>
  <si>
    <t>Name</t>
  </si>
  <si>
    <t>UI24CS01</t>
  </si>
  <si>
    <t>AADITYA SINGH</t>
  </si>
  <si>
    <t>P</t>
  </si>
  <si>
    <t>A</t>
  </si>
  <si>
    <t>UI24CS02</t>
  </si>
  <si>
    <t>AAKASHSINGH RAMPRAKASH PAWAR</t>
  </si>
  <si>
    <t>UI24CS03</t>
  </si>
  <si>
    <t>AASHI RAJPUT</t>
  </si>
  <si>
    <t>UI24CS04</t>
  </si>
  <si>
    <t>ABHISHEK KUMAR</t>
  </si>
  <si>
    <t>UI24CS05</t>
  </si>
  <si>
    <t>AESHA ASHOK SHARMA</t>
  </si>
  <si>
    <t>UI24CS06</t>
  </si>
  <si>
    <t>AKSHITA SHUKLA</t>
  </si>
  <si>
    <t>UI24CS07</t>
  </si>
  <si>
    <t>AMBALIYA TEJAS ANILBHAI</t>
  </si>
  <si>
    <t>UI24CS08</t>
  </si>
  <si>
    <t>AMLAN MISHRA</t>
  </si>
  <si>
    <t>UI24CS09</t>
  </si>
  <si>
    <t>AMRESH KUMAR</t>
  </si>
  <si>
    <t>UI24CS10</t>
  </si>
  <si>
    <t>ANUJ PATEL</t>
  </si>
  <si>
    <t>UI24CS11</t>
  </si>
  <si>
    <t>ARUN KUMAR</t>
  </si>
  <si>
    <t>UI24CS12</t>
  </si>
  <si>
    <t>BHAVESH KHANDELWAL</t>
  </si>
  <si>
    <t>UI24CS13</t>
  </si>
  <si>
    <t>BHINGARADIYA YAGNIK DIPAKBHAI</t>
  </si>
  <si>
    <t>UI24CS14</t>
  </si>
  <si>
    <t>BHUKYA VIDYA SRI</t>
  </si>
  <si>
    <t>UI24CS15</t>
  </si>
  <si>
    <t>CHAUDHARI RUDRA DHARMESHBHAI</t>
  </si>
  <si>
    <t>UI24CS16</t>
  </si>
  <si>
    <t>CHAUHAN MAITREYA MUKESHBHAI</t>
  </si>
  <si>
    <t>UI24CS17</t>
  </si>
  <si>
    <t>CHOVATIYA RUTVIJKUMAR ATULBHAI</t>
  </si>
  <si>
    <t>UI24CS18</t>
  </si>
  <si>
    <t>DALAL MAHIR KAUSHAL</t>
  </si>
  <si>
    <t>UI24CS19</t>
  </si>
  <si>
    <t>DEEPANK SAGAR</t>
  </si>
  <si>
    <t>UI24CS20</t>
  </si>
  <si>
    <t>DHANASHRI SANJAY JADHAV</t>
  </si>
  <si>
    <t>UI24CS21</t>
  </si>
  <si>
    <t>DHRUVRAJ SINGH</t>
  </si>
  <si>
    <t>UI24CS22</t>
  </si>
  <si>
    <t>DIVYANSHU MEENA</t>
  </si>
  <si>
    <t>UI24CS24</t>
  </si>
  <si>
    <t>DIYORA LAKSH VIJAYBHAI</t>
  </si>
  <si>
    <t>UI24CS25</t>
  </si>
  <si>
    <t>DUDHAT JAIMIN BHARATKUMAR</t>
  </si>
  <si>
    <t>UI24CS26</t>
  </si>
  <si>
    <t>GALA PURVA KALPESH</t>
  </si>
  <si>
    <t>UI24CS27</t>
  </si>
  <si>
    <t>GUNDRATHI SATHWIK GOUD</t>
  </si>
  <si>
    <t>UI24CS28</t>
  </si>
  <si>
    <t>HAPALIYA UDAY ASHOKBHAI</t>
  </si>
  <si>
    <t>UI24CS29</t>
  </si>
  <si>
    <t>HAPANI JEELS NARANBHAI</t>
  </si>
  <si>
    <t>UI24CS30</t>
  </si>
  <si>
    <t>HARSHKUMAR CHAUHAN</t>
  </si>
  <si>
    <t>UI24CS31</t>
  </si>
  <si>
    <t>HEMANSHU AJAY NEMADE</t>
  </si>
  <si>
    <t>UI24CS32</t>
  </si>
  <si>
    <t>JADAV SHANKAR NAYAK</t>
  </si>
  <si>
    <t>UI24CS33</t>
  </si>
  <si>
    <t>JARIWALA MOHAMMED UZAIR MOHAMMED ZUBER</t>
  </si>
  <si>
    <t>UI24CS34</t>
  </si>
  <si>
    <t>JITESH SINGH</t>
  </si>
  <si>
    <t>UI24CS35</t>
  </si>
  <si>
    <t>JUHI AHUJA</t>
  </si>
  <si>
    <t>UI24CS36</t>
  </si>
  <si>
    <t>JYOTI SINGH</t>
  </si>
  <si>
    <t>UI24CS37</t>
  </si>
  <si>
    <t>KACHARIYA KEYUR SURESHBHAI</t>
  </si>
  <si>
    <t>UI24CS38</t>
  </si>
  <si>
    <t>KAJAVADRA OM SHAMBHUBHAI</t>
  </si>
  <si>
    <t>UI24CS39</t>
  </si>
  <si>
    <t>KARDILE RUSHIKESH BHAGCHAND</t>
  </si>
  <si>
    <t>UI24CS41</t>
  </si>
  <si>
    <t>KHUSHAL DHANARAM CHOUDHARY</t>
  </si>
  <si>
    <t>UI24CS42</t>
  </si>
  <si>
    <t>KORRA VAMSHI KUMAR</t>
  </si>
  <si>
    <t>UI24CS44</t>
  </si>
  <si>
    <t>LAKHTARIYA RUDRA ASHISH</t>
  </si>
  <si>
    <t>UI24CS45</t>
  </si>
  <si>
    <t>MAINAM SAHASRA</t>
  </si>
  <si>
    <t>UI24CS46</t>
  </si>
  <si>
    <t>MALLIPUDI VENKAT SUBASH</t>
  </si>
  <si>
    <t>UI24CS47</t>
  </si>
  <si>
    <t>MANAS KAPIL SHARMA</t>
  </si>
  <si>
    <t>UI24CS48</t>
  </si>
  <si>
    <t>MARATHE VAIBHAV ASHOK</t>
  </si>
  <si>
    <t>UI24CS50</t>
  </si>
  <si>
    <t>MUPPALA VENKATA PRAJYESH</t>
  </si>
  <si>
    <t>UI24CS51</t>
  </si>
  <si>
    <t>NIKHIL PANDEY</t>
  </si>
  <si>
    <t>UI24CS52</t>
  </si>
  <si>
    <t>NITYAM DAVE</t>
  </si>
  <si>
    <t>UI24CS53</t>
  </si>
  <si>
    <t>PANDAV RAJ RAMESHBHAI</t>
  </si>
  <si>
    <t>UI24CS54</t>
  </si>
  <si>
    <t>PANDYA RUSHABH BRIJESHBHAI</t>
  </si>
  <si>
    <t>UI24CS55</t>
  </si>
  <si>
    <t>PARMAR NIYOSHI PRAKASHBHAI</t>
  </si>
  <si>
    <t>UI24CS56</t>
  </si>
  <si>
    <t>PARTH ACHARYA</t>
  </si>
  <si>
    <t>UI24CS57</t>
  </si>
  <si>
    <t>PARTH GUPTA</t>
  </si>
  <si>
    <t>UI24CS58</t>
  </si>
  <si>
    <t>PATEL FALAK JAYESHBHAI</t>
  </si>
  <si>
    <t>UI24CS59</t>
  </si>
  <si>
    <t>PATEL RAJ PARESHKUMAR</t>
  </si>
  <si>
    <t>UI24CS60</t>
  </si>
  <si>
    <t>PATEL SHRIMAL MAYURKUMAR</t>
  </si>
  <si>
    <t>UI24CS61</t>
  </si>
  <si>
    <t>PAVAN MEENA</t>
  </si>
  <si>
    <t>UI24CS62</t>
  </si>
  <si>
    <t>PAWAR VIPUL RAYSINGH</t>
  </si>
  <si>
    <t>UI24CS63</t>
  </si>
  <si>
    <t>PIYUSH RAJ</t>
  </si>
  <si>
    <t>UI24CS65</t>
  </si>
  <si>
    <t>PRANAV SOLANKI</t>
  </si>
  <si>
    <t>UI24CS67</t>
  </si>
  <si>
    <t>RACHIT SINGH</t>
  </si>
  <si>
    <t>UI24CS68</t>
  </si>
  <si>
    <t>RAMAN GUPTA</t>
  </si>
  <si>
    <t>UI24CS69</t>
  </si>
  <si>
    <t>RISHIKA CHANTHATI</t>
  </si>
  <si>
    <t>UI24CS70</t>
  </si>
  <si>
    <t>SATASIYA ANSH DINESHBHAI</t>
  </si>
  <si>
    <t>UI24CS71</t>
  </si>
  <si>
    <t>SAURABH</t>
  </si>
  <si>
    <t>UI24CS72</t>
  </si>
  <si>
    <t>SEJANI JAISIDDH LALITBHAI</t>
  </si>
  <si>
    <t>UI24CS73</t>
  </si>
  <si>
    <t>SHIVAY SONKAR</t>
  </si>
  <si>
    <t>UI24CS75</t>
  </si>
  <si>
    <t>SUNIL NAGAR</t>
  </si>
  <si>
    <t>UI24CS76</t>
  </si>
  <si>
    <t>SURAJ KUMAR SINGH</t>
  </si>
  <si>
    <t>UI24CS77</t>
  </si>
  <si>
    <t>TABIYAD JAYKUMAR DINESHKUMAR</t>
  </si>
  <si>
    <t>UI24CS78</t>
  </si>
  <si>
    <t>TINGIRIKAR AVINASH VARDHAN</t>
  </si>
  <si>
    <t>UI24CS79</t>
  </si>
  <si>
    <t>UMRETIYA DHARMIK HITESHBHAI</t>
  </si>
  <si>
    <t>UI24CS80</t>
  </si>
  <si>
    <t>VARDIREDDY NANDA KISHORE REDDY</t>
  </si>
  <si>
    <t>UI24CS81</t>
  </si>
  <si>
    <t>VEKARIA RAJKUMAR HITESHBHAI</t>
  </si>
  <si>
    <t>UI24CS82</t>
  </si>
  <si>
    <t>VIVEK KUMAR</t>
  </si>
  <si>
    <t>UI24CS83</t>
  </si>
  <si>
    <t>WAYAL GAYATRI DILIP</t>
  </si>
  <si>
    <t>UI24CS84</t>
  </si>
  <si>
    <t>YADAV APEKSHAA RAMPRAKASH</t>
  </si>
  <si>
    <t>UI24CS85</t>
  </si>
  <si>
    <t>YOGESH KHINCHI</t>
  </si>
  <si>
    <t>UI24CS86</t>
  </si>
  <si>
    <t>YUVRAJ DHINGRA</t>
  </si>
  <si>
    <t xml:space="preserve">Roll Number </t>
  </si>
  <si>
    <t>Total Present %
Lecture</t>
  </si>
  <si>
    <t>Total Present % Lab</t>
  </si>
  <si>
    <t>Present Percentage (%)</t>
  </si>
  <si>
    <t>Subject Coordinator: Trupti Gondaliya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</si>
</sst>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434343"/>
      <name val="Calibri"/>
    </font>
    <font>
      <sz val="11"/>
      <color rgb="FF70AD47"/>
      <name val="Calibri"/>
    </font>
    <font>
      <b/>
      <sz val="11"/>
      <color rgb="FF70AD47"/>
      <name val="Calibri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/>
    <xf numFmtId="0" fontId="7" fillId="4" borderId="4" xfId="0" applyFont="1" applyFill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5" fillId="0" borderId="4" xfId="0" applyFont="1" applyBorder="1"/>
    <xf numFmtId="0" fontId="4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 vertical="center"/>
    </xf>
    <xf numFmtId="0" fontId="3" fillId="0" borderId="0" xfId="0" applyFont="1"/>
    <xf numFmtId="0" fontId="4" fillId="4" borderId="14" xfId="0" applyFont="1" applyFill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4" fillId="4" borderId="16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3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1" fillId="5" borderId="4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6">
    <dxf>
      <font>
        <b/>
        <color theme="9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9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9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0"/>
  <sheetViews>
    <sheetView topLeftCell="N1" workbookViewId="0">
      <selection sqref="A1:AZ7"/>
    </sheetView>
  </sheetViews>
  <sheetFormatPr defaultColWidth="14.3984375" defaultRowHeight="15" customHeight="1"/>
  <cols>
    <col min="1" max="1" width="8.73046875" customWidth="1"/>
    <col min="2" max="2" width="18.86328125" customWidth="1"/>
    <col min="3" max="3" width="46.73046875" customWidth="1"/>
    <col min="4" max="42" width="3.73046875" customWidth="1"/>
    <col min="43" max="43" width="3.86328125" customWidth="1"/>
    <col min="44" max="49" width="4" customWidth="1"/>
    <col min="50" max="52" width="9.1328125" customWidth="1"/>
    <col min="53" max="53" width="13" customWidth="1"/>
    <col min="54" max="55" width="8.73046875" customWidth="1"/>
  </cols>
  <sheetData>
    <row r="1" spans="1:53" ht="15" customHeigh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50"/>
      <c r="BA1" s="1"/>
    </row>
    <row r="2" spans="1:53" ht="15" customHeight="1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50"/>
      <c r="BA2" s="1"/>
    </row>
    <row r="3" spans="1:53" ht="15" customHeight="1">
      <c r="A3" s="48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50"/>
      <c r="BA3" s="1"/>
    </row>
    <row r="4" spans="1:53" ht="15" customHeight="1">
      <c r="A4" s="48" t="s">
        <v>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50"/>
      <c r="BA4" s="1"/>
    </row>
    <row r="5" spans="1:53" ht="15" customHeight="1">
      <c r="A5" s="48" t="s">
        <v>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50"/>
      <c r="BA5" s="1"/>
    </row>
    <row r="6" spans="1:53" ht="15" customHeight="1">
      <c r="A6" s="48" t="s">
        <v>5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50"/>
      <c r="BA6" s="1"/>
    </row>
    <row r="7" spans="1:53" ht="15" customHeight="1">
      <c r="A7" s="48" t="s">
        <v>6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50"/>
      <c r="BA7" s="1"/>
    </row>
    <row r="8" spans="1:53" ht="14.25"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X8" s="2"/>
      <c r="AY8" s="2"/>
      <c r="AZ8" s="2"/>
      <c r="BA8" s="4"/>
    </row>
    <row r="9" spans="1:53" ht="15" customHeight="1">
      <c r="B9" s="2"/>
      <c r="C9" s="3"/>
      <c r="D9" s="5" t="s">
        <v>7</v>
      </c>
      <c r="E9" s="51" t="s">
        <v>8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50"/>
      <c r="R9" s="51" t="s">
        <v>9</v>
      </c>
      <c r="S9" s="49"/>
      <c r="T9" s="49"/>
      <c r="U9" s="49"/>
      <c r="V9" s="49"/>
      <c r="W9" s="49"/>
      <c r="X9" s="49"/>
      <c r="Y9" s="49"/>
      <c r="Z9" s="49"/>
      <c r="AA9" s="49"/>
      <c r="AB9" s="49"/>
      <c r="AC9" s="50"/>
      <c r="AD9" s="51" t="s">
        <v>10</v>
      </c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51" t="s">
        <v>11</v>
      </c>
      <c r="AR9" s="49"/>
      <c r="AS9" s="49"/>
      <c r="AT9" s="49"/>
      <c r="AU9" s="49"/>
      <c r="AV9" s="49"/>
      <c r="AW9" s="50"/>
      <c r="AX9" s="5" t="s">
        <v>12</v>
      </c>
      <c r="AY9" s="5" t="s">
        <v>13</v>
      </c>
      <c r="AZ9" s="5" t="s">
        <v>14</v>
      </c>
      <c r="BA9" s="5" t="s">
        <v>15</v>
      </c>
    </row>
    <row r="10" spans="1:53" ht="15" customHeight="1">
      <c r="B10" s="2"/>
      <c r="C10" s="3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52"/>
      <c r="AO10" s="53"/>
      <c r="AP10" s="54"/>
      <c r="AQ10" s="52"/>
      <c r="AR10" s="53"/>
      <c r="AS10" s="53"/>
      <c r="AT10" s="53"/>
      <c r="AU10" s="53"/>
      <c r="AV10" s="53"/>
      <c r="AW10" s="54"/>
      <c r="AX10" s="5"/>
      <c r="AY10" s="5"/>
      <c r="AZ10" s="5"/>
      <c r="BA10" s="5"/>
    </row>
    <row r="11" spans="1:53" ht="14.25">
      <c r="A11" s="7" t="s">
        <v>16</v>
      </c>
      <c r="B11" s="8" t="s">
        <v>17</v>
      </c>
      <c r="C11" s="9" t="s">
        <v>18</v>
      </c>
      <c r="D11" s="8">
        <v>31</v>
      </c>
      <c r="E11" s="8">
        <v>1</v>
      </c>
      <c r="F11" s="8">
        <v>4</v>
      </c>
      <c r="G11" s="8">
        <v>7</v>
      </c>
      <c r="H11" s="8">
        <v>8</v>
      </c>
      <c r="I11" s="8">
        <v>11</v>
      </c>
      <c r="J11" s="8">
        <v>14</v>
      </c>
      <c r="K11" s="8">
        <v>15</v>
      </c>
      <c r="L11" s="8">
        <v>18</v>
      </c>
      <c r="M11" s="8">
        <v>21</v>
      </c>
      <c r="N11" s="8">
        <v>22</v>
      </c>
      <c r="O11" s="8">
        <v>25</v>
      </c>
      <c r="P11" s="8">
        <v>28</v>
      </c>
      <c r="Q11" s="8">
        <v>29</v>
      </c>
      <c r="R11" s="8">
        <v>1</v>
      </c>
      <c r="S11" s="8">
        <v>4</v>
      </c>
      <c r="T11" s="8">
        <v>5</v>
      </c>
      <c r="U11" s="8">
        <v>8</v>
      </c>
      <c r="V11" s="8">
        <v>11</v>
      </c>
      <c r="W11" s="8">
        <v>12</v>
      </c>
      <c r="X11" s="8">
        <v>15</v>
      </c>
      <c r="Y11" s="8">
        <v>18</v>
      </c>
      <c r="Z11" s="8">
        <v>19</v>
      </c>
      <c r="AA11" s="8">
        <v>22</v>
      </c>
      <c r="AB11" s="8">
        <v>26</v>
      </c>
      <c r="AC11" s="8">
        <v>29</v>
      </c>
      <c r="AD11" s="8">
        <v>2</v>
      </c>
      <c r="AE11" s="8">
        <v>3</v>
      </c>
      <c r="AF11" s="8">
        <v>6</v>
      </c>
      <c r="AG11" s="8">
        <v>10</v>
      </c>
      <c r="AH11" s="8">
        <v>13</v>
      </c>
      <c r="AI11" s="8">
        <v>16</v>
      </c>
      <c r="AJ11" s="8">
        <v>17</v>
      </c>
      <c r="AK11" s="8">
        <v>20</v>
      </c>
      <c r="AL11" s="8">
        <v>23</v>
      </c>
      <c r="AM11" s="8">
        <v>24</v>
      </c>
      <c r="AN11" s="8">
        <v>27</v>
      </c>
      <c r="AO11" s="8">
        <v>30</v>
      </c>
      <c r="AP11" s="8">
        <v>31</v>
      </c>
      <c r="AQ11" s="8">
        <v>7</v>
      </c>
      <c r="AR11" s="7">
        <v>13</v>
      </c>
      <c r="AS11" s="7">
        <v>14</v>
      </c>
      <c r="AT11" s="7">
        <v>17</v>
      </c>
      <c r="AU11" s="7">
        <v>21</v>
      </c>
      <c r="AV11" s="7">
        <v>21</v>
      </c>
      <c r="AW11" s="7"/>
      <c r="AX11" s="8"/>
      <c r="AY11" s="8"/>
      <c r="AZ11" s="8"/>
      <c r="BA11" s="10"/>
    </row>
    <row r="12" spans="1:53" ht="14.25">
      <c r="A12" s="11">
        <v>1</v>
      </c>
      <c r="B12" s="12" t="s">
        <v>19</v>
      </c>
      <c r="C12" s="13" t="s">
        <v>20</v>
      </c>
      <c r="D12" s="11" t="s">
        <v>21</v>
      </c>
      <c r="E12" s="11" t="s">
        <v>21</v>
      </c>
      <c r="F12" s="11" t="s">
        <v>21</v>
      </c>
      <c r="G12" s="11" t="s">
        <v>21</v>
      </c>
      <c r="H12" s="11" t="s">
        <v>21</v>
      </c>
      <c r="I12" s="14" t="s">
        <v>22</v>
      </c>
      <c r="J12" s="11" t="s">
        <v>21</v>
      </c>
      <c r="K12" s="11" t="s">
        <v>21</v>
      </c>
      <c r="L12" s="11" t="s">
        <v>21</v>
      </c>
      <c r="M12" s="14" t="s">
        <v>22</v>
      </c>
      <c r="N12" s="11" t="s">
        <v>21</v>
      </c>
      <c r="O12" s="11" t="s">
        <v>21</v>
      </c>
      <c r="P12" s="11" t="s">
        <v>21</v>
      </c>
      <c r="Q12" s="11" t="s">
        <v>21</v>
      </c>
      <c r="R12" s="11" t="s">
        <v>21</v>
      </c>
      <c r="S12" s="11" t="s">
        <v>21</v>
      </c>
      <c r="T12" s="14" t="s">
        <v>22</v>
      </c>
      <c r="U12" s="11" t="s">
        <v>21</v>
      </c>
      <c r="V12" s="11" t="s">
        <v>21</v>
      </c>
      <c r="W12" s="11" t="s">
        <v>21</v>
      </c>
      <c r="X12" s="11" t="s">
        <v>21</v>
      </c>
      <c r="Y12" s="11" t="s">
        <v>21</v>
      </c>
      <c r="Z12" s="14" t="s">
        <v>22</v>
      </c>
      <c r="AA12" s="11" t="s">
        <v>21</v>
      </c>
      <c r="AB12" s="11" t="s">
        <v>21</v>
      </c>
      <c r="AC12" s="11" t="s">
        <v>21</v>
      </c>
      <c r="AD12" s="11" t="s">
        <v>21</v>
      </c>
      <c r="AE12" s="11" t="s">
        <v>21</v>
      </c>
      <c r="AF12" s="11" t="s">
        <v>21</v>
      </c>
      <c r="AG12" s="11" t="s">
        <v>21</v>
      </c>
      <c r="AH12" s="11" t="s">
        <v>21</v>
      </c>
      <c r="AI12" s="11" t="s">
        <v>21</v>
      </c>
      <c r="AJ12" s="11" t="s">
        <v>21</v>
      </c>
      <c r="AK12" s="11" t="s">
        <v>21</v>
      </c>
      <c r="AL12" s="11" t="s">
        <v>21</v>
      </c>
      <c r="AM12" s="11" t="s">
        <v>21</v>
      </c>
      <c r="AN12" s="11" t="s">
        <v>21</v>
      </c>
      <c r="AO12" s="11" t="s">
        <v>21</v>
      </c>
      <c r="AP12" s="11" t="s">
        <v>22</v>
      </c>
      <c r="AQ12" s="15" t="s">
        <v>21</v>
      </c>
      <c r="AR12" s="15" t="s">
        <v>21</v>
      </c>
      <c r="AS12" s="15" t="s">
        <v>21</v>
      </c>
      <c r="AT12" s="15" t="s">
        <v>21</v>
      </c>
      <c r="AU12" s="15" t="s">
        <v>21</v>
      </c>
      <c r="AV12" s="11" t="s">
        <v>22</v>
      </c>
      <c r="AW12" s="16"/>
      <c r="AX12" s="17">
        <f t="shared" ref="AX12:AX90" si="0">COUNTIF(D12:AW12, "*P*")</f>
        <v>39</v>
      </c>
      <c r="AY12" s="17">
        <f t="shared" ref="AY12:AY90" si="1">COUNTIF(D12:AW12, "*A*")</f>
        <v>6</v>
      </c>
      <c r="AZ12" s="17">
        <f t="shared" ref="AZ12:AZ90" si="2">SUM(AX12,AY12)</f>
        <v>45</v>
      </c>
      <c r="BA12" s="18">
        <f t="shared" ref="BA12:BA90" si="3">(AX12/AZ12)*100</f>
        <v>86.666666666666671</v>
      </c>
    </row>
    <row r="13" spans="1:53" ht="14.25">
      <c r="A13" s="11">
        <v>2</v>
      </c>
      <c r="B13" s="19" t="s">
        <v>23</v>
      </c>
      <c r="C13" s="20" t="s">
        <v>24</v>
      </c>
      <c r="D13" s="11" t="s">
        <v>21</v>
      </c>
      <c r="E13" s="11" t="s">
        <v>21</v>
      </c>
      <c r="F13" s="11" t="s">
        <v>21</v>
      </c>
      <c r="G13" s="11" t="s">
        <v>21</v>
      </c>
      <c r="H13" s="11" t="s">
        <v>21</v>
      </c>
      <c r="I13" s="11" t="s">
        <v>21</v>
      </c>
      <c r="J13" s="11" t="s">
        <v>21</v>
      </c>
      <c r="K13" s="11" t="s">
        <v>21</v>
      </c>
      <c r="L13" s="11" t="s">
        <v>21</v>
      </c>
      <c r="M13" s="11" t="s">
        <v>21</v>
      </c>
      <c r="N13" s="14" t="s">
        <v>22</v>
      </c>
      <c r="O13" s="11" t="s">
        <v>21</v>
      </c>
      <c r="P13" s="11" t="s">
        <v>21</v>
      </c>
      <c r="Q13" s="11" t="s">
        <v>21</v>
      </c>
      <c r="R13" s="11" t="s">
        <v>21</v>
      </c>
      <c r="S13" s="11" t="s">
        <v>21</v>
      </c>
      <c r="T13" s="11" t="s">
        <v>21</v>
      </c>
      <c r="U13" s="11" t="s">
        <v>21</v>
      </c>
      <c r="V13" s="11" t="s">
        <v>21</v>
      </c>
      <c r="W13" s="11" t="s">
        <v>21</v>
      </c>
      <c r="X13" s="11" t="s">
        <v>21</v>
      </c>
      <c r="Y13" s="11" t="s">
        <v>21</v>
      </c>
      <c r="Z13" s="14" t="s">
        <v>22</v>
      </c>
      <c r="AA13" s="11" t="s">
        <v>21</v>
      </c>
      <c r="AB13" s="11" t="s">
        <v>21</v>
      </c>
      <c r="AC13" s="11" t="s">
        <v>21</v>
      </c>
      <c r="AD13" s="11" t="s">
        <v>21</v>
      </c>
      <c r="AE13" s="11" t="s">
        <v>21</v>
      </c>
      <c r="AF13" s="11" t="s">
        <v>21</v>
      </c>
      <c r="AG13" s="11" t="s">
        <v>21</v>
      </c>
      <c r="AH13" s="11" t="s">
        <v>21</v>
      </c>
      <c r="AI13" s="11" t="s">
        <v>21</v>
      </c>
      <c r="AJ13" s="11" t="s">
        <v>21</v>
      </c>
      <c r="AK13" s="11" t="s">
        <v>21</v>
      </c>
      <c r="AL13" s="11" t="s">
        <v>21</v>
      </c>
      <c r="AM13" s="11" t="s">
        <v>21</v>
      </c>
      <c r="AN13" s="11" t="s">
        <v>21</v>
      </c>
      <c r="AO13" s="11" t="s">
        <v>21</v>
      </c>
      <c r="AP13" s="11" t="s">
        <v>21</v>
      </c>
      <c r="AQ13" s="11" t="s">
        <v>22</v>
      </c>
      <c r="AR13" s="15" t="s">
        <v>21</v>
      </c>
      <c r="AS13" s="11" t="s">
        <v>22</v>
      </c>
      <c r="AT13" s="15" t="s">
        <v>21</v>
      </c>
      <c r="AU13" s="15" t="s">
        <v>21</v>
      </c>
      <c r="AV13" s="11" t="s">
        <v>22</v>
      </c>
      <c r="AW13" s="16"/>
      <c r="AX13" s="17">
        <f t="shared" si="0"/>
        <v>40</v>
      </c>
      <c r="AY13" s="17">
        <f t="shared" si="1"/>
        <v>5</v>
      </c>
      <c r="AZ13" s="17">
        <f t="shared" si="2"/>
        <v>45</v>
      </c>
      <c r="BA13" s="18">
        <f t="shared" si="3"/>
        <v>88.888888888888886</v>
      </c>
    </row>
    <row r="14" spans="1:53" ht="14.25">
      <c r="A14" s="11">
        <v>3</v>
      </c>
      <c r="B14" s="19" t="s">
        <v>25</v>
      </c>
      <c r="C14" s="20" t="s">
        <v>26</v>
      </c>
      <c r="D14" s="11" t="s">
        <v>21</v>
      </c>
      <c r="E14" s="11" t="s">
        <v>21</v>
      </c>
      <c r="F14" s="11" t="s">
        <v>21</v>
      </c>
      <c r="G14" s="11" t="s">
        <v>21</v>
      </c>
      <c r="H14" s="11" t="s">
        <v>21</v>
      </c>
      <c r="I14" s="11" t="s">
        <v>21</v>
      </c>
      <c r="J14" s="11" t="s">
        <v>21</v>
      </c>
      <c r="K14" s="11" t="s">
        <v>21</v>
      </c>
      <c r="L14" s="11" t="s">
        <v>21</v>
      </c>
      <c r="M14" s="11" t="s">
        <v>21</v>
      </c>
      <c r="N14" s="11" t="s">
        <v>21</v>
      </c>
      <c r="O14" s="11" t="s">
        <v>21</v>
      </c>
      <c r="P14" s="11" t="s">
        <v>21</v>
      </c>
      <c r="Q14" s="14" t="s">
        <v>22</v>
      </c>
      <c r="R14" s="11" t="s">
        <v>21</v>
      </c>
      <c r="S14" s="11" t="s">
        <v>21</v>
      </c>
      <c r="T14" s="11" t="s">
        <v>21</v>
      </c>
      <c r="U14" s="11" t="s">
        <v>21</v>
      </c>
      <c r="V14" s="11" t="s">
        <v>21</v>
      </c>
      <c r="W14" s="11" t="s">
        <v>21</v>
      </c>
      <c r="X14" s="11" t="s">
        <v>21</v>
      </c>
      <c r="Y14" s="11" t="s">
        <v>21</v>
      </c>
      <c r="Z14" s="11" t="s">
        <v>21</v>
      </c>
      <c r="AA14" s="11" t="s">
        <v>21</v>
      </c>
      <c r="AB14" s="11" t="s">
        <v>21</v>
      </c>
      <c r="AC14" s="11" t="s">
        <v>21</v>
      </c>
      <c r="AD14" s="11" t="s">
        <v>21</v>
      </c>
      <c r="AE14" s="11" t="s">
        <v>21</v>
      </c>
      <c r="AF14" s="11" t="s">
        <v>21</v>
      </c>
      <c r="AG14" s="11" t="s">
        <v>21</v>
      </c>
      <c r="AH14" s="11" t="s">
        <v>21</v>
      </c>
      <c r="AI14" s="11" t="s">
        <v>21</v>
      </c>
      <c r="AJ14" s="11" t="s">
        <v>21</v>
      </c>
      <c r="AK14" s="11" t="s">
        <v>21</v>
      </c>
      <c r="AL14" s="11" t="s">
        <v>21</v>
      </c>
      <c r="AM14" s="11" t="s">
        <v>21</v>
      </c>
      <c r="AN14" s="11" t="s">
        <v>21</v>
      </c>
      <c r="AO14" s="11" t="s">
        <v>21</v>
      </c>
      <c r="AP14" s="11" t="s">
        <v>21</v>
      </c>
      <c r="AQ14" s="15" t="s">
        <v>21</v>
      </c>
      <c r="AR14" s="15" t="s">
        <v>21</v>
      </c>
      <c r="AS14" s="15" t="s">
        <v>21</v>
      </c>
      <c r="AT14" s="11" t="s">
        <v>22</v>
      </c>
      <c r="AU14" s="15" t="s">
        <v>21</v>
      </c>
      <c r="AV14" s="11" t="s">
        <v>22</v>
      </c>
      <c r="AW14" s="16"/>
      <c r="AX14" s="17">
        <f t="shared" si="0"/>
        <v>42</v>
      </c>
      <c r="AY14" s="17">
        <f t="shared" si="1"/>
        <v>3</v>
      </c>
      <c r="AZ14" s="17">
        <f t="shared" si="2"/>
        <v>45</v>
      </c>
      <c r="BA14" s="18">
        <f t="shared" si="3"/>
        <v>93.333333333333329</v>
      </c>
    </row>
    <row r="15" spans="1:53" ht="14.25">
      <c r="A15" s="11">
        <v>4</v>
      </c>
      <c r="B15" s="19" t="s">
        <v>27</v>
      </c>
      <c r="C15" s="20" t="s">
        <v>28</v>
      </c>
      <c r="D15" s="11" t="s">
        <v>21</v>
      </c>
      <c r="E15" s="11" t="s">
        <v>21</v>
      </c>
      <c r="F15" s="11" t="s">
        <v>21</v>
      </c>
      <c r="G15" s="11" t="s">
        <v>21</v>
      </c>
      <c r="H15" s="11" t="s">
        <v>21</v>
      </c>
      <c r="I15" s="11" t="s">
        <v>21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21</v>
      </c>
      <c r="W15" s="11" t="s">
        <v>21</v>
      </c>
      <c r="X15" s="11" t="s">
        <v>21</v>
      </c>
      <c r="Y15" s="11" t="s">
        <v>21</v>
      </c>
      <c r="Z15" s="11" t="s">
        <v>21</v>
      </c>
      <c r="AA15" s="14" t="s">
        <v>22</v>
      </c>
      <c r="AB15" s="11" t="s">
        <v>21</v>
      </c>
      <c r="AC15" s="11" t="s">
        <v>21</v>
      </c>
      <c r="AD15" s="11" t="s">
        <v>21</v>
      </c>
      <c r="AE15" s="11" t="s">
        <v>21</v>
      </c>
      <c r="AF15" s="11" t="s">
        <v>21</v>
      </c>
      <c r="AG15" s="14" t="s">
        <v>22</v>
      </c>
      <c r="AH15" s="11" t="s">
        <v>21</v>
      </c>
      <c r="AI15" s="11" t="s">
        <v>21</v>
      </c>
      <c r="AJ15" s="11" t="s">
        <v>21</v>
      </c>
      <c r="AK15" s="11" t="s">
        <v>21</v>
      </c>
      <c r="AL15" s="11" t="s">
        <v>21</v>
      </c>
      <c r="AM15" s="11" t="s">
        <v>21</v>
      </c>
      <c r="AN15" s="11" t="s">
        <v>21</v>
      </c>
      <c r="AO15" s="11" t="s">
        <v>21</v>
      </c>
      <c r="AP15" s="11" t="s">
        <v>21</v>
      </c>
      <c r="AQ15" s="15" t="s">
        <v>21</v>
      </c>
      <c r="AR15" s="15" t="s">
        <v>21</v>
      </c>
      <c r="AS15" s="11" t="s">
        <v>22</v>
      </c>
      <c r="AT15" s="11" t="s">
        <v>22</v>
      </c>
      <c r="AU15" s="15" t="s">
        <v>21</v>
      </c>
      <c r="AV15" s="11" t="s">
        <v>22</v>
      </c>
      <c r="AW15" s="16"/>
      <c r="AX15" s="17">
        <f t="shared" si="0"/>
        <v>40</v>
      </c>
      <c r="AY15" s="17">
        <f t="shared" si="1"/>
        <v>5</v>
      </c>
      <c r="AZ15" s="17">
        <f t="shared" si="2"/>
        <v>45</v>
      </c>
      <c r="BA15" s="18">
        <f t="shared" si="3"/>
        <v>88.888888888888886</v>
      </c>
    </row>
    <row r="16" spans="1:53" ht="14.25">
      <c r="A16" s="11">
        <v>5</v>
      </c>
      <c r="B16" s="19" t="s">
        <v>29</v>
      </c>
      <c r="C16" s="20" t="s">
        <v>30</v>
      </c>
      <c r="D16" s="11" t="s">
        <v>21</v>
      </c>
      <c r="E16" s="14" t="s">
        <v>22</v>
      </c>
      <c r="F16" s="11" t="s">
        <v>21</v>
      </c>
      <c r="G16" s="14" t="s">
        <v>22</v>
      </c>
      <c r="H16" s="11" t="s">
        <v>21</v>
      </c>
      <c r="I16" s="11" t="s">
        <v>21</v>
      </c>
      <c r="J16" s="11" t="s">
        <v>21</v>
      </c>
      <c r="K16" s="11" t="s">
        <v>21</v>
      </c>
      <c r="L16" s="11" t="s">
        <v>21</v>
      </c>
      <c r="M16" s="11" t="s">
        <v>21</v>
      </c>
      <c r="N16" s="11" t="s">
        <v>21</v>
      </c>
      <c r="O16" s="11" t="s">
        <v>21</v>
      </c>
      <c r="P16" s="11" t="s">
        <v>21</v>
      </c>
      <c r="Q16" s="11" t="s">
        <v>21</v>
      </c>
      <c r="R16" s="11" t="s">
        <v>21</v>
      </c>
      <c r="S16" s="11" t="s">
        <v>21</v>
      </c>
      <c r="T16" s="14" t="s">
        <v>22</v>
      </c>
      <c r="U16" s="11" t="s">
        <v>21</v>
      </c>
      <c r="V16" s="11" t="s">
        <v>21</v>
      </c>
      <c r="W16" s="11" t="s">
        <v>21</v>
      </c>
      <c r="X16" s="11" t="s">
        <v>21</v>
      </c>
      <c r="Y16" s="11" t="s">
        <v>21</v>
      </c>
      <c r="Z16" s="11" t="s">
        <v>21</v>
      </c>
      <c r="AA16" s="11" t="s">
        <v>21</v>
      </c>
      <c r="AB16" s="11" t="s">
        <v>21</v>
      </c>
      <c r="AC16" s="11" t="s">
        <v>21</v>
      </c>
      <c r="AD16" s="11" t="s">
        <v>21</v>
      </c>
      <c r="AE16" s="11" t="s">
        <v>21</v>
      </c>
      <c r="AF16" s="11" t="s">
        <v>21</v>
      </c>
      <c r="AG16" s="11" t="s">
        <v>21</v>
      </c>
      <c r="AH16" s="11" t="s">
        <v>21</v>
      </c>
      <c r="AI16" s="11" t="s">
        <v>21</v>
      </c>
      <c r="AJ16" s="14" t="s">
        <v>22</v>
      </c>
      <c r="AK16" s="11" t="s">
        <v>21</v>
      </c>
      <c r="AL16" s="11" t="s">
        <v>21</v>
      </c>
      <c r="AM16" s="11" t="s">
        <v>21</v>
      </c>
      <c r="AN16" s="11" t="s">
        <v>21</v>
      </c>
      <c r="AO16" s="11" t="s">
        <v>21</v>
      </c>
      <c r="AP16" s="11" t="s">
        <v>21</v>
      </c>
      <c r="AQ16" s="15" t="s">
        <v>21</v>
      </c>
      <c r="AR16" s="15" t="s">
        <v>21</v>
      </c>
      <c r="AS16" s="15" t="s">
        <v>21</v>
      </c>
      <c r="AT16" s="11" t="s">
        <v>22</v>
      </c>
      <c r="AU16" s="15" t="s">
        <v>21</v>
      </c>
      <c r="AV16" s="11" t="s">
        <v>22</v>
      </c>
      <c r="AW16" s="16"/>
      <c r="AX16" s="17">
        <f t="shared" si="0"/>
        <v>39</v>
      </c>
      <c r="AY16" s="17">
        <f t="shared" si="1"/>
        <v>6</v>
      </c>
      <c r="AZ16" s="17">
        <f t="shared" si="2"/>
        <v>45</v>
      </c>
      <c r="BA16" s="18">
        <f t="shared" si="3"/>
        <v>86.666666666666671</v>
      </c>
    </row>
    <row r="17" spans="1:53" ht="14.25">
      <c r="A17" s="11">
        <v>6</v>
      </c>
      <c r="B17" s="19" t="s">
        <v>31</v>
      </c>
      <c r="C17" s="20" t="s">
        <v>32</v>
      </c>
      <c r="D17" s="11" t="s">
        <v>21</v>
      </c>
      <c r="E17" s="11" t="s">
        <v>21</v>
      </c>
      <c r="F17" s="11" t="s">
        <v>21</v>
      </c>
      <c r="G17" s="11" t="s">
        <v>21</v>
      </c>
      <c r="H17" s="11" t="s">
        <v>21</v>
      </c>
      <c r="I17" s="14" t="s">
        <v>22</v>
      </c>
      <c r="J17" s="11" t="s">
        <v>21</v>
      </c>
      <c r="K17" s="11" t="s">
        <v>21</v>
      </c>
      <c r="L17" s="11" t="s">
        <v>21</v>
      </c>
      <c r="M17" s="11" t="s">
        <v>21</v>
      </c>
      <c r="N17" s="11" t="s">
        <v>21</v>
      </c>
      <c r="O17" s="11" t="s">
        <v>21</v>
      </c>
      <c r="P17" s="11" t="s">
        <v>21</v>
      </c>
      <c r="Q17" s="11" t="s">
        <v>21</v>
      </c>
      <c r="R17" s="11" t="s">
        <v>21</v>
      </c>
      <c r="S17" s="11" t="s">
        <v>21</v>
      </c>
      <c r="T17" s="11" t="s">
        <v>21</v>
      </c>
      <c r="U17" s="11" t="s">
        <v>21</v>
      </c>
      <c r="V17" s="11" t="s">
        <v>21</v>
      </c>
      <c r="W17" s="11" t="s">
        <v>21</v>
      </c>
      <c r="X17" s="11" t="s">
        <v>21</v>
      </c>
      <c r="Y17" s="11" t="s">
        <v>21</v>
      </c>
      <c r="Z17" s="11" t="s">
        <v>21</v>
      </c>
      <c r="AA17" s="11" t="s">
        <v>21</v>
      </c>
      <c r="AB17" s="11" t="s">
        <v>21</v>
      </c>
      <c r="AC17" s="11" t="s">
        <v>21</v>
      </c>
      <c r="AD17" s="11" t="s">
        <v>21</v>
      </c>
      <c r="AE17" s="11" t="s">
        <v>21</v>
      </c>
      <c r="AF17" s="11" t="s">
        <v>21</v>
      </c>
      <c r="AG17" s="11" t="s">
        <v>21</v>
      </c>
      <c r="AH17" s="11" t="s">
        <v>21</v>
      </c>
      <c r="AI17" s="11" t="s">
        <v>21</v>
      </c>
      <c r="AJ17" s="11" t="s">
        <v>21</v>
      </c>
      <c r="AK17" s="11" t="s">
        <v>21</v>
      </c>
      <c r="AL17" s="11" t="s">
        <v>21</v>
      </c>
      <c r="AM17" s="11" t="s">
        <v>21</v>
      </c>
      <c r="AN17" s="11" t="s">
        <v>21</v>
      </c>
      <c r="AO17" s="11" t="s">
        <v>21</v>
      </c>
      <c r="AP17" s="11" t="s">
        <v>21</v>
      </c>
      <c r="AQ17" s="15" t="s">
        <v>21</v>
      </c>
      <c r="AR17" s="11" t="s">
        <v>22</v>
      </c>
      <c r="AS17" s="15" t="s">
        <v>21</v>
      </c>
      <c r="AT17" s="15" t="s">
        <v>21</v>
      </c>
      <c r="AU17" s="15" t="s">
        <v>21</v>
      </c>
      <c r="AV17" s="11" t="s">
        <v>22</v>
      </c>
      <c r="AW17" s="16"/>
      <c r="AX17" s="17">
        <f t="shared" si="0"/>
        <v>42</v>
      </c>
      <c r="AY17" s="17">
        <f t="shared" si="1"/>
        <v>3</v>
      </c>
      <c r="AZ17" s="17">
        <f t="shared" si="2"/>
        <v>45</v>
      </c>
      <c r="BA17" s="18">
        <f t="shared" si="3"/>
        <v>93.333333333333329</v>
      </c>
    </row>
    <row r="18" spans="1:53" ht="14.25">
      <c r="A18" s="11">
        <v>7</v>
      </c>
      <c r="B18" s="19" t="s">
        <v>33</v>
      </c>
      <c r="C18" s="20" t="s">
        <v>34</v>
      </c>
      <c r="D18" s="11" t="s">
        <v>21</v>
      </c>
      <c r="E18" s="11" t="s">
        <v>21</v>
      </c>
      <c r="F18" s="11" t="s">
        <v>21</v>
      </c>
      <c r="G18" s="14" t="s">
        <v>22</v>
      </c>
      <c r="H18" s="11" t="s">
        <v>21</v>
      </c>
      <c r="I18" s="11" t="s">
        <v>21</v>
      </c>
      <c r="J18" s="11" t="s">
        <v>21</v>
      </c>
      <c r="K18" s="11" t="s">
        <v>21</v>
      </c>
      <c r="L18" s="11" t="s">
        <v>21</v>
      </c>
      <c r="M18" s="11" t="s">
        <v>21</v>
      </c>
      <c r="N18" s="11" t="s">
        <v>21</v>
      </c>
      <c r="O18" s="11" t="s">
        <v>21</v>
      </c>
      <c r="P18" s="11" t="s">
        <v>21</v>
      </c>
      <c r="Q18" s="11" t="s">
        <v>21</v>
      </c>
      <c r="R18" s="11" t="s">
        <v>21</v>
      </c>
      <c r="S18" s="11" t="s">
        <v>21</v>
      </c>
      <c r="T18" s="11" t="s">
        <v>21</v>
      </c>
      <c r="U18" s="11" t="s">
        <v>21</v>
      </c>
      <c r="V18" s="11" t="s">
        <v>21</v>
      </c>
      <c r="W18" s="14" t="s">
        <v>22</v>
      </c>
      <c r="X18" s="11" t="s">
        <v>21</v>
      </c>
      <c r="Y18" s="11" t="s">
        <v>21</v>
      </c>
      <c r="Z18" s="11" t="s">
        <v>21</v>
      </c>
      <c r="AA18" s="11" t="s">
        <v>21</v>
      </c>
      <c r="AB18" s="11" t="s">
        <v>21</v>
      </c>
      <c r="AC18" s="11" t="s">
        <v>21</v>
      </c>
      <c r="AD18" s="11" t="s">
        <v>21</v>
      </c>
      <c r="AE18" s="11" t="s">
        <v>21</v>
      </c>
      <c r="AF18" s="11" t="s">
        <v>21</v>
      </c>
      <c r="AG18" s="11" t="s">
        <v>21</v>
      </c>
      <c r="AH18" s="11" t="s">
        <v>21</v>
      </c>
      <c r="AI18" s="11" t="s">
        <v>21</v>
      </c>
      <c r="AJ18" s="11" t="s">
        <v>21</v>
      </c>
      <c r="AK18" s="11" t="s">
        <v>21</v>
      </c>
      <c r="AL18" s="11" t="s">
        <v>21</v>
      </c>
      <c r="AM18" s="11" t="s">
        <v>21</v>
      </c>
      <c r="AN18" s="11" t="s">
        <v>21</v>
      </c>
      <c r="AO18" s="11" t="s">
        <v>21</v>
      </c>
      <c r="AP18" s="11" t="s">
        <v>21</v>
      </c>
      <c r="AQ18" s="15" t="s">
        <v>21</v>
      </c>
      <c r="AR18" s="15" t="s">
        <v>21</v>
      </c>
      <c r="AS18" s="15" t="s">
        <v>21</v>
      </c>
      <c r="AT18" s="11" t="s">
        <v>22</v>
      </c>
      <c r="AU18" s="15" t="s">
        <v>21</v>
      </c>
      <c r="AV18" s="11" t="s">
        <v>22</v>
      </c>
      <c r="AW18" s="16"/>
      <c r="AX18" s="17">
        <f t="shared" si="0"/>
        <v>41</v>
      </c>
      <c r="AY18" s="17">
        <f t="shared" si="1"/>
        <v>4</v>
      </c>
      <c r="AZ18" s="17">
        <f t="shared" si="2"/>
        <v>45</v>
      </c>
      <c r="BA18" s="18">
        <f t="shared" si="3"/>
        <v>91.111111111111114</v>
      </c>
    </row>
    <row r="19" spans="1:53" ht="14.25">
      <c r="A19" s="11">
        <v>8</v>
      </c>
      <c r="B19" s="19" t="s">
        <v>35</v>
      </c>
      <c r="C19" s="20" t="s">
        <v>36</v>
      </c>
      <c r="D19" s="11" t="s">
        <v>21</v>
      </c>
      <c r="E19" s="11" t="s">
        <v>21</v>
      </c>
      <c r="F19" s="11" t="s">
        <v>21</v>
      </c>
      <c r="G19" s="11" t="s">
        <v>21</v>
      </c>
      <c r="H19" s="11" t="s">
        <v>21</v>
      </c>
      <c r="I19" s="11" t="s">
        <v>21</v>
      </c>
      <c r="J19" s="11" t="s">
        <v>21</v>
      </c>
      <c r="K19" s="11" t="s">
        <v>21</v>
      </c>
      <c r="L19" s="11" t="s">
        <v>21</v>
      </c>
      <c r="M19" s="11" t="s">
        <v>21</v>
      </c>
      <c r="N19" s="11" t="s">
        <v>21</v>
      </c>
      <c r="O19" s="11" t="s">
        <v>21</v>
      </c>
      <c r="P19" s="11" t="s">
        <v>21</v>
      </c>
      <c r="Q19" s="11" t="s">
        <v>21</v>
      </c>
      <c r="R19" s="11" t="s">
        <v>21</v>
      </c>
      <c r="S19" s="11" t="s">
        <v>21</v>
      </c>
      <c r="T19" s="11" t="s">
        <v>21</v>
      </c>
      <c r="U19" s="11" t="s">
        <v>21</v>
      </c>
      <c r="V19" s="11" t="s">
        <v>21</v>
      </c>
      <c r="W19" s="11" t="s">
        <v>21</v>
      </c>
      <c r="X19" s="11" t="s">
        <v>21</v>
      </c>
      <c r="Y19" s="11" t="s">
        <v>21</v>
      </c>
      <c r="Z19" s="11" t="s">
        <v>21</v>
      </c>
      <c r="AA19" s="11" t="s">
        <v>21</v>
      </c>
      <c r="AB19" s="11" t="s">
        <v>21</v>
      </c>
      <c r="AC19" s="11" t="s">
        <v>21</v>
      </c>
      <c r="AD19" s="11" t="s">
        <v>21</v>
      </c>
      <c r="AE19" s="14" t="s">
        <v>22</v>
      </c>
      <c r="AF19" s="11" t="s">
        <v>21</v>
      </c>
      <c r="AG19" s="11" t="s">
        <v>21</v>
      </c>
      <c r="AH19" s="11" t="s">
        <v>21</v>
      </c>
      <c r="AI19" s="11" t="s">
        <v>21</v>
      </c>
      <c r="AJ19" s="11" t="s">
        <v>21</v>
      </c>
      <c r="AK19" s="11" t="s">
        <v>21</v>
      </c>
      <c r="AL19" s="11" t="s">
        <v>21</v>
      </c>
      <c r="AM19" s="11" t="s">
        <v>21</v>
      </c>
      <c r="AN19" s="11" t="s">
        <v>21</v>
      </c>
      <c r="AO19" s="11" t="s">
        <v>21</v>
      </c>
      <c r="AP19" s="11" t="s">
        <v>21</v>
      </c>
      <c r="AQ19" s="15" t="s">
        <v>21</v>
      </c>
      <c r="AR19" s="15" t="s">
        <v>21</v>
      </c>
      <c r="AS19" s="15" t="s">
        <v>21</v>
      </c>
      <c r="AT19" s="11" t="s">
        <v>22</v>
      </c>
      <c r="AU19" s="15" t="s">
        <v>21</v>
      </c>
      <c r="AV19" s="11" t="s">
        <v>22</v>
      </c>
      <c r="AW19" s="16"/>
      <c r="AX19" s="17">
        <f t="shared" si="0"/>
        <v>42</v>
      </c>
      <c r="AY19" s="17">
        <f t="shared" si="1"/>
        <v>3</v>
      </c>
      <c r="AZ19" s="17">
        <f t="shared" si="2"/>
        <v>45</v>
      </c>
      <c r="BA19" s="18">
        <f t="shared" si="3"/>
        <v>93.333333333333329</v>
      </c>
    </row>
    <row r="20" spans="1:53" ht="14.25">
      <c r="A20" s="11">
        <v>9</v>
      </c>
      <c r="B20" s="19" t="s">
        <v>37</v>
      </c>
      <c r="C20" s="20" t="s">
        <v>38</v>
      </c>
      <c r="D20" s="11" t="s">
        <v>21</v>
      </c>
      <c r="E20" s="11" t="s">
        <v>21</v>
      </c>
      <c r="F20" s="11" t="s">
        <v>21</v>
      </c>
      <c r="G20" s="11" t="s">
        <v>21</v>
      </c>
      <c r="H20" s="11" t="s">
        <v>21</v>
      </c>
      <c r="I20" s="14" t="s">
        <v>22</v>
      </c>
      <c r="J20" s="14" t="s">
        <v>22</v>
      </c>
      <c r="K20" s="14" t="s">
        <v>21</v>
      </c>
      <c r="L20" s="14" t="s">
        <v>21</v>
      </c>
      <c r="M20" s="11" t="s">
        <v>21</v>
      </c>
      <c r="N20" s="11" t="s">
        <v>21</v>
      </c>
      <c r="O20" s="11" t="s">
        <v>21</v>
      </c>
      <c r="P20" s="11" t="s">
        <v>21</v>
      </c>
      <c r="Q20" s="14" t="s">
        <v>22</v>
      </c>
      <c r="R20" s="11" t="s">
        <v>21</v>
      </c>
      <c r="S20" s="11" t="s">
        <v>21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 t="s">
        <v>21</v>
      </c>
      <c r="Z20" s="11" t="s">
        <v>21</v>
      </c>
      <c r="AA20" s="11" t="s">
        <v>21</v>
      </c>
      <c r="AB20" s="11" t="s">
        <v>21</v>
      </c>
      <c r="AC20" s="11" t="s">
        <v>21</v>
      </c>
      <c r="AD20" s="11" t="s">
        <v>21</v>
      </c>
      <c r="AE20" s="11" t="s">
        <v>21</v>
      </c>
      <c r="AF20" s="11" t="s">
        <v>21</v>
      </c>
      <c r="AG20" s="11" t="s">
        <v>21</v>
      </c>
      <c r="AH20" s="11" t="s">
        <v>21</v>
      </c>
      <c r="AI20" s="11" t="s">
        <v>21</v>
      </c>
      <c r="AJ20" s="11" t="s">
        <v>21</v>
      </c>
      <c r="AK20" s="11" t="s">
        <v>21</v>
      </c>
      <c r="AL20" s="11" t="s">
        <v>21</v>
      </c>
      <c r="AM20" s="11" t="s">
        <v>21</v>
      </c>
      <c r="AN20" s="11" t="s">
        <v>21</v>
      </c>
      <c r="AO20" s="11" t="s">
        <v>21</v>
      </c>
      <c r="AP20" s="11" t="s">
        <v>21</v>
      </c>
      <c r="AQ20" s="15" t="s">
        <v>21</v>
      </c>
      <c r="AR20" s="15" t="s">
        <v>21</v>
      </c>
      <c r="AS20" s="15" t="s">
        <v>21</v>
      </c>
      <c r="AT20" s="15" t="s">
        <v>21</v>
      </c>
      <c r="AU20" s="15" t="s">
        <v>21</v>
      </c>
      <c r="AV20" s="11" t="s">
        <v>22</v>
      </c>
      <c r="AW20" s="16"/>
      <c r="AX20" s="17">
        <f t="shared" si="0"/>
        <v>41</v>
      </c>
      <c r="AY20" s="17">
        <f t="shared" si="1"/>
        <v>4</v>
      </c>
      <c r="AZ20" s="17">
        <f t="shared" si="2"/>
        <v>45</v>
      </c>
      <c r="BA20" s="18">
        <f t="shared" si="3"/>
        <v>91.111111111111114</v>
      </c>
    </row>
    <row r="21" spans="1:53" ht="15.75" customHeight="1">
      <c r="A21" s="11">
        <v>10</v>
      </c>
      <c r="B21" s="19" t="s">
        <v>39</v>
      </c>
      <c r="C21" s="20" t="s">
        <v>40</v>
      </c>
      <c r="D21" s="11" t="s">
        <v>21</v>
      </c>
      <c r="E21" s="11" t="s">
        <v>21</v>
      </c>
      <c r="F21" s="11" t="s">
        <v>21</v>
      </c>
      <c r="G21" s="11" t="s">
        <v>21</v>
      </c>
      <c r="H21" s="11" t="s">
        <v>21</v>
      </c>
      <c r="I21" s="11" t="s">
        <v>21</v>
      </c>
      <c r="J21" s="11" t="s">
        <v>21</v>
      </c>
      <c r="K21" s="11" t="s">
        <v>21</v>
      </c>
      <c r="L21" s="11" t="s">
        <v>21</v>
      </c>
      <c r="M21" s="11" t="s">
        <v>21</v>
      </c>
      <c r="N21" s="11" t="s">
        <v>21</v>
      </c>
      <c r="O21" s="11" t="s">
        <v>21</v>
      </c>
      <c r="P21" s="11" t="s">
        <v>21</v>
      </c>
      <c r="Q21" s="11" t="s">
        <v>21</v>
      </c>
      <c r="R21" s="11" t="s">
        <v>21</v>
      </c>
      <c r="S21" s="11" t="s">
        <v>21</v>
      </c>
      <c r="T21" s="11" t="s">
        <v>21</v>
      </c>
      <c r="U21" s="11" t="s">
        <v>21</v>
      </c>
      <c r="V21" s="11" t="s">
        <v>21</v>
      </c>
      <c r="W21" s="11" t="s">
        <v>21</v>
      </c>
      <c r="X21" s="11" t="s">
        <v>21</v>
      </c>
      <c r="Y21" s="11" t="s">
        <v>21</v>
      </c>
      <c r="Z21" s="11" t="s">
        <v>21</v>
      </c>
      <c r="AA21" s="11" t="s">
        <v>21</v>
      </c>
      <c r="AB21" s="11" t="s">
        <v>21</v>
      </c>
      <c r="AC21" s="11" t="s">
        <v>21</v>
      </c>
      <c r="AD21" s="11" t="s">
        <v>21</v>
      </c>
      <c r="AE21" s="11" t="s">
        <v>21</v>
      </c>
      <c r="AF21" s="11" t="s">
        <v>21</v>
      </c>
      <c r="AG21" s="11" t="s">
        <v>21</v>
      </c>
      <c r="AH21" s="11" t="s">
        <v>21</v>
      </c>
      <c r="AI21" s="14" t="s">
        <v>22</v>
      </c>
      <c r="AJ21" s="11" t="s">
        <v>21</v>
      </c>
      <c r="AK21" s="11" t="s">
        <v>21</v>
      </c>
      <c r="AL21" s="11" t="s">
        <v>21</v>
      </c>
      <c r="AM21" s="11" t="s">
        <v>21</v>
      </c>
      <c r="AN21" s="11" t="s">
        <v>21</v>
      </c>
      <c r="AO21" s="11" t="s">
        <v>21</v>
      </c>
      <c r="AP21" s="11" t="s">
        <v>21</v>
      </c>
      <c r="AQ21" s="15" t="s">
        <v>21</v>
      </c>
      <c r="AR21" s="15" t="s">
        <v>21</v>
      </c>
      <c r="AS21" s="11" t="s">
        <v>22</v>
      </c>
      <c r="AT21" s="15" t="s">
        <v>21</v>
      </c>
      <c r="AU21" s="15" t="s">
        <v>21</v>
      </c>
      <c r="AV21" s="11" t="s">
        <v>22</v>
      </c>
      <c r="AW21" s="21"/>
      <c r="AX21" s="17">
        <f t="shared" si="0"/>
        <v>42</v>
      </c>
      <c r="AY21" s="17">
        <f t="shared" si="1"/>
        <v>3</v>
      </c>
      <c r="AZ21" s="17">
        <f t="shared" si="2"/>
        <v>45</v>
      </c>
      <c r="BA21" s="18">
        <f t="shared" si="3"/>
        <v>93.333333333333329</v>
      </c>
    </row>
    <row r="22" spans="1:53" ht="15.75" customHeight="1">
      <c r="A22" s="11">
        <v>11</v>
      </c>
      <c r="B22" s="19" t="s">
        <v>41</v>
      </c>
      <c r="C22" s="20" t="s">
        <v>42</v>
      </c>
      <c r="D22" s="11" t="s">
        <v>21</v>
      </c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4" t="s">
        <v>22</v>
      </c>
      <c r="O22" s="11" t="s">
        <v>21</v>
      </c>
      <c r="P22" s="11" t="s">
        <v>21</v>
      </c>
      <c r="Q22" s="11" t="s">
        <v>21</v>
      </c>
      <c r="R22" s="11" t="s">
        <v>21</v>
      </c>
      <c r="S22" s="11" t="s">
        <v>21</v>
      </c>
      <c r="T22" s="11" t="s">
        <v>21</v>
      </c>
      <c r="U22" s="11" t="s">
        <v>21</v>
      </c>
      <c r="V22" s="11" t="s">
        <v>21</v>
      </c>
      <c r="W22" s="14" t="s">
        <v>22</v>
      </c>
      <c r="X22" s="11" t="s">
        <v>21</v>
      </c>
      <c r="Y22" s="11" t="s">
        <v>21</v>
      </c>
      <c r="Z22" s="11" t="s">
        <v>21</v>
      </c>
      <c r="AA22" s="11" t="s">
        <v>21</v>
      </c>
      <c r="AB22" s="14" t="s">
        <v>22</v>
      </c>
      <c r="AC22" s="11" t="s">
        <v>21</v>
      </c>
      <c r="AD22" s="11" t="s">
        <v>21</v>
      </c>
      <c r="AE22" s="11" t="s">
        <v>21</v>
      </c>
      <c r="AF22" s="11" t="s">
        <v>21</v>
      </c>
      <c r="AG22" s="11" t="s">
        <v>21</v>
      </c>
      <c r="AH22" s="11" t="s">
        <v>21</v>
      </c>
      <c r="AI22" s="11" t="s">
        <v>21</v>
      </c>
      <c r="AJ22" s="11" t="s">
        <v>21</v>
      </c>
      <c r="AK22" s="11" t="s">
        <v>21</v>
      </c>
      <c r="AL22" s="11" t="s">
        <v>21</v>
      </c>
      <c r="AM22" s="11" t="s">
        <v>21</v>
      </c>
      <c r="AN22" s="11" t="s">
        <v>21</v>
      </c>
      <c r="AO22" s="11" t="s">
        <v>21</v>
      </c>
      <c r="AP22" s="11" t="s">
        <v>21</v>
      </c>
      <c r="AQ22" s="15" t="s">
        <v>21</v>
      </c>
      <c r="AR22" s="15" t="s">
        <v>21</v>
      </c>
      <c r="AS22" s="15" t="s">
        <v>21</v>
      </c>
      <c r="AT22" s="15" t="s">
        <v>21</v>
      </c>
      <c r="AU22" s="15" t="s">
        <v>21</v>
      </c>
      <c r="AV22" s="11" t="s">
        <v>22</v>
      </c>
      <c r="AW22" s="16"/>
      <c r="AX22" s="17">
        <f t="shared" si="0"/>
        <v>41</v>
      </c>
      <c r="AY22" s="17">
        <f t="shared" si="1"/>
        <v>4</v>
      </c>
      <c r="AZ22" s="17">
        <f t="shared" si="2"/>
        <v>45</v>
      </c>
      <c r="BA22" s="18">
        <f t="shared" si="3"/>
        <v>91.111111111111114</v>
      </c>
    </row>
    <row r="23" spans="1:53" ht="15.75" customHeight="1">
      <c r="A23" s="11">
        <v>12</v>
      </c>
      <c r="B23" s="19" t="s">
        <v>43</v>
      </c>
      <c r="C23" s="20" t="s">
        <v>44</v>
      </c>
      <c r="D23" s="11" t="s">
        <v>21</v>
      </c>
      <c r="E23" s="11" t="s">
        <v>21</v>
      </c>
      <c r="F23" s="11" t="s">
        <v>21</v>
      </c>
      <c r="G23" s="11" t="s">
        <v>21</v>
      </c>
      <c r="H23" s="11" t="s">
        <v>21</v>
      </c>
      <c r="I23" s="14" t="s">
        <v>22</v>
      </c>
      <c r="J23" s="11" t="s">
        <v>21</v>
      </c>
      <c r="K23" s="11" t="s">
        <v>21</v>
      </c>
      <c r="L23" s="11" t="s">
        <v>21</v>
      </c>
      <c r="M23" s="11" t="s">
        <v>21</v>
      </c>
      <c r="N23" s="11" t="s">
        <v>21</v>
      </c>
      <c r="O23" s="11" t="s">
        <v>21</v>
      </c>
      <c r="P23" s="11" t="s">
        <v>21</v>
      </c>
      <c r="Q23" s="11" t="s">
        <v>21</v>
      </c>
      <c r="R23" s="11" t="s">
        <v>21</v>
      </c>
      <c r="S23" s="11" t="s">
        <v>21</v>
      </c>
      <c r="T23" s="11" t="s">
        <v>21</v>
      </c>
      <c r="U23" s="11" t="s">
        <v>21</v>
      </c>
      <c r="V23" s="11" t="s">
        <v>21</v>
      </c>
      <c r="W23" s="11" t="s">
        <v>21</v>
      </c>
      <c r="X23" s="11" t="s">
        <v>21</v>
      </c>
      <c r="Y23" s="11" t="s">
        <v>21</v>
      </c>
      <c r="Z23" s="11" t="s">
        <v>21</v>
      </c>
      <c r="AA23" s="11" t="s">
        <v>21</v>
      </c>
      <c r="AB23" s="11" t="s">
        <v>21</v>
      </c>
      <c r="AC23" s="11" t="s">
        <v>21</v>
      </c>
      <c r="AD23" s="11" t="s">
        <v>21</v>
      </c>
      <c r="AE23" s="11" t="s">
        <v>21</v>
      </c>
      <c r="AF23" s="11" t="s">
        <v>21</v>
      </c>
      <c r="AG23" s="11" t="s">
        <v>21</v>
      </c>
      <c r="AH23" s="11" t="s">
        <v>21</v>
      </c>
      <c r="AI23" s="11" t="s">
        <v>21</v>
      </c>
      <c r="AJ23" s="11" t="s">
        <v>21</v>
      </c>
      <c r="AK23" s="11" t="s">
        <v>21</v>
      </c>
      <c r="AL23" s="11" t="s">
        <v>21</v>
      </c>
      <c r="AM23" s="11" t="s">
        <v>21</v>
      </c>
      <c r="AN23" s="11" t="s">
        <v>21</v>
      </c>
      <c r="AO23" s="11" t="s">
        <v>21</v>
      </c>
      <c r="AP23" s="11" t="s">
        <v>21</v>
      </c>
      <c r="AQ23" s="15" t="s">
        <v>21</v>
      </c>
      <c r="AR23" s="15" t="s">
        <v>21</v>
      </c>
      <c r="AS23" s="11" t="s">
        <v>22</v>
      </c>
      <c r="AT23" s="15" t="s">
        <v>21</v>
      </c>
      <c r="AU23" s="15" t="s">
        <v>21</v>
      </c>
      <c r="AV23" s="15" t="s">
        <v>21</v>
      </c>
      <c r="AW23" s="16"/>
      <c r="AX23" s="17">
        <f t="shared" si="0"/>
        <v>43</v>
      </c>
      <c r="AY23" s="17">
        <f t="shared" si="1"/>
        <v>2</v>
      </c>
      <c r="AZ23" s="17">
        <f t="shared" si="2"/>
        <v>45</v>
      </c>
      <c r="BA23" s="18">
        <f t="shared" si="3"/>
        <v>95.555555555555557</v>
      </c>
    </row>
    <row r="24" spans="1:53" ht="15.75" customHeight="1">
      <c r="A24" s="11">
        <v>13</v>
      </c>
      <c r="B24" s="19" t="s">
        <v>45</v>
      </c>
      <c r="C24" s="20" t="s">
        <v>46</v>
      </c>
      <c r="D24" s="11" t="s">
        <v>21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 t="s">
        <v>21</v>
      </c>
      <c r="K24" s="11" t="s">
        <v>21</v>
      </c>
      <c r="L24" s="11" t="s">
        <v>21</v>
      </c>
      <c r="M24" s="11" t="s">
        <v>21</v>
      </c>
      <c r="N24" s="11" t="s">
        <v>21</v>
      </c>
      <c r="O24" s="11" t="s">
        <v>21</v>
      </c>
      <c r="P24" s="11" t="s">
        <v>21</v>
      </c>
      <c r="Q24" s="11" t="s">
        <v>21</v>
      </c>
      <c r="R24" s="11" t="s">
        <v>21</v>
      </c>
      <c r="S24" s="11" t="s">
        <v>21</v>
      </c>
      <c r="T24" s="11" t="s">
        <v>21</v>
      </c>
      <c r="U24" s="11" t="s">
        <v>21</v>
      </c>
      <c r="V24" s="11" t="s">
        <v>21</v>
      </c>
      <c r="W24" s="11" t="s">
        <v>21</v>
      </c>
      <c r="X24" s="11" t="s">
        <v>21</v>
      </c>
      <c r="Y24" s="11" t="s">
        <v>21</v>
      </c>
      <c r="Z24" s="11" t="s">
        <v>21</v>
      </c>
      <c r="AA24" s="11" t="s">
        <v>21</v>
      </c>
      <c r="AB24" s="11" t="s">
        <v>21</v>
      </c>
      <c r="AC24" s="11" t="s">
        <v>21</v>
      </c>
      <c r="AD24" s="11" t="s">
        <v>21</v>
      </c>
      <c r="AE24" s="11" t="s">
        <v>21</v>
      </c>
      <c r="AF24" s="11" t="s">
        <v>21</v>
      </c>
      <c r="AG24" s="11" t="s">
        <v>21</v>
      </c>
      <c r="AH24" s="11" t="s">
        <v>21</v>
      </c>
      <c r="AI24" s="11" t="s">
        <v>21</v>
      </c>
      <c r="AJ24" s="11" t="s">
        <v>21</v>
      </c>
      <c r="AK24" s="11" t="s">
        <v>21</v>
      </c>
      <c r="AL24" s="11" t="s">
        <v>21</v>
      </c>
      <c r="AM24" s="11" t="s">
        <v>21</v>
      </c>
      <c r="AN24" s="11" t="s">
        <v>21</v>
      </c>
      <c r="AO24" s="11" t="s">
        <v>21</v>
      </c>
      <c r="AP24" s="11" t="s">
        <v>21</v>
      </c>
      <c r="AQ24" s="15" t="s">
        <v>21</v>
      </c>
      <c r="AR24" s="15" t="s">
        <v>21</v>
      </c>
      <c r="AS24" s="15" t="s">
        <v>21</v>
      </c>
      <c r="AT24" s="15" t="s">
        <v>21</v>
      </c>
      <c r="AU24" s="15" t="s">
        <v>21</v>
      </c>
      <c r="AV24" s="15" t="s">
        <v>21</v>
      </c>
      <c r="AW24" s="16"/>
      <c r="AX24" s="17">
        <f t="shared" si="0"/>
        <v>45</v>
      </c>
      <c r="AY24" s="17">
        <f t="shared" si="1"/>
        <v>0</v>
      </c>
      <c r="AZ24" s="17">
        <f t="shared" si="2"/>
        <v>45</v>
      </c>
      <c r="BA24" s="18">
        <f t="shared" si="3"/>
        <v>100</v>
      </c>
    </row>
    <row r="25" spans="1:53" ht="15.75" customHeight="1">
      <c r="A25" s="11">
        <v>14</v>
      </c>
      <c r="B25" s="19" t="s">
        <v>47</v>
      </c>
      <c r="C25" s="20" t="s">
        <v>48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21</v>
      </c>
      <c r="I25" s="11" t="s">
        <v>21</v>
      </c>
      <c r="J25" s="11" t="s">
        <v>21</v>
      </c>
      <c r="K25" s="11" t="s">
        <v>21</v>
      </c>
      <c r="L25" s="11" t="s">
        <v>21</v>
      </c>
      <c r="M25" s="11" t="s">
        <v>21</v>
      </c>
      <c r="N25" s="11" t="s">
        <v>21</v>
      </c>
      <c r="O25" s="14" t="s">
        <v>22</v>
      </c>
      <c r="P25" s="11" t="s">
        <v>21</v>
      </c>
      <c r="Q25" s="11" t="s">
        <v>21</v>
      </c>
      <c r="R25" s="11" t="s">
        <v>21</v>
      </c>
      <c r="S25" s="11" t="s">
        <v>21</v>
      </c>
      <c r="T25" s="11" t="s">
        <v>21</v>
      </c>
      <c r="U25" s="11" t="s">
        <v>21</v>
      </c>
      <c r="V25" s="11" t="s">
        <v>21</v>
      </c>
      <c r="W25" s="11" t="s">
        <v>21</v>
      </c>
      <c r="X25" s="11" t="s">
        <v>21</v>
      </c>
      <c r="Y25" s="11" t="s">
        <v>21</v>
      </c>
      <c r="Z25" s="11" t="s">
        <v>21</v>
      </c>
      <c r="AA25" s="11" t="s">
        <v>21</v>
      </c>
      <c r="AB25" s="11" t="s">
        <v>21</v>
      </c>
      <c r="AC25" s="11" t="s">
        <v>21</v>
      </c>
      <c r="AD25" s="11" t="s">
        <v>21</v>
      </c>
      <c r="AE25" s="11" t="s">
        <v>21</v>
      </c>
      <c r="AF25" s="11" t="s">
        <v>21</v>
      </c>
      <c r="AG25" s="14" t="s">
        <v>22</v>
      </c>
      <c r="AH25" s="11" t="s">
        <v>21</v>
      </c>
      <c r="AI25" s="11" t="s">
        <v>21</v>
      </c>
      <c r="AJ25" s="11" t="s">
        <v>21</v>
      </c>
      <c r="AK25" s="11" t="s">
        <v>21</v>
      </c>
      <c r="AL25" s="11" t="s">
        <v>21</v>
      </c>
      <c r="AM25" s="11" t="s">
        <v>21</v>
      </c>
      <c r="AN25" s="11" t="s">
        <v>21</v>
      </c>
      <c r="AO25" s="11" t="s">
        <v>21</v>
      </c>
      <c r="AP25" s="11" t="s">
        <v>21</v>
      </c>
      <c r="AQ25" s="15" t="s">
        <v>21</v>
      </c>
      <c r="AR25" s="15" t="s">
        <v>21</v>
      </c>
      <c r="AS25" s="15" t="s">
        <v>21</v>
      </c>
      <c r="AT25" s="15" t="s">
        <v>21</v>
      </c>
      <c r="AU25" s="15" t="s">
        <v>21</v>
      </c>
      <c r="AV25" s="11" t="s">
        <v>22</v>
      </c>
      <c r="AW25" s="16"/>
      <c r="AX25" s="17">
        <f t="shared" si="0"/>
        <v>42</v>
      </c>
      <c r="AY25" s="17">
        <f t="shared" si="1"/>
        <v>3</v>
      </c>
      <c r="AZ25" s="17">
        <f t="shared" si="2"/>
        <v>45</v>
      </c>
      <c r="BA25" s="18">
        <f t="shared" si="3"/>
        <v>93.333333333333329</v>
      </c>
    </row>
    <row r="26" spans="1:53" ht="15.75" customHeight="1">
      <c r="A26" s="11">
        <v>15</v>
      </c>
      <c r="B26" s="19" t="s">
        <v>49</v>
      </c>
      <c r="C26" s="20" t="s">
        <v>50</v>
      </c>
      <c r="D26" s="11" t="s">
        <v>21</v>
      </c>
      <c r="E26" s="11" t="s">
        <v>21</v>
      </c>
      <c r="F26" s="11" t="s">
        <v>21</v>
      </c>
      <c r="G26" s="11" t="s">
        <v>21</v>
      </c>
      <c r="H26" s="11" t="s">
        <v>21</v>
      </c>
      <c r="I26" s="11" t="s">
        <v>21</v>
      </c>
      <c r="J26" s="11" t="s">
        <v>21</v>
      </c>
      <c r="K26" s="11" t="s">
        <v>21</v>
      </c>
      <c r="L26" s="11" t="s">
        <v>21</v>
      </c>
      <c r="M26" s="11" t="s">
        <v>21</v>
      </c>
      <c r="N26" s="11" t="s">
        <v>21</v>
      </c>
      <c r="O26" s="11" t="s">
        <v>21</v>
      </c>
      <c r="P26" s="11" t="s">
        <v>21</v>
      </c>
      <c r="Q26" s="11" t="s">
        <v>21</v>
      </c>
      <c r="R26" s="11" t="s">
        <v>21</v>
      </c>
      <c r="S26" s="11" t="s">
        <v>21</v>
      </c>
      <c r="T26" s="11" t="s">
        <v>21</v>
      </c>
      <c r="U26" s="11" t="s">
        <v>21</v>
      </c>
      <c r="V26" s="11" t="s">
        <v>21</v>
      </c>
      <c r="W26" s="11" t="s">
        <v>21</v>
      </c>
      <c r="X26" s="11" t="s">
        <v>21</v>
      </c>
      <c r="Y26" s="11" t="s">
        <v>21</v>
      </c>
      <c r="Z26" s="11" t="s">
        <v>21</v>
      </c>
      <c r="AA26" s="11" t="s">
        <v>21</v>
      </c>
      <c r="AB26" s="11" t="s">
        <v>21</v>
      </c>
      <c r="AC26" s="11" t="s">
        <v>21</v>
      </c>
      <c r="AD26" s="11" t="s">
        <v>21</v>
      </c>
      <c r="AE26" s="11" t="s">
        <v>21</v>
      </c>
      <c r="AF26" s="11" t="s">
        <v>21</v>
      </c>
      <c r="AG26" s="11" t="s">
        <v>21</v>
      </c>
      <c r="AH26" s="11" t="s">
        <v>21</v>
      </c>
      <c r="AI26" s="11" t="s">
        <v>21</v>
      </c>
      <c r="AJ26" s="11" t="s">
        <v>21</v>
      </c>
      <c r="AK26" s="11" t="s">
        <v>21</v>
      </c>
      <c r="AL26" s="11" t="s">
        <v>21</v>
      </c>
      <c r="AM26" s="11" t="s">
        <v>21</v>
      </c>
      <c r="AN26" s="11" t="s">
        <v>21</v>
      </c>
      <c r="AO26" s="11" t="s">
        <v>21</v>
      </c>
      <c r="AP26" s="11" t="s">
        <v>21</v>
      </c>
      <c r="AQ26" s="15" t="s">
        <v>21</v>
      </c>
      <c r="AR26" s="15" t="s">
        <v>21</v>
      </c>
      <c r="AS26" s="15" t="s">
        <v>21</v>
      </c>
      <c r="AT26" s="15" t="s">
        <v>21</v>
      </c>
      <c r="AU26" s="15" t="s">
        <v>21</v>
      </c>
      <c r="AV26" s="11" t="s">
        <v>22</v>
      </c>
      <c r="AW26" s="16"/>
      <c r="AX26" s="17">
        <f t="shared" si="0"/>
        <v>44</v>
      </c>
      <c r="AY26" s="17">
        <f t="shared" si="1"/>
        <v>1</v>
      </c>
      <c r="AZ26" s="17">
        <f t="shared" si="2"/>
        <v>45</v>
      </c>
      <c r="BA26" s="18">
        <f t="shared" si="3"/>
        <v>97.777777777777771</v>
      </c>
    </row>
    <row r="27" spans="1:53" ht="15.75" customHeight="1">
      <c r="A27" s="11">
        <v>16</v>
      </c>
      <c r="B27" s="19" t="s">
        <v>51</v>
      </c>
      <c r="C27" s="20" t="s">
        <v>52</v>
      </c>
      <c r="D27" s="11" t="s">
        <v>21</v>
      </c>
      <c r="E27" s="11" t="s">
        <v>21</v>
      </c>
      <c r="F27" s="11" t="s">
        <v>21</v>
      </c>
      <c r="G27" s="11" t="s">
        <v>21</v>
      </c>
      <c r="H27" s="11" t="s">
        <v>21</v>
      </c>
      <c r="I27" s="11" t="s">
        <v>21</v>
      </c>
      <c r="J27" s="11" t="s">
        <v>21</v>
      </c>
      <c r="K27" s="11" t="s">
        <v>21</v>
      </c>
      <c r="L27" s="11" t="s">
        <v>21</v>
      </c>
      <c r="M27" s="11" t="s">
        <v>21</v>
      </c>
      <c r="N27" s="11" t="s">
        <v>21</v>
      </c>
      <c r="O27" s="11" t="s">
        <v>21</v>
      </c>
      <c r="P27" s="11" t="s">
        <v>21</v>
      </c>
      <c r="Q27" s="11" t="s">
        <v>21</v>
      </c>
      <c r="R27" s="14" t="s">
        <v>22</v>
      </c>
      <c r="S27" s="11" t="s">
        <v>21</v>
      </c>
      <c r="T27" s="11" t="s">
        <v>21</v>
      </c>
      <c r="U27" s="11" t="s">
        <v>21</v>
      </c>
      <c r="V27" s="11" t="s">
        <v>21</v>
      </c>
      <c r="W27" s="11" t="s">
        <v>21</v>
      </c>
      <c r="X27" s="11" t="s">
        <v>21</v>
      </c>
      <c r="Y27" s="11" t="s">
        <v>21</v>
      </c>
      <c r="Z27" s="11" t="s">
        <v>21</v>
      </c>
      <c r="AA27" s="11" t="s">
        <v>21</v>
      </c>
      <c r="AB27" s="11" t="s">
        <v>21</v>
      </c>
      <c r="AC27" s="14" t="s">
        <v>22</v>
      </c>
      <c r="AD27" s="11" t="s">
        <v>21</v>
      </c>
      <c r="AE27" s="11" t="s">
        <v>21</v>
      </c>
      <c r="AF27" s="11" t="s">
        <v>21</v>
      </c>
      <c r="AG27" s="11" t="s">
        <v>21</v>
      </c>
      <c r="AH27" s="11" t="s">
        <v>21</v>
      </c>
      <c r="AI27" s="11" t="s">
        <v>21</v>
      </c>
      <c r="AJ27" s="11" t="s">
        <v>21</v>
      </c>
      <c r="AK27" s="11" t="s">
        <v>21</v>
      </c>
      <c r="AL27" s="11" t="s">
        <v>21</v>
      </c>
      <c r="AM27" s="11" t="s">
        <v>21</v>
      </c>
      <c r="AN27" s="11" t="s">
        <v>21</v>
      </c>
      <c r="AO27" s="11" t="s">
        <v>21</v>
      </c>
      <c r="AP27" s="11" t="s">
        <v>21</v>
      </c>
      <c r="AQ27" s="11" t="s">
        <v>22</v>
      </c>
      <c r="AR27" s="15" t="s">
        <v>21</v>
      </c>
      <c r="AS27" s="15" t="s">
        <v>21</v>
      </c>
      <c r="AT27" s="15" t="s">
        <v>21</v>
      </c>
      <c r="AU27" s="15" t="s">
        <v>21</v>
      </c>
      <c r="AV27" s="11" t="s">
        <v>22</v>
      </c>
      <c r="AW27" s="21"/>
      <c r="AX27" s="17">
        <f t="shared" si="0"/>
        <v>41</v>
      </c>
      <c r="AY27" s="17">
        <f t="shared" si="1"/>
        <v>4</v>
      </c>
      <c r="AZ27" s="17">
        <f t="shared" si="2"/>
        <v>45</v>
      </c>
      <c r="BA27" s="18">
        <f t="shared" si="3"/>
        <v>91.111111111111114</v>
      </c>
    </row>
    <row r="28" spans="1:53" ht="15.75" customHeight="1">
      <c r="A28" s="11">
        <v>17</v>
      </c>
      <c r="B28" s="19" t="s">
        <v>53</v>
      </c>
      <c r="C28" s="20" t="s">
        <v>54</v>
      </c>
      <c r="D28" s="11" t="s">
        <v>21</v>
      </c>
      <c r="E28" s="11" t="s">
        <v>21</v>
      </c>
      <c r="F28" s="11" t="s">
        <v>21</v>
      </c>
      <c r="G28" s="11" t="s">
        <v>21</v>
      </c>
      <c r="H28" s="11" t="s">
        <v>21</v>
      </c>
      <c r="I28" s="11" t="s">
        <v>21</v>
      </c>
      <c r="J28" s="11" t="s">
        <v>21</v>
      </c>
      <c r="K28" s="11" t="s">
        <v>21</v>
      </c>
      <c r="L28" s="11" t="s">
        <v>21</v>
      </c>
      <c r="M28" s="11" t="s">
        <v>21</v>
      </c>
      <c r="N28" s="11" t="s">
        <v>21</v>
      </c>
      <c r="O28" s="11" t="s">
        <v>21</v>
      </c>
      <c r="P28" s="11" t="s">
        <v>21</v>
      </c>
      <c r="Q28" s="11" t="s">
        <v>21</v>
      </c>
      <c r="R28" s="11" t="s">
        <v>21</v>
      </c>
      <c r="S28" s="11" t="s">
        <v>21</v>
      </c>
      <c r="T28" s="11" t="s">
        <v>21</v>
      </c>
      <c r="U28" s="11" t="s">
        <v>21</v>
      </c>
      <c r="V28" s="11" t="s">
        <v>21</v>
      </c>
      <c r="W28" s="11" t="s">
        <v>21</v>
      </c>
      <c r="X28" s="11" t="s">
        <v>21</v>
      </c>
      <c r="Y28" s="11" t="s">
        <v>21</v>
      </c>
      <c r="Z28" s="11" t="s">
        <v>21</v>
      </c>
      <c r="AA28" s="11" t="s">
        <v>21</v>
      </c>
      <c r="AB28" s="11" t="s">
        <v>21</v>
      </c>
      <c r="AC28" s="11" t="s">
        <v>21</v>
      </c>
      <c r="AD28" s="11" t="s">
        <v>21</v>
      </c>
      <c r="AE28" s="11" t="s">
        <v>21</v>
      </c>
      <c r="AF28" s="11" t="s">
        <v>21</v>
      </c>
      <c r="AG28" s="11" t="s">
        <v>21</v>
      </c>
      <c r="AH28" s="11" t="s">
        <v>21</v>
      </c>
      <c r="AI28" s="11" t="s">
        <v>21</v>
      </c>
      <c r="AJ28" s="11" t="s">
        <v>21</v>
      </c>
      <c r="AK28" s="11" t="s">
        <v>21</v>
      </c>
      <c r="AL28" s="11" t="s">
        <v>21</v>
      </c>
      <c r="AM28" s="11" t="s">
        <v>21</v>
      </c>
      <c r="AN28" s="11" t="s">
        <v>21</v>
      </c>
      <c r="AO28" s="11" t="s">
        <v>21</v>
      </c>
      <c r="AP28" s="11" t="s">
        <v>21</v>
      </c>
      <c r="AQ28" s="15" t="s">
        <v>21</v>
      </c>
      <c r="AR28" s="15" t="s">
        <v>21</v>
      </c>
      <c r="AS28" s="11" t="s">
        <v>22</v>
      </c>
      <c r="AT28" s="15" t="s">
        <v>21</v>
      </c>
      <c r="AU28" s="15" t="s">
        <v>21</v>
      </c>
      <c r="AV28" s="15" t="s">
        <v>21</v>
      </c>
      <c r="AW28" s="16"/>
      <c r="AX28" s="17">
        <f t="shared" si="0"/>
        <v>44</v>
      </c>
      <c r="AY28" s="17">
        <f t="shared" si="1"/>
        <v>1</v>
      </c>
      <c r="AZ28" s="17">
        <f t="shared" si="2"/>
        <v>45</v>
      </c>
      <c r="BA28" s="18">
        <f t="shared" si="3"/>
        <v>97.777777777777771</v>
      </c>
    </row>
    <row r="29" spans="1:53" ht="15.75" customHeight="1">
      <c r="A29" s="11">
        <v>18</v>
      </c>
      <c r="B29" s="19" t="s">
        <v>55</v>
      </c>
      <c r="C29" s="20" t="s">
        <v>56</v>
      </c>
      <c r="D29" s="11" t="s">
        <v>21</v>
      </c>
      <c r="E29" s="11" t="s">
        <v>21</v>
      </c>
      <c r="F29" s="11" t="s">
        <v>21</v>
      </c>
      <c r="G29" s="11" t="s">
        <v>21</v>
      </c>
      <c r="H29" s="11" t="s">
        <v>21</v>
      </c>
      <c r="I29" s="14" t="s">
        <v>22</v>
      </c>
      <c r="J29" s="11" t="s">
        <v>21</v>
      </c>
      <c r="K29" s="11" t="s">
        <v>21</v>
      </c>
      <c r="L29" s="11" t="s">
        <v>21</v>
      </c>
      <c r="M29" s="11" t="s">
        <v>21</v>
      </c>
      <c r="N29" s="11" t="s">
        <v>21</v>
      </c>
      <c r="O29" s="11" t="s">
        <v>21</v>
      </c>
      <c r="P29" s="11" t="s">
        <v>21</v>
      </c>
      <c r="Q29" s="11" t="s">
        <v>21</v>
      </c>
      <c r="R29" s="14" t="s">
        <v>22</v>
      </c>
      <c r="S29" s="11" t="s">
        <v>21</v>
      </c>
      <c r="T29" s="11" t="s">
        <v>21</v>
      </c>
      <c r="U29" s="14" t="s">
        <v>22</v>
      </c>
      <c r="V29" s="14" t="s">
        <v>22</v>
      </c>
      <c r="W29" s="14" t="s">
        <v>21</v>
      </c>
      <c r="X29" s="11" t="s">
        <v>21</v>
      </c>
      <c r="Y29" s="11" t="s">
        <v>21</v>
      </c>
      <c r="Z29" s="11" t="s">
        <v>21</v>
      </c>
      <c r="AA29" s="11" t="s">
        <v>21</v>
      </c>
      <c r="AB29" s="11" t="s">
        <v>21</v>
      </c>
      <c r="AC29" s="11" t="s">
        <v>21</v>
      </c>
      <c r="AD29" s="11" t="s">
        <v>21</v>
      </c>
      <c r="AE29" s="11" t="s">
        <v>21</v>
      </c>
      <c r="AF29" s="11" t="s">
        <v>21</v>
      </c>
      <c r="AG29" s="11" t="s">
        <v>21</v>
      </c>
      <c r="AH29" s="11" t="s">
        <v>21</v>
      </c>
      <c r="AI29" s="11" t="s">
        <v>21</v>
      </c>
      <c r="AJ29" s="11" t="s">
        <v>21</v>
      </c>
      <c r="AK29" s="11" t="s">
        <v>21</v>
      </c>
      <c r="AL29" s="11" t="s">
        <v>21</v>
      </c>
      <c r="AM29" s="11" t="s">
        <v>21</v>
      </c>
      <c r="AN29" s="11" t="s">
        <v>21</v>
      </c>
      <c r="AO29" s="11" t="s">
        <v>21</v>
      </c>
      <c r="AP29" s="11" t="s">
        <v>22</v>
      </c>
      <c r="AQ29" s="15" t="s">
        <v>21</v>
      </c>
      <c r="AR29" s="15" t="s">
        <v>21</v>
      </c>
      <c r="AS29" s="15" t="s">
        <v>21</v>
      </c>
      <c r="AT29" s="15" t="s">
        <v>21</v>
      </c>
      <c r="AU29" s="15" t="s">
        <v>21</v>
      </c>
      <c r="AV29" s="15" t="s">
        <v>21</v>
      </c>
      <c r="AW29" s="16"/>
      <c r="AX29" s="17">
        <f t="shared" si="0"/>
        <v>40</v>
      </c>
      <c r="AY29" s="17">
        <f t="shared" si="1"/>
        <v>5</v>
      </c>
      <c r="AZ29" s="17">
        <f t="shared" si="2"/>
        <v>45</v>
      </c>
      <c r="BA29" s="18">
        <f t="shared" si="3"/>
        <v>88.888888888888886</v>
      </c>
    </row>
    <row r="30" spans="1:53" ht="15.75" customHeight="1">
      <c r="A30" s="11">
        <v>19</v>
      </c>
      <c r="B30" s="19" t="s">
        <v>57</v>
      </c>
      <c r="C30" s="20" t="s">
        <v>58</v>
      </c>
      <c r="D30" s="11" t="s">
        <v>21</v>
      </c>
      <c r="E30" s="11" t="s">
        <v>21</v>
      </c>
      <c r="F30" s="11" t="s">
        <v>21</v>
      </c>
      <c r="G30" s="11" t="s">
        <v>21</v>
      </c>
      <c r="H30" s="11" t="s">
        <v>21</v>
      </c>
      <c r="I30" s="11" t="s">
        <v>21</v>
      </c>
      <c r="J30" s="11" t="s">
        <v>21</v>
      </c>
      <c r="K30" s="11" t="s">
        <v>21</v>
      </c>
      <c r="L30" s="11" t="s">
        <v>21</v>
      </c>
      <c r="M30" s="14" t="s">
        <v>22</v>
      </c>
      <c r="N30" s="11" t="s">
        <v>21</v>
      </c>
      <c r="O30" s="11" t="s">
        <v>21</v>
      </c>
      <c r="P30" s="11" t="s">
        <v>21</v>
      </c>
      <c r="Q30" s="11" t="s">
        <v>21</v>
      </c>
      <c r="R30" s="11" t="s">
        <v>21</v>
      </c>
      <c r="S30" s="14" t="s">
        <v>22</v>
      </c>
      <c r="T30" s="11" t="s">
        <v>21</v>
      </c>
      <c r="U30" s="11" t="s">
        <v>21</v>
      </c>
      <c r="V30" s="11" t="s">
        <v>21</v>
      </c>
      <c r="W30" s="11" t="s">
        <v>21</v>
      </c>
      <c r="X30" s="11" t="s">
        <v>21</v>
      </c>
      <c r="Y30" s="11" t="s">
        <v>21</v>
      </c>
      <c r="Z30" s="11" t="s">
        <v>21</v>
      </c>
      <c r="AA30" s="11" t="s">
        <v>21</v>
      </c>
      <c r="AB30" s="11" t="s">
        <v>21</v>
      </c>
      <c r="AC30" s="11" t="s">
        <v>21</v>
      </c>
      <c r="AD30" s="11" t="s">
        <v>21</v>
      </c>
      <c r="AE30" s="14" t="s">
        <v>22</v>
      </c>
      <c r="AF30" s="11" t="s">
        <v>21</v>
      </c>
      <c r="AG30" s="11" t="s">
        <v>21</v>
      </c>
      <c r="AH30" s="11" t="s">
        <v>21</v>
      </c>
      <c r="AI30" s="11" t="s">
        <v>21</v>
      </c>
      <c r="AJ30" s="11" t="s">
        <v>21</v>
      </c>
      <c r="AK30" s="11" t="s">
        <v>21</v>
      </c>
      <c r="AL30" s="11" t="s">
        <v>21</v>
      </c>
      <c r="AM30" s="11" t="s">
        <v>21</v>
      </c>
      <c r="AN30" s="11" t="s">
        <v>21</v>
      </c>
      <c r="AO30" s="11" t="s">
        <v>21</v>
      </c>
      <c r="AP30" s="11" t="s">
        <v>21</v>
      </c>
      <c r="AQ30" s="15" t="s">
        <v>21</v>
      </c>
      <c r="AR30" s="15" t="s">
        <v>21</v>
      </c>
      <c r="AS30" s="15" t="s">
        <v>21</v>
      </c>
      <c r="AT30" s="15" t="s">
        <v>21</v>
      </c>
      <c r="AU30" s="15" t="s">
        <v>21</v>
      </c>
      <c r="AV30" s="15" t="s">
        <v>21</v>
      </c>
      <c r="AW30" s="16"/>
      <c r="AX30" s="17">
        <f t="shared" si="0"/>
        <v>42</v>
      </c>
      <c r="AY30" s="17">
        <f t="shared" si="1"/>
        <v>3</v>
      </c>
      <c r="AZ30" s="17">
        <f t="shared" si="2"/>
        <v>45</v>
      </c>
      <c r="BA30" s="18">
        <f t="shared" si="3"/>
        <v>93.333333333333329</v>
      </c>
    </row>
    <row r="31" spans="1:53" ht="15.75" customHeight="1">
      <c r="A31" s="11">
        <v>20</v>
      </c>
      <c r="B31" s="19" t="s">
        <v>59</v>
      </c>
      <c r="C31" s="20" t="s">
        <v>60</v>
      </c>
      <c r="D31" s="11" t="s">
        <v>21</v>
      </c>
      <c r="E31" s="11" t="s">
        <v>21</v>
      </c>
      <c r="F31" s="11" t="s">
        <v>21</v>
      </c>
      <c r="G31" s="11" t="s">
        <v>21</v>
      </c>
      <c r="H31" s="11" t="s">
        <v>21</v>
      </c>
      <c r="I31" s="11" t="s">
        <v>21</v>
      </c>
      <c r="J31" s="11" t="s">
        <v>21</v>
      </c>
      <c r="K31" s="11" t="s">
        <v>21</v>
      </c>
      <c r="L31" s="11" t="s">
        <v>21</v>
      </c>
      <c r="M31" s="11" t="s">
        <v>21</v>
      </c>
      <c r="N31" s="11" t="s">
        <v>21</v>
      </c>
      <c r="O31" s="11" t="s">
        <v>21</v>
      </c>
      <c r="P31" s="14" t="s">
        <v>22</v>
      </c>
      <c r="Q31" s="11" t="s">
        <v>21</v>
      </c>
      <c r="R31" s="11" t="s">
        <v>21</v>
      </c>
      <c r="S31" s="11" t="s">
        <v>21</v>
      </c>
      <c r="T31" s="11" t="s">
        <v>21</v>
      </c>
      <c r="U31" s="11" t="s">
        <v>21</v>
      </c>
      <c r="V31" s="11" t="s">
        <v>21</v>
      </c>
      <c r="W31" s="11" t="s">
        <v>21</v>
      </c>
      <c r="X31" s="11" t="s">
        <v>21</v>
      </c>
      <c r="Y31" s="11" t="s">
        <v>21</v>
      </c>
      <c r="Z31" s="11" t="s">
        <v>21</v>
      </c>
      <c r="AA31" s="11" t="s">
        <v>21</v>
      </c>
      <c r="AB31" s="11" t="s">
        <v>21</v>
      </c>
      <c r="AC31" s="11" t="s">
        <v>21</v>
      </c>
      <c r="AD31" s="11" t="s">
        <v>21</v>
      </c>
      <c r="AE31" s="11" t="s">
        <v>21</v>
      </c>
      <c r="AF31" s="11" t="s">
        <v>21</v>
      </c>
      <c r="AG31" s="11" t="s">
        <v>21</v>
      </c>
      <c r="AH31" s="11" t="s">
        <v>21</v>
      </c>
      <c r="AI31" s="14" t="s">
        <v>22</v>
      </c>
      <c r="AJ31" s="11" t="s">
        <v>21</v>
      </c>
      <c r="AK31" s="11" t="s">
        <v>21</v>
      </c>
      <c r="AL31" s="11" t="s">
        <v>21</v>
      </c>
      <c r="AM31" s="11" t="s">
        <v>21</v>
      </c>
      <c r="AN31" s="11" t="s">
        <v>21</v>
      </c>
      <c r="AO31" s="11" t="s">
        <v>21</v>
      </c>
      <c r="AP31" s="11" t="s">
        <v>22</v>
      </c>
      <c r="AQ31" s="11" t="s">
        <v>22</v>
      </c>
      <c r="AR31" s="15" t="s">
        <v>21</v>
      </c>
      <c r="AS31" s="15" t="s">
        <v>21</v>
      </c>
      <c r="AT31" s="15" t="s">
        <v>21</v>
      </c>
      <c r="AU31" s="15" t="s">
        <v>21</v>
      </c>
      <c r="AV31" s="11" t="s">
        <v>22</v>
      </c>
      <c r="AW31" s="16"/>
      <c r="AX31" s="17">
        <f t="shared" si="0"/>
        <v>40</v>
      </c>
      <c r="AY31" s="17">
        <f t="shared" si="1"/>
        <v>5</v>
      </c>
      <c r="AZ31" s="17">
        <f t="shared" si="2"/>
        <v>45</v>
      </c>
      <c r="BA31" s="18">
        <f t="shared" si="3"/>
        <v>88.888888888888886</v>
      </c>
    </row>
    <row r="32" spans="1:53" ht="15.75" customHeight="1">
      <c r="A32" s="11">
        <v>21</v>
      </c>
      <c r="B32" s="19" t="s">
        <v>61</v>
      </c>
      <c r="C32" s="20" t="s">
        <v>62</v>
      </c>
      <c r="D32" s="11" t="s">
        <v>21</v>
      </c>
      <c r="E32" s="11" t="s">
        <v>21</v>
      </c>
      <c r="F32" s="11" t="s">
        <v>21</v>
      </c>
      <c r="G32" s="11" t="s">
        <v>21</v>
      </c>
      <c r="H32" s="11" t="s">
        <v>21</v>
      </c>
      <c r="I32" s="11" t="s">
        <v>21</v>
      </c>
      <c r="J32" s="11" t="s">
        <v>21</v>
      </c>
      <c r="K32" s="11" t="s">
        <v>21</v>
      </c>
      <c r="L32" s="11" t="s">
        <v>21</v>
      </c>
      <c r="M32" s="11" t="s">
        <v>21</v>
      </c>
      <c r="N32" s="11" t="s">
        <v>21</v>
      </c>
      <c r="O32" s="11" t="s">
        <v>21</v>
      </c>
      <c r="P32" s="11" t="s">
        <v>21</v>
      </c>
      <c r="Q32" s="11" t="s">
        <v>21</v>
      </c>
      <c r="R32" s="11" t="s">
        <v>21</v>
      </c>
      <c r="S32" s="11" t="s">
        <v>21</v>
      </c>
      <c r="T32" s="11" t="s">
        <v>21</v>
      </c>
      <c r="U32" s="11" t="s">
        <v>21</v>
      </c>
      <c r="V32" s="11" t="s">
        <v>21</v>
      </c>
      <c r="W32" s="11" t="s">
        <v>21</v>
      </c>
      <c r="X32" s="11" t="s">
        <v>21</v>
      </c>
      <c r="Y32" s="11" t="s">
        <v>21</v>
      </c>
      <c r="Z32" s="11" t="s">
        <v>21</v>
      </c>
      <c r="AA32" s="11" t="s">
        <v>21</v>
      </c>
      <c r="AB32" s="11" t="s">
        <v>21</v>
      </c>
      <c r="AC32" s="11" t="s">
        <v>21</v>
      </c>
      <c r="AD32" s="11" t="s">
        <v>21</v>
      </c>
      <c r="AE32" s="11" t="s">
        <v>21</v>
      </c>
      <c r="AF32" s="11" t="s">
        <v>21</v>
      </c>
      <c r="AG32" s="11" t="s">
        <v>21</v>
      </c>
      <c r="AH32" s="11" t="s">
        <v>21</v>
      </c>
      <c r="AI32" s="14" t="s">
        <v>22</v>
      </c>
      <c r="AJ32" s="11" t="s">
        <v>21</v>
      </c>
      <c r="AK32" s="11" t="s">
        <v>21</v>
      </c>
      <c r="AL32" s="11" t="s">
        <v>21</v>
      </c>
      <c r="AM32" s="11" t="s">
        <v>21</v>
      </c>
      <c r="AN32" s="11" t="s">
        <v>21</v>
      </c>
      <c r="AO32" s="11" t="s">
        <v>21</v>
      </c>
      <c r="AP32" s="11" t="s">
        <v>21</v>
      </c>
      <c r="AQ32" s="15" t="s">
        <v>21</v>
      </c>
      <c r="AR32" s="15" t="s">
        <v>21</v>
      </c>
      <c r="AS32" s="15" t="s">
        <v>21</v>
      </c>
      <c r="AT32" s="11" t="s">
        <v>22</v>
      </c>
      <c r="AU32" s="15" t="s">
        <v>21</v>
      </c>
      <c r="AV32" s="15" t="s">
        <v>21</v>
      </c>
      <c r="AW32" s="16"/>
      <c r="AX32" s="17">
        <f t="shared" si="0"/>
        <v>43</v>
      </c>
      <c r="AY32" s="17">
        <f t="shared" si="1"/>
        <v>2</v>
      </c>
      <c r="AZ32" s="17">
        <f t="shared" si="2"/>
        <v>45</v>
      </c>
      <c r="BA32" s="18">
        <f t="shared" si="3"/>
        <v>95.555555555555557</v>
      </c>
    </row>
    <row r="33" spans="1:53" ht="15.75" customHeight="1">
      <c r="A33" s="11">
        <v>22</v>
      </c>
      <c r="B33" s="19" t="s">
        <v>63</v>
      </c>
      <c r="C33" s="20" t="s">
        <v>64</v>
      </c>
      <c r="D33" s="11" t="s">
        <v>21</v>
      </c>
      <c r="E33" s="11" t="s">
        <v>21</v>
      </c>
      <c r="F33" s="11" t="s">
        <v>21</v>
      </c>
      <c r="G33" s="11" t="s">
        <v>21</v>
      </c>
      <c r="H33" s="11" t="s">
        <v>21</v>
      </c>
      <c r="I33" s="11" t="s">
        <v>21</v>
      </c>
      <c r="J33" s="11" t="s">
        <v>21</v>
      </c>
      <c r="K33" s="11" t="s">
        <v>21</v>
      </c>
      <c r="L33" s="11" t="s">
        <v>21</v>
      </c>
      <c r="M33" s="11" t="s">
        <v>21</v>
      </c>
      <c r="N33" s="11" t="s">
        <v>21</v>
      </c>
      <c r="O33" s="11" t="s">
        <v>21</v>
      </c>
      <c r="P33" s="11" t="s">
        <v>21</v>
      </c>
      <c r="Q33" s="11" t="s">
        <v>21</v>
      </c>
      <c r="R33" s="14" t="s">
        <v>22</v>
      </c>
      <c r="S33" s="11" t="s">
        <v>21</v>
      </c>
      <c r="T33" s="11" t="s">
        <v>21</v>
      </c>
      <c r="U33" s="11" t="s">
        <v>21</v>
      </c>
      <c r="V33" s="11" t="s">
        <v>21</v>
      </c>
      <c r="W33" s="11" t="s">
        <v>21</v>
      </c>
      <c r="X33" s="11" t="s">
        <v>21</v>
      </c>
      <c r="Y33" s="11" t="s">
        <v>21</v>
      </c>
      <c r="Z33" s="11" t="s">
        <v>21</v>
      </c>
      <c r="AA33" s="11" t="s">
        <v>21</v>
      </c>
      <c r="AB33" s="11" t="s">
        <v>21</v>
      </c>
      <c r="AC33" s="11" t="s">
        <v>21</v>
      </c>
      <c r="AD33" s="11" t="s">
        <v>21</v>
      </c>
      <c r="AE33" s="11" t="s">
        <v>21</v>
      </c>
      <c r="AF33" s="11" t="s">
        <v>21</v>
      </c>
      <c r="AG33" s="11" t="s">
        <v>21</v>
      </c>
      <c r="AH33" s="11" t="s">
        <v>21</v>
      </c>
      <c r="AI33" s="14" t="s">
        <v>22</v>
      </c>
      <c r="AJ33" s="11" t="s">
        <v>21</v>
      </c>
      <c r="AK33" s="11" t="s">
        <v>21</v>
      </c>
      <c r="AL33" s="11" t="s">
        <v>21</v>
      </c>
      <c r="AM33" s="11" t="s">
        <v>21</v>
      </c>
      <c r="AN33" s="11" t="s">
        <v>21</v>
      </c>
      <c r="AO33" s="11" t="s">
        <v>21</v>
      </c>
      <c r="AP33" s="11" t="s">
        <v>21</v>
      </c>
      <c r="AQ33" s="15" t="s">
        <v>21</v>
      </c>
      <c r="AR33" s="15" t="s">
        <v>21</v>
      </c>
      <c r="AS33" s="15" t="s">
        <v>21</v>
      </c>
      <c r="AT33" s="11" t="s">
        <v>22</v>
      </c>
      <c r="AU33" s="15" t="s">
        <v>21</v>
      </c>
      <c r="AV33" s="15" t="s">
        <v>21</v>
      </c>
      <c r="AW33" s="16"/>
      <c r="AX33" s="17">
        <f t="shared" si="0"/>
        <v>42</v>
      </c>
      <c r="AY33" s="17">
        <f t="shared" si="1"/>
        <v>3</v>
      </c>
      <c r="AZ33" s="17">
        <f t="shared" si="2"/>
        <v>45</v>
      </c>
      <c r="BA33" s="18">
        <f t="shared" si="3"/>
        <v>93.333333333333329</v>
      </c>
    </row>
    <row r="34" spans="1:53" ht="15.75" customHeight="1">
      <c r="A34" s="11">
        <v>23</v>
      </c>
      <c r="B34" s="19" t="s">
        <v>65</v>
      </c>
      <c r="C34" s="20" t="s">
        <v>66</v>
      </c>
      <c r="D34" s="11" t="s">
        <v>21</v>
      </c>
      <c r="E34" s="11" t="s">
        <v>21</v>
      </c>
      <c r="F34" s="11" t="s">
        <v>21</v>
      </c>
      <c r="G34" s="11" t="s">
        <v>21</v>
      </c>
      <c r="H34" s="14" t="s">
        <v>22</v>
      </c>
      <c r="I34" s="11" t="s">
        <v>21</v>
      </c>
      <c r="J34" s="11" t="s">
        <v>21</v>
      </c>
      <c r="K34" s="11" t="s">
        <v>21</v>
      </c>
      <c r="L34" s="11" t="s">
        <v>21</v>
      </c>
      <c r="M34" s="11" t="s">
        <v>21</v>
      </c>
      <c r="N34" s="11" t="s">
        <v>21</v>
      </c>
      <c r="O34" s="11" t="s">
        <v>21</v>
      </c>
      <c r="P34" s="11" t="s">
        <v>21</v>
      </c>
      <c r="Q34" s="11" t="s">
        <v>21</v>
      </c>
      <c r="R34" s="14" t="s">
        <v>22</v>
      </c>
      <c r="S34" s="11" t="s">
        <v>21</v>
      </c>
      <c r="T34" s="11" t="s">
        <v>21</v>
      </c>
      <c r="U34" s="11" t="s">
        <v>21</v>
      </c>
      <c r="V34" s="11" t="s">
        <v>21</v>
      </c>
      <c r="W34" s="11" t="s">
        <v>21</v>
      </c>
      <c r="X34" s="11" t="s">
        <v>21</v>
      </c>
      <c r="Y34" s="11" t="s">
        <v>21</v>
      </c>
      <c r="Z34" s="11" t="s">
        <v>21</v>
      </c>
      <c r="AA34" s="11" t="s">
        <v>21</v>
      </c>
      <c r="AB34" s="11" t="s">
        <v>21</v>
      </c>
      <c r="AC34" s="11" t="s">
        <v>21</v>
      </c>
      <c r="AD34" s="11" t="s">
        <v>21</v>
      </c>
      <c r="AE34" s="11" t="s">
        <v>21</v>
      </c>
      <c r="AF34" s="11" t="s">
        <v>21</v>
      </c>
      <c r="AG34" s="11" t="s">
        <v>21</v>
      </c>
      <c r="AH34" s="11" t="s">
        <v>21</v>
      </c>
      <c r="AI34" s="11" t="s">
        <v>21</v>
      </c>
      <c r="AJ34" s="11" t="s">
        <v>21</v>
      </c>
      <c r="AK34" s="11" t="s">
        <v>21</v>
      </c>
      <c r="AL34" s="11" t="s">
        <v>21</v>
      </c>
      <c r="AM34" s="11" t="s">
        <v>21</v>
      </c>
      <c r="AN34" s="11" t="s">
        <v>21</v>
      </c>
      <c r="AO34" s="11" t="s">
        <v>21</v>
      </c>
      <c r="AP34" s="11" t="s">
        <v>21</v>
      </c>
      <c r="AQ34" s="11" t="s">
        <v>21</v>
      </c>
      <c r="AR34" s="15" t="s">
        <v>21</v>
      </c>
      <c r="AS34" s="11" t="s">
        <v>22</v>
      </c>
      <c r="AT34" s="11" t="s">
        <v>22</v>
      </c>
      <c r="AU34" s="15" t="s">
        <v>21</v>
      </c>
      <c r="AV34" s="11" t="s">
        <v>22</v>
      </c>
      <c r="AW34" s="16"/>
      <c r="AX34" s="17">
        <f t="shared" si="0"/>
        <v>40</v>
      </c>
      <c r="AY34" s="17">
        <f t="shared" si="1"/>
        <v>5</v>
      </c>
      <c r="AZ34" s="17">
        <f t="shared" si="2"/>
        <v>45</v>
      </c>
      <c r="BA34" s="18">
        <f t="shared" si="3"/>
        <v>88.888888888888886</v>
      </c>
    </row>
    <row r="35" spans="1:53" ht="15.75" customHeight="1">
      <c r="A35" s="11">
        <v>24</v>
      </c>
      <c r="B35" s="19" t="s">
        <v>67</v>
      </c>
      <c r="C35" s="20" t="s">
        <v>68</v>
      </c>
      <c r="D35" s="11" t="s">
        <v>21</v>
      </c>
      <c r="E35" s="11" t="s">
        <v>21</v>
      </c>
      <c r="F35" s="11" t="s">
        <v>21</v>
      </c>
      <c r="G35" s="11" t="s">
        <v>21</v>
      </c>
      <c r="H35" s="11" t="s">
        <v>21</v>
      </c>
      <c r="I35" s="11" t="s">
        <v>21</v>
      </c>
      <c r="J35" s="11" t="s">
        <v>21</v>
      </c>
      <c r="K35" s="11" t="s">
        <v>21</v>
      </c>
      <c r="L35" s="11" t="s">
        <v>21</v>
      </c>
      <c r="M35" s="11" t="s">
        <v>21</v>
      </c>
      <c r="N35" s="11" t="s">
        <v>21</v>
      </c>
      <c r="O35" s="11" t="s">
        <v>21</v>
      </c>
      <c r="P35" s="11" t="s">
        <v>21</v>
      </c>
      <c r="Q35" s="11" t="s">
        <v>21</v>
      </c>
      <c r="R35" s="14" t="s">
        <v>22</v>
      </c>
      <c r="S35" s="11" t="s">
        <v>21</v>
      </c>
      <c r="T35" s="11" t="s">
        <v>21</v>
      </c>
      <c r="U35" s="11" t="s">
        <v>21</v>
      </c>
      <c r="V35" s="11" t="s">
        <v>21</v>
      </c>
      <c r="W35" s="11" t="s">
        <v>21</v>
      </c>
      <c r="X35" s="11" t="s">
        <v>21</v>
      </c>
      <c r="Y35" s="11" t="s">
        <v>21</v>
      </c>
      <c r="Z35" s="11" t="s">
        <v>21</v>
      </c>
      <c r="AA35" s="11" t="s">
        <v>21</v>
      </c>
      <c r="AB35" s="14" t="s">
        <v>22</v>
      </c>
      <c r="AC35" s="11" t="s">
        <v>21</v>
      </c>
      <c r="AD35" s="11" t="s">
        <v>21</v>
      </c>
      <c r="AE35" s="11" t="s">
        <v>21</v>
      </c>
      <c r="AF35" s="11" t="s">
        <v>21</v>
      </c>
      <c r="AG35" s="11" t="s">
        <v>21</v>
      </c>
      <c r="AH35" s="11" t="s">
        <v>21</v>
      </c>
      <c r="AI35" s="11" t="s">
        <v>21</v>
      </c>
      <c r="AJ35" s="11" t="s">
        <v>21</v>
      </c>
      <c r="AK35" s="11" t="s">
        <v>21</v>
      </c>
      <c r="AL35" s="11" t="s">
        <v>21</v>
      </c>
      <c r="AM35" s="11" t="s">
        <v>21</v>
      </c>
      <c r="AN35" s="11" t="s">
        <v>21</v>
      </c>
      <c r="AO35" s="11" t="s">
        <v>21</v>
      </c>
      <c r="AP35" s="11" t="s">
        <v>21</v>
      </c>
      <c r="AQ35" s="15" t="s">
        <v>21</v>
      </c>
      <c r="AR35" s="15" t="s">
        <v>21</v>
      </c>
      <c r="AS35" s="15" t="s">
        <v>21</v>
      </c>
      <c r="AT35" s="15" t="s">
        <v>21</v>
      </c>
      <c r="AU35" s="15" t="s">
        <v>21</v>
      </c>
      <c r="AV35" s="15" t="s">
        <v>21</v>
      </c>
      <c r="AW35" s="16"/>
      <c r="AX35" s="17">
        <f t="shared" si="0"/>
        <v>43</v>
      </c>
      <c r="AY35" s="17">
        <f t="shared" si="1"/>
        <v>2</v>
      </c>
      <c r="AZ35" s="17">
        <f t="shared" si="2"/>
        <v>45</v>
      </c>
      <c r="BA35" s="18">
        <f t="shared" si="3"/>
        <v>95.555555555555557</v>
      </c>
    </row>
    <row r="36" spans="1:53" ht="15.75" customHeight="1">
      <c r="A36" s="11">
        <v>25</v>
      </c>
      <c r="B36" s="19" t="s">
        <v>69</v>
      </c>
      <c r="C36" s="20" t="s">
        <v>70</v>
      </c>
      <c r="D36" s="11" t="s">
        <v>21</v>
      </c>
      <c r="E36" s="11" t="s">
        <v>21</v>
      </c>
      <c r="F36" s="11" t="s">
        <v>21</v>
      </c>
      <c r="G36" s="11" t="s">
        <v>21</v>
      </c>
      <c r="H36" s="11" t="s">
        <v>21</v>
      </c>
      <c r="I36" s="11" t="s">
        <v>21</v>
      </c>
      <c r="J36" s="11" t="s">
        <v>21</v>
      </c>
      <c r="K36" s="11" t="s">
        <v>21</v>
      </c>
      <c r="L36" s="11" t="s">
        <v>21</v>
      </c>
      <c r="M36" s="11" t="s">
        <v>21</v>
      </c>
      <c r="N36" s="11" t="s">
        <v>21</v>
      </c>
      <c r="O36" s="11" t="s">
        <v>21</v>
      </c>
      <c r="P36" s="11" t="s">
        <v>21</v>
      </c>
      <c r="Q36" s="11" t="s">
        <v>21</v>
      </c>
      <c r="R36" s="11" t="s">
        <v>21</v>
      </c>
      <c r="S36" s="11" t="s">
        <v>21</v>
      </c>
      <c r="T36" s="11" t="s">
        <v>21</v>
      </c>
      <c r="U36" s="11" t="s">
        <v>21</v>
      </c>
      <c r="V36" s="11" t="s">
        <v>21</v>
      </c>
      <c r="W36" s="11" t="s">
        <v>21</v>
      </c>
      <c r="X36" s="11" t="s">
        <v>21</v>
      </c>
      <c r="Y36" s="11" t="s">
        <v>21</v>
      </c>
      <c r="Z36" s="11" t="s">
        <v>21</v>
      </c>
      <c r="AA36" s="11" t="s">
        <v>21</v>
      </c>
      <c r="AB36" s="11" t="s">
        <v>21</v>
      </c>
      <c r="AC36" s="11" t="s">
        <v>21</v>
      </c>
      <c r="AD36" s="11" t="s">
        <v>21</v>
      </c>
      <c r="AE36" s="11" t="s">
        <v>21</v>
      </c>
      <c r="AF36" s="11" t="s">
        <v>21</v>
      </c>
      <c r="AG36" s="11" t="s">
        <v>21</v>
      </c>
      <c r="AH36" s="11" t="s">
        <v>21</v>
      </c>
      <c r="AI36" s="11" t="s">
        <v>21</v>
      </c>
      <c r="AJ36" s="11" t="s">
        <v>21</v>
      </c>
      <c r="AK36" s="11" t="s">
        <v>21</v>
      </c>
      <c r="AL36" s="11" t="s">
        <v>21</v>
      </c>
      <c r="AM36" s="11" t="s">
        <v>21</v>
      </c>
      <c r="AN36" s="11" t="s">
        <v>21</v>
      </c>
      <c r="AO36" s="11" t="s">
        <v>21</v>
      </c>
      <c r="AP36" s="11" t="s">
        <v>21</v>
      </c>
      <c r="AQ36" s="15" t="s">
        <v>21</v>
      </c>
      <c r="AR36" s="15" t="s">
        <v>21</v>
      </c>
      <c r="AS36" s="15" t="s">
        <v>21</v>
      </c>
      <c r="AT36" s="15" t="s">
        <v>21</v>
      </c>
      <c r="AU36" s="15" t="s">
        <v>21</v>
      </c>
      <c r="AV36" s="15" t="s">
        <v>21</v>
      </c>
      <c r="AW36" s="16"/>
      <c r="AX36" s="17">
        <f t="shared" si="0"/>
        <v>45</v>
      </c>
      <c r="AY36" s="17">
        <f t="shared" si="1"/>
        <v>0</v>
      </c>
      <c r="AZ36" s="17">
        <f t="shared" si="2"/>
        <v>45</v>
      </c>
      <c r="BA36" s="18">
        <f t="shared" si="3"/>
        <v>100</v>
      </c>
    </row>
    <row r="37" spans="1:53" ht="15.75" customHeight="1">
      <c r="A37" s="11">
        <v>26</v>
      </c>
      <c r="B37" s="19" t="s">
        <v>71</v>
      </c>
      <c r="C37" s="20" t="s">
        <v>72</v>
      </c>
      <c r="D37" s="11" t="s">
        <v>21</v>
      </c>
      <c r="E37" s="11" t="s">
        <v>21</v>
      </c>
      <c r="F37" s="11" t="s">
        <v>21</v>
      </c>
      <c r="G37" s="11" t="s">
        <v>21</v>
      </c>
      <c r="H37" s="11" t="s">
        <v>21</v>
      </c>
      <c r="I37" s="11" t="s">
        <v>21</v>
      </c>
      <c r="J37" s="11" t="s">
        <v>21</v>
      </c>
      <c r="K37" s="11" t="s">
        <v>21</v>
      </c>
      <c r="L37" s="11" t="s">
        <v>21</v>
      </c>
      <c r="M37" s="11" t="s">
        <v>21</v>
      </c>
      <c r="N37" s="11" t="s">
        <v>21</v>
      </c>
      <c r="O37" s="11" t="s">
        <v>21</v>
      </c>
      <c r="P37" s="11" t="s">
        <v>21</v>
      </c>
      <c r="Q37" s="11" t="s">
        <v>21</v>
      </c>
      <c r="R37" s="11" t="s">
        <v>21</v>
      </c>
      <c r="S37" s="11" t="s">
        <v>21</v>
      </c>
      <c r="T37" s="11" t="s">
        <v>21</v>
      </c>
      <c r="U37" s="11" t="s">
        <v>21</v>
      </c>
      <c r="V37" s="11" t="s">
        <v>21</v>
      </c>
      <c r="W37" s="11" t="s">
        <v>21</v>
      </c>
      <c r="X37" s="11" t="s">
        <v>21</v>
      </c>
      <c r="Y37" s="11" t="s">
        <v>21</v>
      </c>
      <c r="Z37" s="11" t="s">
        <v>21</v>
      </c>
      <c r="AA37" s="11" t="s">
        <v>21</v>
      </c>
      <c r="AB37" s="11" t="s">
        <v>21</v>
      </c>
      <c r="AC37" s="11" t="s">
        <v>21</v>
      </c>
      <c r="AD37" s="11" t="s">
        <v>21</v>
      </c>
      <c r="AE37" s="11" t="s">
        <v>21</v>
      </c>
      <c r="AF37" s="11" t="s">
        <v>21</v>
      </c>
      <c r="AG37" s="11" t="s">
        <v>21</v>
      </c>
      <c r="AH37" s="11" t="s">
        <v>21</v>
      </c>
      <c r="AI37" s="11" t="s">
        <v>21</v>
      </c>
      <c r="AJ37" s="11" t="s">
        <v>21</v>
      </c>
      <c r="AK37" s="11" t="s">
        <v>21</v>
      </c>
      <c r="AL37" s="11" t="s">
        <v>21</v>
      </c>
      <c r="AM37" s="11" t="s">
        <v>21</v>
      </c>
      <c r="AN37" s="11" t="s">
        <v>21</v>
      </c>
      <c r="AO37" s="11" t="s">
        <v>21</v>
      </c>
      <c r="AP37" s="11" t="s">
        <v>22</v>
      </c>
      <c r="AQ37" s="11" t="s">
        <v>22</v>
      </c>
      <c r="AR37" s="15" t="s">
        <v>21</v>
      </c>
      <c r="AS37" s="15" t="s">
        <v>21</v>
      </c>
      <c r="AT37" s="11" t="s">
        <v>22</v>
      </c>
      <c r="AU37" s="15" t="s">
        <v>21</v>
      </c>
      <c r="AV37" s="11" t="s">
        <v>22</v>
      </c>
      <c r="AW37" s="16"/>
      <c r="AX37" s="17">
        <f t="shared" si="0"/>
        <v>41</v>
      </c>
      <c r="AY37" s="17">
        <f t="shared" si="1"/>
        <v>4</v>
      </c>
      <c r="AZ37" s="17">
        <f t="shared" si="2"/>
        <v>45</v>
      </c>
      <c r="BA37" s="18">
        <f t="shared" si="3"/>
        <v>91.111111111111114</v>
      </c>
    </row>
    <row r="38" spans="1:53" ht="15.75" customHeight="1">
      <c r="A38" s="11">
        <v>27</v>
      </c>
      <c r="B38" s="19" t="s">
        <v>73</v>
      </c>
      <c r="C38" s="20" t="s">
        <v>74</v>
      </c>
      <c r="D38" s="11" t="s">
        <v>21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11" t="s">
        <v>21</v>
      </c>
      <c r="L38" s="11" t="s">
        <v>21</v>
      </c>
      <c r="M38" s="11" t="s">
        <v>21</v>
      </c>
      <c r="N38" s="11" t="s">
        <v>21</v>
      </c>
      <c r="O38" s="11" t="s">
        <v>21</v>
      </c>
      <c r="P38" s="11" t="s">
        <v>21</v>
      </c>
      <c r="Q38" s="11" t="s">
        <v>21</v>
      </c>
      <c r="R38" s="11" t="s">
        <v>21</v>
      </c>
      <c r="S38" s="11" t="s">
        <v>21</v>
      </c>
      <c r="T38" s="11" t="s">
        <v>21</v>
      </c>
      <c r="U38" s="11" t="s">
        <v>21</v>
      </c>
      <c r="V38" s="11" t="s">
        <v>21</v>
      </c>
      <c r="W38" s="11" t="s">
        <v>21</v>
      </c>
      <c r="X38" s="14" t="s">
        <v>22</v>
      </c>
      <c r="Y38" s="11" t="s">
        <v>21</v>
      </c>
      <c r="Z38" s="11" t="s">
        <v>21</v>
      </c>
      <c r="AA38" s="11" t="s">
        <v>21</v>
      </c>
      <c r="AB38" s="11" t="s">
        <v>21</v>
      </c>
      <c r="AC38" s="11" t="s">
        <v>21</v>
      </c>
      <c r="AD38" s="11" t="s">
        <v>21</v>
      </c>
      <c r="AE38" s="11" t="s">
        <v>21</v>
      </c>
      <c r="AF38" s="11" t="s">
        <v>21</v>
      </c>
      <c r="AG38" s="11" t="s">
        <v>21</v>
      </c>
      <c r="AH38" s="11" t="s">
        <v>21</v>
      </c>
      <c r="AI38" s="11" t="s">
        <v>21</v>
      </c>
      <c r="AJ38" s="11" t="s">
        <v>21</v>
      </c>
      <c r="AK38" s="11" t="s">
        <v>21</v>
      </c>
      <c r="AL38" s="11" t="s">
        <v>21</v>
      </c>
      <c r="AM38" s="11" t="s">
        <v>21</v>
      </c>
      <c r="AN38" s="11" t="s">
        <v>21</v>
      </c>
      <c r="AO38" s="11" t="s">
        <v>21</v>
      </c>
      <c r="AP38" s="11" t="s">
        <v>21</v>
      </c>
      <c r="AQ38" s="15" t="s">
        <v>21</v>
      </c>
      <c r="AR38" s="15" t="s">
        <v>21</v>
      </c>
      <c r="AS38" s="15" t="s">
        <v>21</v>
      </c>
      <c r="AT38" s="15" t="s">
        <v>21</v>
      </c>
      <c r="AU38" s="15" t="s">
        <v>21</v>
      </c>
      <c r="AV38" s="15" t="s">
        <v>21</v>
      </c>
      <c r="AW38" s="16"/>
      <c r="AX38" s="17">
        <f t="shared" si="0"/>
        <v>44</v>
      </c>
      <c r="AY38" s="17">
        <f t="shared" si="1"/>
        <v>1</v>
      </c>
      <c r="AZ38" s="17">
        <f t="shared" si="2"/>
        <v>45</v>
      </c>
      <c r="BA38" s="18">
        <f t="shared" si="3"/>
        <v>97.777777777777771</v>
      </c>
    </row>
    <row r="39" spans="1:53" ht="15.75" customHeight="1">
      <c r="A39" s="11">
        <v>28</v>
      </c>
      <c r="B39" s="19" t="s">
        <v>75</v>
      </c>
      <c r="C39" s="20" t="s">
        <v>76</v>
      </c>
      <c r="D39" s="11" t="s">
        <v>21</v>
      </c>
      <c r="E39" s="11" t="s">
        <v>21</v>
      </c>
      <c r="F39" s="11" t="s">
        <v>21</v>
      </c>
      <c r="G39" s="11" t="s">
        <v>21</v>
      </c>
      <c r="H39" s="11" t="s">
        <v>21</v>
      </c>
      <c r="I39" s="11" t="s">
        <v>21</v>
      </c>
      <c r="J39" s="11" t="s">
        <v>21</v>
      </c>
      <c r="K39" s="11" t="s">
        <v>21</v>
      </c>
      <c r="L39" s="11" t="s">
        <v>21</v>
      </c>
      <c r="M39" s="11" t="s">
        <v>21</v>
      </c>
      <c r="N39" s="11" t="s">
        <v>21</v>
      </c>
      <c r="O39" s="11" t="s">
        <v>21</v>
      </c>
      <c r="P39" s="11" t="s">
        <v>21</v>
      </c>
      <c r="Q39" s="11" t="s">
        <v>21</v>
      </c>
      <c r="R39" s="11" t="s">
        <v>21</v>
      </c>
      <c r="S39" s="11" t="s">
        <v>21</v>
      </c>
      <c r="T39" s="11" t="s">
        <v>21</v>
      </c>
      <c r="U39" s="11" t="s">
        <v>21</v>
      </c>
      <c r="V39" s="11" t="s">
        <v>21</v>
      </c>
      <c r="W39" s="11" t="s">
        <v>21</v>
      </c>
      <c r="X39" s="11" t="s">
        <v>21</v>
      </c>
      <c r="Y39" s="11" t="s">
        <v>21</v>
      </c>
      <c r="Z39" s="11" t="s">
        <v>21</v>
      </c>
      <c r="AA39" s="11" t="s">
        <v>21</v>
      </c>
      <c r="AB39" s="11" t="s">
        <v>21</v>
      </c>
      <c r="AC39" s="11" t="s">
        <v>21</v>
      </c>
      <c r="AD39" s="11" t="s">
        <v>21</v>
      </c>
      <c r="AE39" s="11" t="s">
        <v>21</v>
      </c>
      <c r="AF39" s="11" t="s">
        <v>21</v>
      </c>
      <c r="AG39" s="11" t="s">
        <v>21</v>
      </c>
      <c r="AH39" s="11" t="s">
        <v>21</v>
      </c>
      <c r="AI39" s="11" t="s">
        <v>21</v>
      </c>
      <c r="AJ39" s="11" t="s">
        <v>21</v>
      </c>
      <c r="AK39" s="11" t="s">
        <v>21</v>
      </c>
      <c r="AL39" s="11" t="s">
        <v>21</v>
      </c>
      <c r="AM39" s="11" t="s">
        <v>21</v>
      </c>
      <c r="AN39" s="11" t="s">
        <v>21</v>
      </c>
      <c r="AO39" s="11" t="s">
        <v>21</v>
      </c>
      <c r="AP39" s="11" t="s">
        <v>21</v>
      </c>
      <c r="AQ39" s="15" t="s">
        <v>21</v>
      </c>
      <c r="AR39" s="15" t="s">
        <v>21</v>
      </c>
      <c r="AS39" s="15" t="s">
        <v>21</v>
      </c>
      <c r="AT39" s="15" t="s">
        <v>21</v>
      </c>
      <c r="AU39" s="15" t="s">
        <v>21</v>
      </c>
      <c r="AV39" s="15" t="s">
        <v>21</v>
      </c>
      <c r="AW39" s="16"/>
      <c r="AX39" s="17">
        <f t="shared" si="0"/>
        <v>45</v>
      </c>
      <c r="AY39" s="17">
        <f t="shared" si="1"/>
        <v>0</v>
      </c>
      <c r="AZ39" s="17">
        <f t="shared" si="2"/>
        <v>45</v>
      </c>
      <c r="BA39" s="18">
        <f t="shared" si="3"/>
        <v>100</v>
      </c>
    </row>
    <row r="40" spans="1:53" ht="15.75" customHeight="1">
      <c r="A40" s="11">
        <v>29</v>
      </c>
      <c r="B40" s="19" t="s">
        <v>77</v>
      </c>
      <c r="C40" s="20" t="s">
        <v>78</v>
      </c>
      <c r="D40" s="11" t="s">
        <v>21</v>
      </c>
      <c r="E40" s="11" t="s">
        <v>21</v>
      </c>
      <c r="F40" s="11" t="s">
        <v>21</v>
      </c>
      <c r="G40" s="11" t="s">
        <v>21</v>
      </c>
      <c r="H40" s="11" t="s">
        <v>21</v>
      </c>
      <c r="I40" s="11" t="s">
        <v>21</v>
      </c>
      <c r="J40" s="11" t="s">
        <v>21</v>
      </c>
      <c r="K40" s="11" t="s">
        <v>21</v>
      </c>
      <c r="L40" s="11" t="s">
        <v>21</v>
      </c>
      <c r="M40" s="11" t="s">
        <v>21</v>
      </c>
      <c r="N40" s="11" t="s">
        <v>21</v>
      </c>
      <c r="O40" s="11" t="s">
        <v>21</v>
      </c>
      <c r="P40" s="14" t="s">
        <v>22</v>
      </c>
      <c r="Q40" s="11" t="s">
        <v>21</v>
      </c>
      <c r="R40" s="11" t="s">
        <v>21</v>
      </c>
      <c r="S40" s="11" t="s">
        <v>21</v>
      </c>
      <c r="T40" s="11" t="s">
        <v>21</v>
      </c>
      <c r="U40" s="11" t="s">
        <v>21</v>
      </c>
      <c r="V40" s="11" t="s">
        <v>21</v>
      </c>
      <c r="W40" s="11" t="s">
        <v>21</v>
      </c>
      <c r="X40" s="11" t="s">
        <v>21</v>
      </c>
      <c r="Y40" s="11" t="s">
        <v>21</v>
      </c>
      <c r="Z40" s="11" t="s">
        <v>21</v>
      </c>
      <c r="AA40" s="11" t="s">
        <v>21</v>
      </c>
      <c r="AB40" s="11" t="s">
        <v>21</v>
      </c>
      <c r="AC40" s="11" t="s">
        <v>21</v>
      </c>
      <c r="AD40" s="11" t="s">
        <v>21</v>
      </c>
      <c r="AE40" s="11" t="s">
        <v>21</v>
      </c>
      <c r="AF40" s="11" t="s">
        <v>21</v>
      </c>
      <c r="AG40" s="11" t="s">
        <v>21</v>
      </c>
      <c r="AH40" s="11" t="s">
        <v>21</v>
      </c>
      <c r="AI40" s="11" t="s">
        <v>21</v>
      </c>
      <c r="AJ40" s="11" t="s">
        <v>21</v>
      </c>
      <c r="AK40" s="11" t="s">
        <v>21</v>
      </c>
      <c r="AL40" s="11" t="s">
        <v>21</v>
      </c>
      <c r="AM40" s="11" t="s">
        <v>21</v>
      </c>
      <c r="AN40" s="11" t="s">
        <v>21</v>
      </c>
      <c r="AO40" s="11" t="s">
        <v>21</v>
      </c>
      <c r="AP40" s="11" t="s">
        <v>21</v>
      </c>
      <c r="AQ40" s="11" t="s">
        <v>22</v>
      </c>
      <c r="AR40" s="15" t="s">
        <v>21</v>
      </c>
      <c r="AS40" s="11" t="s">
        <v>22</v>
      </c>
      <c r="AT40" s="11" t="s">
        <v>22</v>
      </c>
      <c r="AU40" s="15" t="s">
        <v>21</v>
      </c>
      <c r="AV40" s="15" t="s">
        <v>21</v>
      </c>
      <c r="AW40" s="16"/>
      <c r="AX40" s="17">
        <f t="shared" si="0"/>
        <v>41</v>
      </c>
      <c r="AY40" s="17">
        <f t="shared" si="1"/>
        <v>4</v>
      </c>
      <c r="AZ40" s="17">
        <f t="shared" si="2"/>
        <v>45</v>
      </c>
      <c r="BA40" s="18">
        <f t="shared" si="3"/>
        <v>91.111111111111114</v>
      </c>
    </row>
    <row r="41" spans="1:53" ht="15.75" customHeight="1">
      <c r="A41" s="11">
        <v>30</v>
      </c>
      <c r="B41" s="19" t="s">
        <v>79</v>
      </c>
      <c r="C41" s="20" t="s">
        <v>80</v>
      </c>
      <c r="D41" s="11" t="s">
        <v>21</v>
      </c>
      <c r="E41" s="11" t="s">
        <v>21</v>
      </c>
      <c r="F41" s="11" t="s">
        <v>21</v>
      </c>
      <c r="G41" s="11" t="s">
        <v>21</v>
      </c>
      <c r="H41" s="14" t="s">
        <v>22</v>
      </c>
      <c r="I41" s="11" t="s">
        <v>21</v>
      </c>
      <c r="J41" s="11" t="s">
        <v>21</v>
      </c>
      <c r="K41" s="11" t="s">
        <v>21</v>
      </c>
      <c r="L41" s="11" t="s">
        <v>21</v>
      </c>
      <c r="M41" s="14" t="s">
        <v>22</v>
      </c>
      <c r="N41" s="11" t="s">
        <v>21</v>
      </c>
      <c r="O41" s="11" t="s">
        <v>21</v>
      </c>
      <c r="P41" s="11" t="s">
        <v>21</v>
      </c>
      <c r="Q41" s="11" t="s">
        <v>21</v>
      </c>
      <c r="R41" s="14" t="s">
        <v>22</v>
      </c>
      <c r="S41" s="11" t="s">
        <v>21</v>
      </c>
      <c r="T41" s="11" t="s">
        <v>21</v>
      </c>
      <c r="U41" s="11" t="s">
        <v>21</v>
      </c>
      <c r="V41" s="14" t="s">
        <v>21</v>
      </c>
      <c r="W41" s="11" t="s">
        <v>21</v>
      </c>
      <c r="X41" s="11" t="s">
        <v>21</v>
      </c>
      <c r="Y41" s="11" t="s">
        <v>21</v>
      </c>
      <c r="Z41" s="11" t="s">
        <v>21</v>
      </c>
      <c r="AA41" s="11" t="s">
        <v>21</v>
      </c>
      <c r="AB41" s="11" t="s">
        <v>21</v>
      </c>
      <c r="AC41" s="11" t="s">
        <v>21</v>
      </c>
      <c r="AD41" s="11" t="s">
        <v>21</v>
      </c>
      <c r="AE41" s="11" t="s">
        <v>21</v>
      </c>
      <c r="AF41" s="11" t="s">
        <v>21</v>
      </c>
      <c r="AG41" s="11" t="s">
        <v>21</v>
      </c>
      <c r="AH41" s="14" t="s">
        <v>21</v>
      </c>
      <c r="AI41" s="11" t="s">
        <v>21</v>
      </c>
      <c r="AJ41" s="11" t="s">
        <v>21</v>
      </c>
      <c r="AK41" s="11" t="s">
        <v>21</v>
      </c>
      <c r="AL41" s="11" t="s">
        <v>21</v>
      </c>
      <c r="AM41" s="11" t="s">
        <v>21</v>
      </c>
      <c r="AN41" s="11" t="s">
        <v>21</v>
      </c>
      <c r="AO41" s="11" t="s">
        <v>21</v>
      </c>
      <c r="AP41" s="11" t="s">
        <v>21</v>
      </c>
      <c r="AQ41" s="15" t="s">
        <v>21</v>
      </c>
      <c r="AR41" s="15" t="s">
        <v>21</v>
      </c>
      <c r="AS41" s="11" t="s">
        <v>22</v>
      </c>
      <c r="AT41" s="15" t="s">
        <v>21</v>
      </c>
      <c r="AU41" s="15" t="s">
        <v>21</v>
      </c>
      <c r="AV41" s="11" t="s">
        <v>22</v>
      </c>
      <c r="AW41" s="21"/>
      <c r="AX41" s="17">
        <f t="shared" si="0"/>
        <v>40</v>
      </c>
      <c r="AY41" s="17">
        <f t="shared" si="1"/>
        <v>5</v>
      </c>
      <c r="AZ41" s="17">
        <f t="shared" si="2"/>
        <v>45</v>
      </c>
      <c r="BA41" s="18">
        <f t="shared" si="3"/>
        <v>88.888888888888886</v>
      </c>
    </row>
    <row r="42" spans="1:53" ht="15.75" customHeight="1">
      <c r="A42" s="11">
        <v>31</v>
      </c>
      <c r="B42" s="19" t="s">
        <v>81</v>
      </c>
      <c r="C42" s="20" t="s">
        <v>82</v>
      </c>
      <c r="D42" s="11" t="s">
        <v>21</v>
      </c>
      <c r="E42" s="11" t="s">
        <v>21</v>
      </c>
      <c r="F42" s="11" t="s">
        <v>21</v>
      </c>
      <c r="G42" s="11" t="s">
        <v>21</v>
      </c>
      <c r="H42" s="11" t="s">
        <v>21</v>
      </c>
      <c r="I42" s="11" t="s">
        <v>21</v>
      </c>
      <c r="J42" s="11" t="s">
        <v>21</v>
      </c>
      <c r="K42" s="11" t="s">
        <v>21</v>
      </c>
      <c r="L42" s="11" t="s">
        <v>21</v>
      </c>
      <c r="M42" s="14" t="s">
        <v>22</v>
      </c>
      <c r="N42" s="11" t="s">
        <v>21</v>
      </c>
      <c r="O42" s="11" t="s">
        <v>21</v>
      </c>
      <c r="P42" s="11" t="s">
        <v>21</v>
      </c>
      <c r="Q42" s="11" t="s">
        <v>21</v>
      </c>
      <c r="R42" s="11" t="s">
        <v>21</v>
      </c>
      <c r="S42" s="11" t="s">
        <v>21</v>
      </c>
      <c r="T42" s="11" t="s">
        <v>21</v>
      </c>
      <c r="U42" s="11" t="s">
        <v>21</v>
      </c>
      <c r="V42" s="11" t="s">
        <v>21</v>
      </c>
      <c r="W42" s="11" t="s">
        <v>21</v>
      </c>
      <c r="X42" s="11" t="s">
        <v>21</v>
      </c>
      <c r="Y42" s="11" t="s">
        <v>21</v>
      </c>
      <c r="Z42" s="11" t="s">
        <v>21</v>
      </c>
      <c r="AA42" s="11" t="s">
        <v>21</v>
      </c>
      <c r="AB42" s="11" t="s">
        <v>21</v>
      </c>
      <c r="AC42" s="11" t="s">
        <v>21</v>
      </c>
      <c r="AD42" s="11" t="s">
        <v>21</v>
      </c>
      <c r="AE42" s="11" t="s">
        <v>21</v>
      </c>
      <c r="AF42" s="11" t="s">
        <v>21</v>
      </c>
      <c r="AG42" s="11" t="s">
        <v>21</v>
      </c>
      <c r="AH42" s="11" t="s">
        <v>21</v>
      </c>
      <c r="AI42" s="11" t="s">
        <v>21</v>
      </c>
      <c r="AJ42" s="11" t="s">
        <v>21</v>
      </c>
      <c r="AK42" s="11" t="s">
        <v>21</v>
      </c>
      <c r="AL42" s="11" t="s">
        <v>21</v>
      </c>
      <c r="AM42" s="11" t="s">
        <v>21</v>
      </c>
      <c r="AN42" s="11" t="s">
        <v>21</v>
      </c>
      <c r="AO42" s="11" t="s">
        <v>21</v>
      </c>
      <c r="AP42" s="11" t="s">
        <v>22</v>
      </c>
      <c r="AQ42" s="15" t="s">
        <v>21</v>
      </c>
      <c r="AR42" s="15" t="s">
        <v>21</v>
      </c>
      <c r="AS42" s="15" t="s">
        <v>21</v>
      </c>
      <c r="AT42" s="11" t="s">
        <v>22</v>
      </c>
      <c r="AU42" s="15" t="s">
        <v>21</v>
      </c>
      <c r="AV42" s="11" t="s">
        <v>22</v>
      </c>
      <c r="AW42" s="16"/>
      <c r="AX42" s="17">
        <f t="shared" si="0"/>
        <v>41</v>
      </c>
      <c r="AY42" s="17">
        <f t="shared" si="1"/>
        <v>4</v>
      </c>
      <c r="AZ42" s="17">
        <f t="shared" si="2"/>
        <v>45</v>
      </c>
      <c r="BA42" s="18">
        <f t="shared" si="3"/>
        <v>91.111111111111114</v>
      </c>
    </row>
    <row r="43" spans="1:53" ht="15.75" customHeight="1">
      <c r="A43" s="11">
        <v>32</v>
      </c>
      <c r="B43" s="19" t="s">
        <v>83</v>
      </c>
      <c r="C43" s="20" t="s">
        <v>84</v>
      </c>
      <c r="D43" s="11" t="s">
        <v>21</v>
      </c>
      <c r="E43" s="11" t="s">
        <v>21</v>
      </c>
      <c r="F43" s="11" t="s">
        <v>21</v>
      </c>
      <c r="G43" s="11" t="s">
        <v>21</v>
      </c>
      <c r="H43" s="11" t="s">
        <v>21</v>
      </c>
      <c r="I43" s="11" t="s">
        <v>21</v>
      </c>
      <c r="J43" s="11" t="s">
        <v>21</v>
      </c>
      <c r="K43" s="11" t="s">
        <v>21</v>
      </c>
      <c r="L43" s="11" t="s">
        <v>21</v>
      </c>
      <c r="M43" s="11" t="s">
        <v>21</v>
      </c>
      <c r="N43" s="11" t="s">
        <v>21</v>
      </c>
      <c r="O43" s="11" t="s">
        <v>21</v>
      </c>
      <c r="P43" s="11" t="s">
        <v>21</v>
      </c>
      <c r="Q43" s="11" t="s">
        <v>21</v>
      </c>
      <c r="R43" s="11" t="s">
        <v>21</v>
      </c>
      <c r="S43" s="11" t="s">
        <v>21</v>
      </c>
      <c r="T43" s="11" t="s">
        <v>21</v>
      </c>
      <c r="U43" s="11" t="s">
        <v>21</v>
      </c>
      <c r="V43" s="11" t="s">
        <v>21</v>
      </c>
      <c r="W43" s="11" t="s">
        <v>21</v>
      </c>
      <c r="X43" s="11" t="s">
        <v>21</v>
      </c>
      <c r="Y43" s="11" t="s">
        <v>21</v>
      </c>
      <c r="Z43" s="11" t="s">
        <v>21</v>
      </c>
      <c r="AA43" s="11" t="s">
        <v>21</v>
      </c>
      <c r="AB43" s="11" t="s">
        <v>21</v>
      </c>
      <c r="AC43" s="11" t="s">
        <v>21</v>
      </c>
      <c r="AD43" s="11" t="s">
        <v>21</v>
      </c>
      <c r="AE43" s="11" t="s">
        <v>21</v>
      </c>
      <c r="AF43" s="11" t="s">
        <v>21</v>
      </c>
      <c r="AG43" s="11" t="s">
        <v>21</v>
      </c>
      <c r="AH43" s="11" t="s">
        <v>21</v>
      </c>
      <c r="AI43" s="11" t="s">
        <v>21</v>
      </c>
      <c r="AJ43" s="11" t="s">
        <v>21</v>
      </c>
      <c r="AK43" s="11" t="s">
        <v>21</v>
      </c>
      <c r="AL43" s="11" t="s">
        <v>21</v>
      </c>
      <c r="AM43" s="11" t="s">
        <v>21</v>
      </c>
      <c r="AN43" s="11" t="s">
        <v>21</v>
      </c>
      <c r="AO43" s="11" t="s">
        <v>21</v>
      </c>
      <c r="AP43" s="11" t="s">
        <v>22</v>
      </c>
      <c r="AQ43" s="15" t="s">
        <v>21</v>
      </c>
      <c r="AR43" s="11" t="s">
        <v>22</v>
      </c>
      <c r="AS43" s="11" t="s">
        <v>22</v>
      </c>
      <c r="AT43" s="15" t="s">
        <v>21</v>
      </c>
      <c r="AU43" s="15" t="s">
        <v>21</v>
      </c>
      <c r="AV43" s="11" t="s">
        <v>22</v>
      </c>
      <c r="AW43" s="16"/>
      <c r="AX43" s="17">
        <f t="shared" si="0"/>
        <v>41</v>
      </c>
      <c r="AY43" s="17">
        <f t="shared" si="1"/>
        <v>4</v>
      </c>
      <c r="AZ43" s="17">
        <f t="shared" si="2"/>
        <v>45</v>
      </c>
      <c r="BA43" s="18">
        <f t="shared" si="3"/>
        <v>91.111111111111114</v>
      </c>
    </row>
    <row r="44" spans="1:53" ht="15.75" customHeight="1">
      <c r="A44" s="11">
        <v>33</v>
      </c>
      <c r="B44" s="22" t="s">
        <v>85</v>
      </c>
      <c r="C44" s="23" t="s">
        <v>86</v>
      </c>
      <c r="D44" s="11" t="s">
        <v>21</v>
      </c>
      <c r="E44" s="11" t="s">
        <v>21</v>
      </c>
      <c r="F44" s="14" t="s">
        <v>22</v>
      </c>
      <c r="G44" s="11" t="s">
        <v>21</v>
      </c>
      <c r="H44" s="11" t="s">
        <v>21</v>
      </c>
      <c r="I44" s="14" t="s">
        <v>22</v>
      </c>
      <c r="J44" s="11" t="s">
        <v>21</v>
      </c>
      <c r="K44" s="11" t="s">
        <v>21</v>
      </c>
      <c r="L44" s="11" t="s">
        <v>21</v>
      </c>
      <c r="M44" s="11" t="s">
        <v>21</v>
      </c>
      <c r="N44" s="11" t="s">
        <v>21</v>
      </c>
      <c r="O44" s="11" t="s">
        <v>21</v>
      </c>
      <c r="P44" s="11" t="s">
        <v>21</v>
      </c>
      <c r="Q44" s="11" t="s">
        <v>21</v>
      </c>
      <c r="R44" s="11" t="s">
        <v>21</v>
      </c>
      <c r="S44" s="11" t="s">
        <v>21</v>
      </c>
      <c r="T44" s="11" t="s">
        <v>21</v>
      </c>
      <c r="U44" s="11" t="s">
        <v>21</v>
      </c>
      <c r="V44" s="11" t="s">
        <v>21</v>
      </c>
      <c r="W44" s="11" t="s">
        <v>21</v>
      </c>
      <c r="X44" s="11" t="s">
        <v>21</v>
      </c>
      <c r="Y44" s="11" t="s">
        <v>21</v>
      </c>
      <c r="Z44" s="11" t="s">
        <v>21</v>
      </c>
      <c r="AA44" s="11" t="s">
        <v>21</v>
      </c>
      <c r="AB44" s="11" t="s">
        <v>21</v>
      </c>
      <c r="AC44" s="11" t="s">
        <v>21</v>
      </c>
      <c r="AD44" s="11" t="s">
        <v>21</v>
      </c>
      <c r="AE44" s="11" t="s">
        <v>21</v>
      </c>
      <c r="AF44" s="11" t="s">
        <v>21</v>
      </c>
      <c r="AG44" s="11" t="s">
        <v>21</v>
      </c>
      <c r="AH44" s="11" t="s">
        <v>21</v>
      </c>
      <c r="AI44" s="11" t="s">
        <v>21</v>
      </c>
      <c r="AJ44" s="11" t="s">
        <v>21</v>
      </c>
      <c r="AK44" s="11" t="s">
        <v>21</v>
      </c>
      <c r="AL44" s="11" t="s">
        <v>21</v>
      </c>
      <c r="AM44" s="11" t="s">
        <v>21</v>
      </c>
      <c r="AN44" s="11" t="s">
        <v>21</v>
      </c>
      <c r="AO44" s="11" t="s">
        <v>21</v>
      </c>
      <c r="AP44" s="11" t="s">
        <v>21</v>
      </c>
      <c r="AQ44" s="11" t="s">
        <v>22</v>
      </c>
      <c r="AR44" s="15" t="s">
        <v>21</v>
      </c>
      <c r="AS44" s="15" t="s">
        <v>21</v>
      </c>
      <c r="AT44" s="15" t="s">
        <v>21</v>
      </c>
      <c r="AU44" s="15" t="s">
        <v>21</v>
      </c>
      <c r="AV44" s="11" t="s">
        <v>22</v>
      </c>
      <c r="AW44" s="16"/>
      <c r="AX44" s="17">
        <f t="shared" si="0"/>
        <v>41</v>
      </c>
      <c r="AY44" s="17">
        <f t="shared" si="1"/>
        <v>4</v>
      </c>
      <c r="AZ44" s="17">
        <f t="shared" si="2"/>
        <v>45</v>
      </c>
      <c r="BA44" s="18">
        <f t="shared" si="3"/>
        <v>91.111111111111114</v>
      </c>
    </row>
    <row r="45" spans="1:53" ht="15.75" customHeight="1">
      <c r="A45" s="11">
        <v>34</v>
      </c>
      <c r="B45" s="24" t="s">
        <v>87</v>
      </c>
      <c r="C45" s="25" t="s">
        <v>88</v>
      </c>
      <c r="D45" s="11" t="s">
        <v>21</v>
      </c>
      <c r="E45" s="11" t="s">
        <v>21</v>
      </c>
      <c r="F45" s="11" t="s">
        <v>21</v>
      </c>
      <c r="G45" s="11" t="s">
        <v>21</v>
      </c>
      <c r="H45" s="11" t="s">
        <v>21</v>
      </c>
      <c r="I45" s="11" t="s">
        <v>21</v>
      </c>
      <c r="J45" s="11" t="s">
        <v>21</v>
      </c>
      <c r="K45" s="11" t="s">
        <v>21</v>
      </c>
      <c r="L45" s="11" t="s">
        <v>21</v>
      </c>
      <c r="M45" s="11" t="s">
        <v>21</v>
      </c>
      <c r="N45" s="11" t="s">
        <v>21</v>
      </c>
      <c r="O45" s="11" t="s">
        <v>21</v>
      </c>
      <c r="P45" s="11" t="s">
        <v>21</v>
      </c>
      <c r="Q45" s="11" t="s">
        <v>21</v>
      </c>
      <c r="R45" s="11" t="s">
        <v>21</v>
      </c>
      <c r="S45" s="11" t="s">
        <v>21</v>
      </c>
      <c r="T45" s="11" t="s">
        <v>21</v>
      </c>
      <c r="U45" s="11" t="s">
        <v>21</v>
      </c>
      <c r="V45" s="11" t="s">
        <v>21</v>
      </c>
      <c r="W45" s="11" t="s">
        <v>21</v>
      </c>
      <c r="X45" s="14" t="s">
        <v>22</v>
      </c>
      <c r="Y45" s="11" t="s">
        <v>21</v>
      </c>
      <c r="Z45" s="11" t="s">
        <v>21</v>
      </c>
      <c r="AA45" s="11" t="s">
        <v>21</v>
      </c>
      <c r="AB45" s="11" t="s">
        <v>21</v>
      </c>
      <c r="AC45" s="11" t="s">
        <v>21</v>
      </c>
      <c r="AD45" s="11" t="s">
        <v>21</v>
      </c>
      <c r="AE45" s="11" t="s">
        <v>21</v>
      </c>
      <c r="AF45" s="11" t="s">
        <v>21</v>
      </c>
      <c r="AG45" s="11" t="s">
        <v>21</v>
      </c>
      <c r="AH45" s="11" t="s">
        <v>21</v>
      </c>
      <c r="AI45" s="11" t="s">
        <v>21</v>
      </c>
      <c r="AJ45" s="11" t="s">
        <v>21</v>
      </c>
      <c r="AK45" s="11" t="s">
        <v>21</v>
      </c>
      <c r="AL45" s="11" t="s">
        <v>21</v>
      </c>
      <c r="AM45" s="11" t="s">
        <v>21</v>
      </c>
      <c r="AN45" s="11" t="s">
        <v>21</v>
      </c>
      <c r="AO45" s="11" t="s">
        <v>21</v>
      </c>
      <c r="AP45" s="11" t="s">
        <v>21</v>
      </c>
      <c r="AQ45" s="15" t="s">
        <v>21</v>
      </c>
      <c r="AR45" s="15" t="s">
        <v>21</v>
      </c>
      <c r="AS45" s="11" t="s">
        <v>22</v>
      </c>
      <c r="AT45" s="11" t="s">
        <v>22</v>
      </c>
      <c r="AU45" s="15" t="s">
        <v>21</v>
      </c>
      <c r="AV45" s="11" t="s">
        <v>22</v>
      </c>
      <c r="AW45" s="16"/>
      <c r="AX45" s="17">
        <f t="shared" si="0"/>
        <v>41</v>
      </c>
      <c r="AY45" s="17">
        <f t="shared" si="1"/>
        <v>4</v>
      </c>
      <c r="AZ45" s="17">
        <f t="shared" si="2"/>
        <v>45</v>
      </c>
      <c r="BA45" s="18">
        <f t="shared" si="3"/>
        <v>91.111111111111114</v>
      </c>
    </row>
    <row r="46" spans="1:53" ht="15.75" customHeight="1">
      <c r="A46" s="11">
        <v>35</v>
      </c>
      <c r="B46" s="24" t="s">
        <v>89</v>
      </c>
      <c r="C46" s="25" t="s">
        <v>90</v>
      </c>
      <c r="D46" s="11" t="s">
        <v>21</v>
      </c>
      <c r="E46" s="11" t="s">
        <v>21</v>
      </c>
      <c r="F46" s="11" t="s">
        <v>21</v>
      </c>
      <c r="G46" s="11" t="s">
        <v>21</v>
      </c>
      <c r="H46" s="11" t="s">
        <v>21</v>
      </c>
      <c r="I46" s="11" t="s">
        <v>21</v>
      </c>
      <c r="J46" s="11" t="s">
        <v>21</v>
      </c>
      <c r="K46" s="11" t="s">
        <v>21</v>
      </c>
      <c r="L46" s="11" t="s">
        <v>21</v>
      </c>
      <c r="M46" s="11" t="s">
        <v>21</v>
      </c>
      <c r="N46" s="11" t="s">
        <v>21</v>
      </c>
      <c r="O46" s="11" t="s">
        <v>21</v>
      </c>
      <c r="P46" s="11" t="s">
        <v>21</v>
      </c>
      <c r="Q46" s="11" t="s">
        <v>21</v>
      </c>
      <c r="R46" s="11" t="s">
        <v>21</v>
      </c>
      <c r="S46" s="11" t="s">
        <v>21</v>
      </c>
      <c r="T46" s="11" t="s">
        <v>21</v>
      </c>
      <c r="U46" s="11" t="s">
        <v>21</v>
      </c>
      <c r="V46" s="11" t="s">
        <v>21</v>
      </c>
      <c r="W46" s="11" t="s">
        <v>21</v>
      </c>
      <c r="X46" s="11" t="s">
        <v>21</v>
      </c>
      <c r="Y46" s="11" t="s">
        <v>21</v>
      </c>
      <c r="Z46" s="11" t="s">
        <v>21</v>
      </c>
      <c r="AA46" s="11" t="s">
        <v>21</v>
      </c>
      <c r="AB46" s="11" t="s">
        <v>21</v>
      </c>
      <c r="AC46" s="11" t="s">
        <v>21</v>
      </c>
      <c r="AD46" s="11" t="s">
        <v>21</v>
      </c>
      <c r="AE46" s="11" t="s">
        <v>21</v>
      </c>
      <c r="AF46" s="11" t="s">
        <v>21</v>
      </c>
      <c r="AG46" s="11" t="s">
        <v>21</v>
      </c>
      <c r="AH46" s="11" t="s">
        <v>21</v>
      </c>
      <c r="AI46" s="14" t="s">
        <v>22</v>
      </c>
      <c r="AJ46" s="11" t="s">
        <v>21</v>
      </c>
      <c r="AK46" s="11" t="s">
        <v>21</v>
      </c>
      <c r="AL46" s="11" t="s">
        <v>21</v>
      </c>
      <c r="AM46" s="11" t="s">
        <v>21</v>
      </c>
      <c r="AN46" s="11" t="s">
        <v>21</v>
      </c>
      <c r="AO46" s="11" t="s">
        <v>21</v>
      </c>
      <c r="AP46" s="11" t="s">
        <v>22</v>
      </c>
      <c r="AQ46" s="11" t="s">
        <v>22</v>
      </c>
      <c r="AR46" s="15" t="s">
        <v>21</v>
      </c>
      <c r="AS46" s="15" t="s">
        <v>21</v>
      </c>
      <c r="AT46" s="15" t="s">
        <v>21</v>
      </c>
      <c r="AU46" s="15" t="s">
        <v>21</v>
      </c>
      <c r="AV46" s="11" t="s">
        <v>22</v>
      </c>
      <c r="AW46" s="16"/>
      <c r="AX46" s="17">
        <f t="shared" si="0"/>
        <v>41</v>
      </c>
      <c r="AY46" s="17">
        <f t="shared" si="1"/>
        <v>4</v>
      </c>
      <c r="AZ46" s="17">
        <f t="shared" si="2"/>
        <v>45</v>
      </c>
      <c r="BA46" s="18">
        <f t="shared" si="3"/>
        <v>91.111111111111114</v>
      </c>
    </row>
    <row r="47" spans="1:53" ht="15.75" customHeight="1">
      <c r="A47" s="11">
        <v>36</v>
      </c>
      <c r="B47" s="24" t="s">
        <v>91</v>
      </c>
      <c r="C47" s="25" t="s">
        <v>92</v>
      </c>
      <c r="D47" s="11" t="s">
        <v>21</v>
      </c>
      <c r="E47" s="11" t="s">
        <v>21</v>
      </c>
      <c r="F47" s="11" t="s">
        <v>21</v>
      </c>
      <c r="G47" s="11" t="s">
        <v>21</v>
      </c>
      <c r="H47" s="11" t="s">
        <v>21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 t="s">
        <v>21</v>
      </c>
      <c r="O47" s="11" t="s">
        <v>21</v>
      </c>
      <c r="P47" s="11" t="s">
        <v>21</v>
      </c>
      <c r="Q47" s="11" t="s">
        <v>21</v>
      </c>
      <c r="R47" s="11" t="s">
        <v>21</v>
      </c>
      <c r="S47" s="11" t="s">
        <v>21</v>
      </c>
      <c r="T47" s="11" t="s">
        <v>21</v>
      </c>
      <c r="U47" s="11" t="s">
        <v>21</v>
      </c>
      <c r="V47" s="11" t="s">
        <v>21</v>
      </c>
      <c r="W47" s="11" t="s">
        <v>21</v>
      </c>
      <c r="X47" s="11" t="s">
        <v>21</v>
      </c>
      <c r="Y47" s="11" t="s">
        <v>21</v>
      </c>
      <c r="Z47" s="11" t="s">
        <v>21</v>
      </c>
      <c r="AA47" s="11" t="s">
        <v>21</v>
      </c>
      <c r="AB47" s="11" t="s">
        <v>21</v>
      </c>
      <c r="AC47" s="11" t="s">
        <v>21</v>
      </c>
      <c r="AD47" s="11" t="s">
        <v>21</v>
      </c>
      <c r="AE47" s="11" t="s">
        <v>21</v>
      </c>
      <c r="AF47" s="11" t="s">
        <v>21</v>
      </c>
      <c r="AG47" s="11" t="s">
        <v>21</v>
      </c>
      <c r="AH47" s="11" t="s">
        <v>21</v>
      </c>
      <c r="AI47" s="11" t="s">
        <v>21</v>
      </c>
      <c r="AJ47" s="11" t="s">
        <v>21</v>
      </c>
      <c r="AK47" s="11" t="s">
        <v>21</v>
      </c>
      <c r="AL47" s="11" t="s">
        <v>21</v>
      </c>
      <c r="AM47" s="11" t="s">
        <v>21</v>
      </c>
      <c r="AN47" s="11" t="s">
        <v>21</v>
      </c>
      <c r="AO47" s="11" t="s">
        <v>21</v>
      </c>
      <c r="AP47" s="11" t="s">
        <v>21</v>
      </c>
      <c r="AQ47" s="15" t="s">
        <v>21</v>
      </c>
      <c r="AR47" s="15" t="s">
        <v>21</v>
      </c>
      <c r="AS47" s="15" t="s">
        <v>21</v>
      </c>
      <c r="AT47" s="11" t="s">
        <v>22</v>
      </c>
      <c r="AU47" s="15" t="s">
        <v>21</v>
      </c>
      <c r="AV47" s="11" t="s">
        <v>22</v>
      </c>
      <c r="AW47" s="16"/>
      <c r="AX47" s="17">
        <f t="shared" si="0"/>
        <v>43</v>
      </c>
      <c r="AY47" s="17">
        <f t="shared" si="1"/>
        <v>2</v>
      </c>
      <c r="AZ47" s="17">
        <f t="shared" si="2"/>
        <v>45</v>
      </c>
      <c r="BA47" s="18">
        <f t="shared" si="3"/>
        <v>95.555555555555557</v>
      </c>
    </row>
    <row r="48" spans="1:53" ht="15.75" customHeight="1">
      <c r="A48" s="11">
        <v>37</v>
      </c>
      <c r="B48" s="24" t="s">
        <v>93</v>
      </c>
      <c r="C48" s="25" t="s">
        <v>94</v>
      </c>
      <c r="D48" s="11" t="s">
        <v>21</v>
      </c>
      <c r="E48" s="11" t="s">
        <v>21</v>
      </c>
      <c r="F48" s="11" t="s">
        <v>21</v>
      </c>
      <c r="G48" s="11" t="s">
        <v>21</v>
      </c>
      <c r="H48" s="11" t="s">
        <v>21</v>
      </c>
      <c r="I48" s="11" t="s">
        <v>21</v>
      </c>
      <c r="J48" s="11" t="s">
        <v>21</v>
      </c>
      <c r="K48" s="11" t="s">
        <v>21</v>
      </c>
      <c r="L48" s="11" t="s">
        <v>21</v>
      </c>
      <c r="M48" s="11" t="s">
        <v>21</v>
      </c>
      <c r="N48" s="14" t="s">
        <v>22</v>
      </c>
      <c r="O48" s="11" t="s">
        <v>21</v>
      </c>
      <c r="P48" s="11" t="s">
        <v>21</v>
      </c>
      <c r="Q48" s="11" t="s">
        <v>21</v>
      </c>
      <c r="R48" s="11" t="s">
        <v>21</v>
      </c>
      <c r="S48" s="11" t="s">
        <v>21</v>
      </c>
      <c r="T48" s="11" t="s">
        <v>21</v>
      </c>
      <c r="U48" s="11" t="s">
        <v>21</v>
      </c>
      <c r="V48" s="11" t="s">
        <v>21</v>
      </c>
      <c r="W48" s="11" t="s">
        <v>21</v>
      </c>
      <c r="X48" s="11" t="s">
        <v>21</v>
      </c>
      <c r="Y48" s="11" t="s">
        <v>21</v>
      </c>
      <c r="Z48" s="11" t="s">
        <v>21</v>
      </c>
      <c r="AA48" s="11" t="s">
        <v>21</v>
      </c>
      <c r="AB48" s="11" t="s">
        <v>21</v>
      </c>
      <c r="AC48" s="11" t="s">
        <v>21</v>
      </c>
      <c r="AD48" s="11" t="s">
        <v>21</v>
      </c>
      <c r="AE48" s="14" t="s">
        <v>22</v>
      </c>
      <c r="AF48" s="11" t="s">
        <v>21</v>
      </c>
      <c r="AG48" s="11" t="s">
        <v>21</v>
      </c>
      <c r="AH48" s="11" t="s">
        <v>21</v>
      </c>
      <c r="AI48" s="11" t="s">
        <v>21</v>
      </c>
      <c r="AJ48" s="11" t="s">
        <v>21</v>
      </c>
      <c r="AK48" s="11" t="s">
        <v>21</v>
      </c>
      <c r="AL48" s="11" t="s">
        <v>21</v>
      </c>
      <c r="AM48" s="11" t="s">
        <v>21</v>
      </c>
      <c r="AN48" s="11" t="s">
        <v>21</v>
      </c>
      <c r="AO48" s="11" t="s">
        <v>21</v>
      </c>
      <c r="AP48" s="11" t="s">
        <v>21</v>
      </c>
      <c r="AQ48" s="15" t="s">
        <v>21</v>
      </c>
      <c r="AR48" s="15" t="s">
        <v>21</v>
      </c>
      <c r="AS48" s="15" t="s">
        <v>21</v>
      </c>
      <c r="AT48" s="11" t="s">
        <v>22</v>
      </c>
      <c r="AU48" s="15" t="s">
        <v>21</v>
      </c>
      <c r="AV48" s="11" t="s">
        <v>22</v>
      </c>
      <c r="AW48" s="16"/>
      <c r="AX48" s="17">
        <f t="shared" si="0"/>
        <v>41</v>
      </c>
      <c r="AY48" s="17">
        <f t="shared" si="1"/>
        <v>4</v>
      </c>
      <c r="AZ48" s="17">
        <f t="shared" si="2"/>
        <v>45</v>
      </c>
      <c r="BA48" s="18">
        <f t="shared" si="3"/>
        <v>91.111111111111114</v>
      </c>
    </row>
    <row r="49" spans="1:57" ht="15.75" customHeight="1">
      <c r="A49" s="26">
        <v>38</v>
      </c>
      <c r="B49" s="24" t="s">
        <v>95</v>
      </c>
      <c r="C49" s="25" t="s">
        <v>96</v>
      </c>
      <c r="D49" s="11" t="s">
        <v>21</v>
      </c>
      <c r="E49" s="11" t="s">
        <v>21</v>
      </c>
      <c r="F49" s="11" t="s">
        <v>21</v>
      </c>
      <c r="G49" s="11" t="s">
        <v>21</v>
      </c>
      <c r="H49" s="11" t="s">
        <v>21</v>
      </c>
      <c r="I49" s="11" t="s">
        <v>21</v>
      </c>
      <c r="J49" s="11" t="s">
        <v>21</v>
      </c>
      <c r="K49" s="11" t="s">
        <v>21</v>
      </c>
      <c r="L49" s="11" t="s">
        <v>21</v>
      </c>
      <c r="M49" s="11" t="s">
        <v>21</v>
      </c>
      <c r="N49" s="11" t="s">
        <v>21</v>
      </c>
      <c r="O49" s="11" t="s">
        <v>21</v>
      </c>
      <c r="P49" s="11" t="s">
        <v>21</v>
      </c>
      <c r="Q49" s="11" t="s">
        <v>21</v>
      </c>
      <c r="R49" s="11" t="s">
        <v>21</v>
      </c>
      <c r="S49" s="11" t="s">
        <v>21</v>
      </c>
      <c r="T49" s="11" t="s">
        <v>21</v>
      </c>
      <c r="U49" s="11" t="s">
        <v>21</v>
      </c>
      <c r="V49" s="11" t="s">
        <v>21</v>
      </c>
      <c r="W49" s="11" t="s">
        <v>21</v>
      </c>
      <c r="X49" s="11" t="s">
        <v>21</v>
      </c>
      <c r="Y49" s="11" t="s">
        <v>21</v>
      </c>
      <c r="Z49" s="11" t="s">
        <v>21</v>
      </c>
      <c r="AA49" s="11" t="s">
        <v>21</v>
      </c>
      <c r="AB49" s="11" t="s">
        <v>21</v>
      </c>
      <c r="AC49" s="11" t="s">
        <v>21</v>
      </c>
      <c r="AD49" s="11" t="s">
        <v>21</v>
      </c>
      <c r="AE49" s="11" t="s">
        <v>21</v>
      </c>
      <c r="AF49" s="11" t="s">
        <v>21</v>
      </c>
      <c r="AG49" s="11" t="s">
        <v>21</v>
      </c>
      <c r="AH49" s="11" t="s">
        <v>21</v>
      </c>
      <c r="AI49" s="14" t="s">
        <v>22</v>
      </c>
      <c r="AJ49" s="11" t="s">
        <v>21</v>
      </c>
      <c r="AK49" s="11" t="s">
        <v>21</v>
      </c>
      <c r="AL49" s="11" t="s">
        <v>21</v>
      </c>
      <c r="AM49" s="11" t="s">
        <v>21</v>
      </c>
      <c r="AN49" s="11" t="s">
        <v>21</v>
      </c>
      <c r="AO49" s="11" t="s">
        <v>21</v>
      </c>
      <c r="AP49" s="11" t="s">
        <v>21</v>
      </c>
      <c r="AQ49" s="15" t="s">
        <v>21</v>
      </c>
      <c r="AR49" s="15" t="s">
        <v>21</v>
      </c>
      <c r="AS49" s="11" t="s">
        <v>22</v>
      </c>
      <c r="AT49" s="15" t="s">
        <v>21</v>
      </c>
      <c r="AU49" s="15" t="s">
        <v>21</v>
      </c>
      <c r="AV49" s="15" t="s">
        <v>21</v>
      </c>
      <c r="AW49" s="16"/>
      <c r="AX49" s="17">
        <f t="shared" si="0"/>
        <v>43</v>
      </c>
      <c r="AY49" s="17">
        <f t="shared" si="1"/>
        <v>2</v>
      </c>
      <c r="AZ49" s="17">
        <f t="shared" si="2"/>
        <v>45</v>
      </c>
      <c r="BA49" s="27">
        <f t="shared" si="3"/>
        <v>95.555555555555557</v>
      </c>
    </row>
    <row r="50" spans="1:57" ht="15.75" customHeight="1">
      <c r="A50" s="11">
        <v>39</v>
      </c>
      <c r="B50" s="24" t="s">
        <v>97</v>
      </c>
      <c r="C50" s="25" t="s">
        <v>98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 t="s">
        <v>21</v>
      </c>
      <c r="M50" s="11" t="s">
        <v>21</v>
      </c>
      <c r="N50" s="11" t="s">
        <v>21</v>
      </c>
      <c r="O50" s="11" t="s">
        <v>21</v>
      </c>
      <c r="P50" s="14" t="s">
        <v>22</v>
      </c>
      <c r="Q50" s="11" t="s">
        <v>21</v>
      </c>
      <c r="R50" s="11" t="s">
        <v>21</v>
      </c>
      <c r="S50" s="11" t="s">
        <v>21</v>
      </c>
      <c r="T50" s="11" t="s">
        <v>21</v>
      </c>
      <c r="U50" s="11" t="s">
        <v>21</v>
      </c>
      <c r="V50" s="11" t="s">
        <v>21</v>
      </c>
      <c r="W50" s="11" t="s">
        <v>21</v>
      </c>
      <c r="X50" s="11" t="s">
        <v>21</v>
      </c>
      <c r="Y50" s="11" t="s">
        <v>21</v>
      </c>
      <c r="Z50" s="11" t="s">
        <v>21</v>
      </c>
      <c r="AA50" s="11" t="s">
        <v>21</v>
      </c>
      <c r="AB50" s="14" t="s">
        <v>22</v>
      </c>
      <c r="AC50" s="11" t="s">
        <v>21</v>
      </c>
      <c r="AD50" s="11" t="s">
        <v>21</v>
      </c>
      <c r="AE50" s="11" t="s">
        <v>21</v>
      </c>
      <c r="AF50" s="11" t="s">
        <v>21</v>
      </c>
      <c r="AG50" s="11" t="s">
        <v>21</v>
      </c>
      <c r="AH50" s="11" t="s">
        <v>21</v>
      </c>
      <c r="AI50" s="11" t="s">
        <v>21</v>
      </c>
      <c r="AJ50" s="11" t="s">
        <v>21</v>
      </c>
      <c r="AK50" s="11" t="s">
        <v>21</v>
      </c>
      <c r="AL50" s="11" t="s">
        <v>21</v>
      </c>
      <c r="AM50" s="11" t="s">
        <v>21</v>
      </c>
      <c r="AN50" s="11" t="s">
        <v>21</v>
      </c>
      <c r="AO50" s="11" t="s">
        <v>21</v>
      </c>
      <c r="AP50" s="11" t="s">
        <v>21</v>
      </c>
      <c r="AQ50" s="15" t="s">
        <v>21</v>
      </c>
      <c r="AR50" s="15" t="s">
        <v>21</v>
      </c>
      <c r="AS50" s="15" t="s">
        <v>21</v>
      </c>
      <c r="AT50" s="15" t="s">
        <v>21</v>
      </c>
      <c r="AU50" s="15" t="s">
        <v>21</v>
      </c>
      <c r="AV50" s="15" t="s">
        <v>21</v>
      </c>
      <c r="AW50" s="16"/>
      <c r="AX50" s="17">
        <f t="shared" si="0"/>
        <v>43</v>
      </c>
      <c r="AY50" s="17">
        <f t="shared" si="1"/>
        <v>2</v>
      </c>
      <c r="AZ50" s="17">
        <f t="shared" si="2"/>
        <v>45</v>
      </c>
      <c r="BA50" s="18">
        <f t="shared" si="3"/>
        <v>95.555555555555557</v>
      </c>
    </row>
    <row r="51" spans="1:57" ht="15.75" customHeight="1">
      <c r="A51" s="11">
        <v>40</v>
      </c>
      <c r="B51" s="24" t="s">
        <v>99</v>
      </c>
      <c r="C51" s="25" t="s">
        <v>100</v>
      </c>
      <c r="D51" s="11" t="s">
        <v>21</v>
      </c>
      <c r="E51" s="11" t="s">
        <v>21</v>
      </c>
      <c r="F51" s="14" t="s">
        <v>22</v>
      </c>
      <c r="G51" s="11" t="s">
        <v>21</v>
      </c>
      <c r="H51" s="11" t="s">
        <v>21</v>
      </c>
      <c r="I51" s="11" t="s">
        <v>21</v>
      </c>
      <c r="J51" s="11" t="s">
        <v>21</v>
      </c>
      <c r="K51" s="11" t="s">
        <v>21</v>
      </c>
      <c r="L51" s="11" t="s">
        <v>21</v>
      </c>
      <c r="M51" s="11" t="s">
        <v>21</v>
      </c>
      <c r="N51" s="11" t="s">
        <v>21</v>
      </c>
      <c r="O51" s="11" t="s">
        <v>21</v>
      </c>
      <c r="P51" s="11" t="s">
        <v>21</v>
      </c>
      <c r="Q51" s="11" t="s">
        <v>21</v>
      </c>
      <c r="R51" s="11" t="s">
        <v>21</v>
      </c>
      <c r="S51" s="11" t="s">
        <v>21</v>
      </c>
      <c r="T51" s="11" t="s">
        <v>21</v>
      </c>
      <c r="U51" s="11" t="s">
        <v>21</v>
      </c>
      <c r="V51" s="11" t="s">
        <v>21</v>
      </c>
      <c r="W51" s="11" t="s">
        <v>21</v>
      </c>
      <c r="X51" s="11" t="s">
        <v>21</v>
      </c>
      <c r="Y51" s="14" t="s">
        <v>22</v>
      </c>
      <c r="Z51" s="11" t="s">
        <v>21</v>
      </c>
      <c r="AA51" s="11" t="s">
        <v>21</v>
      </c>
      <c r="AB51" s="11" t="s">
        <v>21</v>
      </c>
      <c r="AC51" s="11" t="s">
        <v>21</v>
      </c>
      <c r="AD51" s="11" t="s">
        <v>21</v>
      </c>
      <c r="AE51" s="11" t="s">
        <v>21</v>
      </c>
      <c r="AF51" s="11" t="s">
        <v>21</v>
      </c>
      <c r="AG51" s="11" t="s">
        <v>21</v>
      </c>
      <c r="AH51" s="11" t="s">
        <v>21</v>
      </c>
      <c r="AI51" s="11" t="s">
        <v>21</v>
      </c>
      <c r="AJ51" s="11" t="s">
        <v>21</v>
      </c>
      <c r="AK51" s="11" t="s">
        <v>21</v>
      </c>
      <c r="AL51" s="11" t="s">
        <v>21</v>
      </c>
      <c r="AM51" s="11" t="s">
        <v>21</v>
      </c>
      <c r="AN51" s="11" t="s">
        <v>21</v>
      </c>
      <c r="AO51" s="11" t="s">
        <v>21</v>
      </c>
      <c r="AP51" s="11" t="s">
        <v>22</v>
      </c>
      <c r="AQ51" s="15" t="s">
        <v>21</v>
      </c>
      <c r="AR51" s="15" t="s">
        <v>21</v>
      </c>
      <c r="AS51" s="15" t="s">
        <v>21</v>
      </c>
      <c r="AT51" s="15" t="s">
        <v>21</v>
      </c>
      <c r="AU51" s="15" t="s">
        <v>21</v>
      </c>
      <c r="AV51" s="16" t="s">
        <v>21</v>
      </c>
      <c r="AW51" s="16"/>
      <c r="AX51" s="17">
        <f t="shared" si="0"/>
        <v>42</v>
      </c>
      <c r="AY51" s="17">
        <f t="shared" si="1"/>
        <v>3</v>
      </c>
      <c r="AZ51" s="17">
        <f t="shared" si="2"/>
        <v>45</v>
      </c>
      <c r="BA51" s="18">
        <f t="shared" si="3"/>
        <v>93.333333333333329</v>
      </c>
    </row>
    <row r="52" spans="1:57" ht="15.75" customHeight="1">
      <c r="A52" s="11">
        <v>41</v>
      </c>
      <c r="B52" s="24" t="s">
        <v>101</v>
      </c>
      <c r="C52" s="25" t="s">
        <v>102</v>
      </c>
      <c r="D52" s="11" t="s">
        <v>21</v>
      </c>
      <c r="E52" s="11" t="s">
        <v>21</v>
      </c>
      <c r="F52" s="11" t="s">
        <v>21</v>
      </c>
      <c r="G52" s="11" t="s">
        <v>21</v>
      </c>
      <c r="H52" s="11" t="s">
        <v>21</v>
      </c>
      <c r="I52" s="11" t="s">
        <v>21</v>
      </c>
      <c r="J52" s="11" t="s">
        <v>21</v>
      </c>
      <c r="K52" s="14" t="s">
        <v>22</v>
      </c>
      <c r="L52" s="11" t="s">
        <v>21</v>
      </c>
      <c r="M52" s="11" t="s">
        <v>21</v>
      </c>
      <c r="N52" s="11" t="s">
        <v>21</v>
      </c>
      <c r="O52" s="11" t="s">
        <v>21</v>
      </c>
      <c r="P52" s="11" t="s">
        <v>21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21</v>
      </c>
      <c r="W52" s="11" t="s">
        <v>21</v>
      </c>
      <c r="X52" s="11" t="s">
        <v>21</v>
      </c>
      <c r="Y52" s="11" t="s">
        <v>21</v>
      </c>
      <c r="Z52" s="11" t="s">
        <v>21</v>
      </c>
      <c r="AA52" s="11" t="s">
        <v>21</v>
      </c>
      <c r="AB52" s="11" t="s">
        <v>21</v>
      </c>
      <c r="AC52" s="11" t="s">
        <v>21</v>
      </c>
      <c r="AD52" s="11" t="s">
        <v>21</v>
      </c>
      <c r="AE52" s="11" t="s">
        <v>21</v>
      </c>
      <c r="AF52" s="11" t="s">
        <v>21</v>
      </c>
      <c r="AG52" s="11" t="s">
        <v>21</v>
      </c>
      <c r="AH52" s="11" t="s">
        <v>21</v>
      </c>
      <c r="AI52" s="11" t="s">
        <v>21</v>
      </c>
      <c r="AJ52" s="11" t="s">
        <v>21</v>
      </c>
      <c r="AK52" s="11" t="s">
        <v>21</v>
      </c>
      <c r="AL52" s="11" t="s">
        <v>21</v>
      </c>
      <c r="AM52" s="11" t="s">
        <v>21</v>
      </c>
      <c r="AN52" s="11" t="s">
        <v>21</v>
      </c>
      <c r="AO52" s="11" t="s">
        <v>21</v>
      </c>
      <c r="AP52" s="11" t="s">
        <v>21</v>
      </c>
      <c r="AQ52" s="15" t="s">
        <v>21</v>
      </c>
      <c r="AR52" s="15" t="s">
        <v>21</v>
      </c>
      <c r="AS52" s="15" t="s">
        <v>21</v>
      </c>
      <c r="AT52" s="11" t="s">
        <v>22</v>
      </c>
      <c r="AU52" s="15" t="s">
        <v>21</v>
      </c>
      <c r="AV52" s="11" t="s">
        <v>22</v>
      </c>
      <c r="AW52" s="16"/>
      <c r="AX52" s="17">
        <f t="shared" si="0"/>
        <v>42</v>
      </c>
      <c r="AY52" s="17">
        <f t="shared" si="1"/>
        <v>3</v>
      </c>
      <c r="AZ52" s="17">
        <f t="shared" si="2"/>
        <v>45</v>
      </c>
      <c r="BA52" s="18">
        <f t="shared" si="3"/>
        <v>93.333333333333329</v>
      </c>
      <c r="BB52" s="28"/>
      <c r="BC52" s="28"/>
      <c r="BD52" s="28"/>
      <c r="BE52" s="28"/>
    </row>
    <row r="53" spans="1:57" ht="15.75" customHeight="1">
      <c r="A53" s="11">
        <v>42</v>
      </c>
      <c r="B53" s="24" t="s">
        <v>103</v>
      </c>
      <c r="C53" s="25" t="s">
        <v>104</v>
      </c>
      <c r="D53" s="11" t="s">
        <v>21</v>
      </c>
      <c r="E53" s="11" t="s">
        <v>21</v>
      </c>
      <c r="F53" s="11" t="s">
        <v>21</v>
      </c>
      <c r="G53" s="11" t="s">
        <v>21</v>
      </c>
      <c r="H53" s="11" t="s">
        <v>21</v>
      </c>
      <c r="I53" s="11" t="s">
        <v>21</v>
      </c>
      <c r="J53" s="11" t="s">
        <v>21</v>
      </c>
      <c r="K53" s="11" t="s">
        <v>21</v>
      </c>
      <c r="L53" s="11" t="s">
        <v>21</v>
      </c>
      <c r="M53" s="11" t="s">
        <v>21</v>
      </c>
      <c r="N53" s="11" t="s">
        <v>21</v>
      </c>
      <c r="O53" s="11" t="s">
        <v>21</v>
      </c>
      <c r="P53" s="11" t="s">
        <v>21</v>
      </c>
      <c r="Q53" s="11" t="s">
        <v>21</v>
      </c>
      <c r="R53" s="11" t="s">
        <v>21</v>
      </c>
      <c r="S53" s="11" t="s">
        <v>21</v>
      </c>
      <c r="T53" s="11" t="s">
        <v>21</v>
      </c>
      <c r="U53" s="14" t="s">
        <v>22</v>
      </c>
      <c r="V53" s="11" t="s">
        <v>21</v>
      </c>
      <c r="W53" s="11" t="s">
        <v>21</v>
      </c>
      <c r="X53" s="11" t="s">
        <v>21</v>
      </c>
      <c r="Y53" s="11" t="s">
        <v>21</v>
      </c>
      <c r="Z53" s="11" t="s">
        <v>21</v>
      </c>
      <c r="AA53" s="11" t="s">
        <v>21</v>
      </c>
      <c r="AB53" s="11" t="s">
        <v>21</v>
      </c>
      <c r="AC53" s="11" t="s">
        <v>21</v>
      </c>
      <c r="AD53" s="11" t="s">
        <v>21</v>
      </c>
      <c r="AE53" s="11" t="s">
        <v>21</v>
      </c>
      <c r="AF53" s="11" t="s">
        <v>21</v>
      </c>
      <c r="AG53" s="11" t="s">
        <v>21</v>
      </c>
      <c r="AH53" s="11" t="s">
        <v>21</v>
      </c>
      <c r="AI53" s="11" t="s">
        <v>21</v>
      </c>
      <c r="AJ53" s="14" t="s">
        <v>22</v>
      </c>
      <c r="AK53" s="11" t="s">
        <v>21</v>
      </c>
      <c r="AL53" s="11" t="s">
        <v>21</v>
      </c>
      <c r="AM53" s="11" t="s">
        <v>21</v>
      </c>
      <c r="AN53" s="11" t="s">
        <v>21</v>
      </c>
      <c r="AO53" s="11" t="s">
        <v>21</v>
      </c>
      <c r="AP53" s="11" t="s">
        <v>21</v>
      </c>
      <c r="AQ53" s="15" t="s">
        <v>21</v>
      </c>
      <c r="AR53" s="15" t="s">
        <v>21</v>
      </c>
      <c r="AS53" s="11" t="s">
        <v>22</v>
      </c>
      <c r="AT53" s="15" t="s">
        <v>21</v>
      </c>
      <c r="AU53" s="15" t="s">
        <v>21</v>
      </c>
      <c r="AV53" s="11" t="s">
        <v>22</v>
      </c>
      <c r="AW53" s="16"/>
      <c r="AX53" s="17">
        <f t="shared" si="0"/>
        <v>41</v>
      </c>
      <c r="AY53" s="17">
        <f t="shared" si="1"/>
        <v>4</v>
      </c>
      <c r="AZ53" s="17">
        <f t="shared" si="2"/>
        <v>45</v>
      </c>
      <c r="BA53" s="18">
        <f t="shared" si="3"/>
        <v>91.111111111111114</v>
      </c>
      <c r="BB53" s="28"/>
      <c r="BC53" s="28"/>
      <c r="BD53" s="28"/>
      <c r="BE53" s="28"/>
    </row>
    <row r="54" spans="1:57" ht="15.75" customHeight="1">
      <c r="A54" s="11">
        <v>43</v>
      </c>
      <c r="B54" s="24" t="s">
        <v>105</v>
      </c>
      <c r="C54" s="25" t="s">
        <v>106</v>
      </c>
      <c r="D54" s="11" t="s">
        <v>21</v>
      </c>
      <c r="E54" s="11" t="s">
        <v>21</v>
      </c>
      <c r="F54" s="11" t="s">
        <v>21</v>
      </c>
      <c r="G54" s="11" t="s">
        <v>21</v>
      </c>
      <c r="H54" s="11" t="s">
        <v>21</v>
      </c>
      <c r="I54" s="11" t="s">
        <v>21</v>
      </c>
      <c r="J54" s="11" t="s">
        <v>21</v>
      </c>
      <c r="K54" s="11" t="s">
        <v>21</v>
      </c>
      <c r="L54" s="11" t="s">
        <v>21</v>
      </c>
      <c r="M54" s="11" t="s">
        <v>21</v>
      </c>
      <c r="N54" s="11" t="s">
        <v>21</v>
      </c>
      <c r="O54" s="11" t="s">
        <v>21</v>
      </c>
      <c r="P54" s="11" t="s">
        <v>21</v>
      </c>
      <c r="Q54" s="11" t="s">
        <v>21</v>
      </c>
      <c r="R54" s="11" t="s">
        <v>21</v>
      </c>
      <c r="S54" s="11" t="s">
        <v>21</v>
      </c>
      <c r="T54" s="11" t="s">
        <v>21</v>
      </c>
      <c r="U54" s="11" t="s">
        <v>21</v>
      </c>
      <c r="V54" s="11" t="s">
        <v>21</v>
      </c>
      <c r="W54" s="11" t="s">
        <v>21</v>
      </c>
      <c r="X54" s="11" t="s">
        <v>21</v>
      </c>
      <c r="Y54" s="11" t="s">
        <v>21</v>
      </c>
      <c r="Z54" s="11" t="s">
        <v>21</v>
      </c>
      <c r="AA54" s="11" t="s">
        <v>21</v>
      </c>
      <c r="AB54" s="11" t="s">
        <v>21</v>
      </c>
      <c r="AC54" s="11" t="s">
        <v>21</v>
      </c>
      <c r="AD54" s="11" t="s">
        <v>21</v>
      </c>
      <c r="AE54" s="11" t="s">
        <v>21</v>
      </c>
      <c r="AF54" s="11" t="s">
        <v>21</v>
      </c>
      <c r="AG54" s="11" t="s">
        <v>21</v>
      </c>
      <c r="AH54" s="11" t="s">
        <v>21</v>
      </c>
      <c r="AI54" s="11" t="s">
        <v>21</v>
      </c>
      <c r="AJ54" s="11" t="s">
        <v>21</v>
      </c>
      <c r="AK54" s="11" t="s">
        <v>21</v>
      </c>
      <c r="AL54" s="11" t="s">
        <v>21</v>
      </c>
      <c r="AM54" s="11" t="s">
        <v>21</v>
      </c>
      <c r="AN54" s="11" t="s">
        <v>21</v>
      </c>
      <c r="AO54" s="11" t="s">
        <v>21</v>
      </c>
      <c r="AP54" s="11" t="s">
        <v>21</v>
      </c>
      <c r="AQ54" s="15" t="s">
        <v>21</v>
      </c>
      <c r="AR54" s="15" t="s">
        <v>21</v>
      </c>
      <c r="AS54" s="15" t="s">
        <v>21</v>
      </c>
      <c r="AT54" s="11" t="s">
        <v>22</v>
      </c>
      <c r="AU54" s="15" t="s">
        <v>21</v>
      </c>
      <c r="AV54" s="11" t="s">
        <v>22</v>
      </c>
      <c r="AW54" s="16"/>
      <c r="AX54" s="17">
        <f t="shared" si="0"/>
        <v>43</v>
      </c>
      <c r="AY54" s="17">
        <f t="shared" si="1"/>
        <v>2</v>
      </c>
      <c r="AZ54" s="17">
        <f t="shared" si="2"/>
        <v>45</v>
      </c>
      <c r="BA54" s="18">
        <f t="shared" si="3"/>
        <v>95.555555555555557</v>
      </c>
      <c r="BB54" s="28"/>
      <c r="BC54" s="28"/>
      <c r="BD54" s="28"/>
      <c r="BE54" s="28"/>
    </row>
    <row r="55" spans="1:57" ht="15.75" customHeight="1">
      <c r="A55" s="26">
        <v>44</v>
      </c>
      <c r="B55" s="29" t="s">
        <v>107</v>
      </c>
      <c r="C55" s="30" t="s">
        <v>108</v>
      </c>
      <c r="D55" s="11" t="s">
        <v>21</v>
      </c>
      <c r="E55" s="11" t="s">
        <v>21</v>
      </c>
      <c r="F55" s="11" t="s">
        <v>21</v>
      </c>
      <c r="G55" s="11" t="s">
        <v>21</v>
      </c>
      <c r="H55" s="11" t="s">
        <v>21</v>
      </c>
      <c r="I55" s="11" t="s">
        <v>21</v>
      </c>
      <c r="J55" s="11" t="s">
        <v>21</v>
      </c>
      <c r="K55" s="11" t="s">
        <v>21</v>
      </c>
      <c r="L55" s="14" t="s">
        <v>22</v>
      </c>
      <c r="M55" s="11" t="s">
        <v>21</v>
      </c>
      <c r="N55" s="11" t="s">
        <v>21</v>
      </c>
      <c r="O55" s="11" t="s">
        <v>21</v>
      </c>
      <c r="P55" s="11" t="s">
        <v>21</v>
      </c>
      <c r="Q55" s="11" t="s">
        <v>21</v>
      </c>
      <c r="R55" s="11" t="s">
        <v>21</v>
      </c>
      <c r="S55" s="11" t="s">
        <v>21</v>
      </c>
      <c r="T55" s="11" t="s">
        <v>21</v>
      </c>
      <c r="U55" s="11" t="s">
        <v>21</v>
      </c>
      <c r="V55" s="11" t="s">
        <v>21</v>
      </c>
      <c r="W55" s="11" t="s">
        <v>21</v>
      </c>
      <c r="X55" s="11" t="s">
        <v>21</v>
      </c>
      <c r="Y55" s="11" t="s">
        <v>21</v>
      </c>
      <c r="Z55" s="11" t="s">
        <v>21</v>
      </c>
      <c r="AA55" s="11" t="s">
        <v>21</v>
      </c>
      <c r="AB55" s="11" t="s">
        <v>21</v>
      </c>
      <c r="AC55" s="11" t="s">
        <v>21</v>
      </c>
      <c r="AD55" s="11" t="s">
        <v>21</v>
      </c>
      <c r="AE55" s="11" t="s">
        <v>21</v>
      </c>
      <c r="AF55" s="11" t="s">
        <v>21</v>
      </c>
      <c r="AG55" s="11" t="s">
        <v>21</v>
      </c>
      <c r="AH55" s="11" t="s">
        <v>21</v>
      </c>
      <c r="AI55" s="11" t="s">
        <v>21</v>
      </c>
      <c r="AJ55" s="11" t="s">
        <v>21</v>
      </c>
      <c r="AK55" s="11" t="s">
        <v>21</v>
      </c>
      <c r="AL55" s="11" t="s">
        <v>21</v>
      </c>
      <c r="AM55" s="11" t="s">
        <v>21</v>
      </c>
      <c r="AN55" s="11" t="s">
        <v>21</v>
      </c>
      <c r="AO55" s="11" t="s">
        <v>21</v>
      </c>
      <c r="AP55" s="11" t="s">
        <v>21</v>
      </c>
      <c r="AQ55" s="15" t="s">
        <v>21</v>
      </c>
      <c r="AR55" s="15" t="s">
        <v>21</v>
      </c>
      <c r="AS55" s="15" t="s">
        <v>21</v>
      </c>
      <c r="AT55" s="15" t="s">
        <v>21</v>
      </c>
      <c r="AU55" s="15" t="s">
        <v>21</v>
      </c>
      <c r="AV55" s="11" t="s">
        <v>22</v>
      </c>
      <c r="AW55" s="16"/>
      <c r="AX55" s="17">
        <f t="shared" si="0"/>
        <v>43</v>
      </c>
      <c r="AY55" s="17">
        <f t="shared" si="1"/>
        <v>2</v>
      </c>
      <c r="AZ55" s="17">
        <f t="shared" si="2"/>
        <v>45</v>
      </c>
      <c r="BA55" s="18">
        <f t="shared" si="3"/>
        <v>95.555555555555557</v>
      </c>
    </row>
    <row r="56" spans="1:57" ht="15.75" customHeight="1">
      <c r="A56" s="11">
        <v>45</v>
      </c>
      <c r="B56" s="19" t="s">
        <v>109</v>
      </c>
      <c r="C56" s="20" t="s">
        <v>110</v>
      </c>
      <c r="D56" s="11" t="s">
        <v>21</v>
      </c>
      <c r="E56" s="11" t="s">
        <v>21</v>
      </c>
      <c r="F56" s="11" t="s">
        <v>21</v>
      </c>
      <c r="G56" s="11" t="s">
        <v>21</v>
      </c>
      <c r="H56" s="11" t="s">
        <v>21</v>
      </c>
      <c r="I56" s="11" t="s">
        <v>21</v>
      </c>
      <c r="J56" s="11" t="s">
        <v>21</v>
      </c>
      <c r="K56" s="11" t="s">
        <v>21</v>
      </c>
      <c r="L56" s="11" t="s">
        <v>21</v>
      </c>
      <c r="M56" s="11" t="s">
        <v>21</v>
      </c>
      <c r="N56" s="11" t="s">
        <v>21</v>
      </c>
      <c r="O56" s="14" t="s">
        <v>22</v>
      </c>
      <c r="P56" s="11" t="s">
        <v>21</v>
      </c>
      <c r="Q56" s="11" t="s">
        <v>21</v>
      </c>
      <c r="R56" s="11" t="s">
        <v>21</v>
      </c>
      <c r="S56" s="11" t="s">
        <v>21</v>
      </c>
      <c r="T56" s="11" t="s">
        <v>21</v>
      </c>
      <c r="U56" s="11" t="s">
        <v>21</v>
      </c>
      <c r="V56" s="11" t="s">
        <v>21</v>
      </c>
      <c r="W56" s="11" t="s">
        <v>21</v>
      </c>
      <c r="X56" s="14" t="s">
        <v>22</v>
      </c>
      <c r="Y56" s="11" t="s">
        <v>21</v>
      </c>
      <c r="Z56" s="11" t="s">
        <v>21</v>
      </c>
      <c r="AA56" s="11" t="s">
        <v>21</v>
      </c>
      <c r="AB56" s="11" t="s">
        <v>21</v>
      </c>
      <c r="AC56" s="11" t="s">
        <v>21</v>
      </c>
      <c r="AD56" s="11" t="s">
        <v>21</v>
      </c>
      <c r="AE56" s="11" t="s">
        <v>21</v>
      </c>
      <c r="AF56" s="11" t="s">
        <v>21</v>
      </c>
      <c r="AG56" s="11" t="s">
        <v>21</v>
      </c>
      <c r="AH56" s="11" t="s">
        <v>21</v>
      </c>
      <c r="AI56" s="11" t="s">
        <v>21</v>
      </c>
      <c r="AJ56" s="11" t="s">
        <v>21</v>
      </c>
      <c r="AK56" s="11" t="s">
        <v>21</v>
      </c>
      <c r="AL56" s="11" t="s">
        <v>21</v>
      </c>
      <c r="AM56" s="11" t="s">
        <v>21</v>
      </c>
      <c r="AN56" s="11" t="s">
        <v>21</v>
      </c>
      <c r="AO56" s="11" t="s">
        <v>21</v>
      </c>
      <c r="AP56" s="11" t="s">
        <v>21</v>
      </c>
      <c r="AQ56" s="15" t="s">
        <v>21</v>
      </c>
      <c r="AR56" s="15" t="s">
        <v>21</v>
      </c>
      <c r="AS56" s="15" t="s">
        <v>21</v>
      </c>
      <c r="AT56" s="15" t="s">
        <v>21</v>
      </c>
      <c r="AU56" s="15" t="s">
        <v>21</v>
      </c>
      <c r="AV56" s="11" t="s">
        <v>22</v>
      </c>
      <c r="AW56" s="16"/>
      <c r="AX56" s="17">
        <f t="shared" si="0"/>
        <v>42</v>
      </c>
      <c r="AY56" s="17">
        <f t="shared" si="1"/>
        <v>3</v>
      </c>
      <c r="AZ56" s="17">
        <f t="shared" si="2"/>
        <v>45</v>
      </c>
      <c r="BA56" s="18">
        <f t="shared" si="3"/>
        <v>93.333333333333329</v>
      </c>
    </row>
    <row r="57" spans="1:57" ht="15.75" customHeight="1">
      <c r="A57" s="11">
        <v>46</v>
      </c>
      <c r="B57" s="19" t="s">
        <v>111</v>
      </c>
      <c r="C57" s="20" t="s">
        <v>112</v>
      </c>
      <c r="D57" s="11" t="s">
        <v>21</v>
      </c>
      <c r="E57" s="11" t="s">
        <v>21</v>
      </c>
      <c r="F57" s="11" t="s">
        <v>21</v>
      </c>
      <c r="G57" s="11" t="s">
        <v>21</v>
      </c>
      <c r="H57" s="11" t="s">
        <v>21</v>
      </c>
      <c r="I57" s="11" t="s">
        <v>21</v>
      </c>
      <c r="J57" s="11" t="s">
        <v>21</v>
      </c>
      <c r="K57" s="11" t="s">
        <v>21</v>
      </c>
      <c r="L57" s="11" t="s">
        <v>21</v>
      </c>
      <c r="M57" s="11" t="s">
        <v>21</v>
      </c>
      <c r="N57" s="11" t="s">
        <v>21</v>
      </c>
      <c r="O57" s="11" t="s">
        <v>21</v>
      </c>
      <c r="P57" s="11" t="s">
        <v>21</v>
      </c>
      <c r="Q57" s="11" t="s">
        <v>21</v>
      </c>
      <c r="R57" s="11" t="s">
        <v>21</v>
      </c>
      <c r="S57" s="11" t="s">
        <v>21</v>
      </c>
      <c r="T57" s="11" t="s">
        <v>21</v>
      </c>
      <c r="U57" s="11" t="s">
        <v>21</v>
      </c>
      <c r="V57" s="11" t="s">
        <v>21</v>
      </c>
      <c r="W57" s="11" t="s">
        <v>21</v>
      </c>
      <c r="X57" s="11" t="s">
        <v>21</v>
      </c>
      <c r="Y57" s="11" t="s">
        <v>21</v>
      </c>
      <c r="Z57" s="11" t="s">
        <v>21</v>
      </c>
      <c r="AA57" s="11" t="s">
        <v>21</v>
      </c>
      <c r="AB57" s="11" t="s">
        <v>21</v>
      </c>
      <c r="AC57" s="11" t="s">
        <v>21</v>
      </c>
      <c r="AD57" s="11" t="s">
        <v>21</v>
      </c>
      <c r="AE57" s="11" t="s">
        <v>21</v>
      </c>
      <c r="AF57" s="11" t="s">
        <v>21</v>
      </c>
      <c r="AG57" s="11" t="s">
        <v>21</v>
      </c>
      <c r="AH57" s="11" t="s">
        <v>21</v>
      </c>
      <c r="AI57" s="14" t="s">
        <v>22</v>
      </c>
      <c r="AJ57" s="11" t="s">
        <v>21</v>
      </c>
      <c r="AK57" s="11" t="s">
        <v>21</v>
      </c>
      <c r="AL57" s="11" t="s">
        <v>21</v>
      </c>
      <c r="AM57" s="11" t="s">
        <v>21</v>
      </c>
      <c r="AN57" s="11" t="s">
        <v>21</v>
      </c>
      <c r="AO57" s="11" t="s">
        <v>21</v>
      </c>
      <c r="AP57" s="11" t="s">
        <v>21</v>
      </c>
      <c r="AQ57" s="15" t="s">
        <v>21</v>
      </c>
      <c r="AR57" s="15" t="s">
        <v>21</v>
      </c>
      <c r="AS57" s="11" t="s">
        <v>22</v>
      </c>
      <c r="AT57" s="15" t="s">
        <v>21</v>
      </c>
      <c r="AU57" s="15" t="s">
        <v>21</v>
      </c>
      <c r="AV57" s="11" t="s">
        <v>22</v>
      </c>
      <c r="AW57" s="16"/>
      <c r="AX57" s="17">
        <f t="shared" si="0"/>
        <v>42</v>
      </c>
      <c r="AY57" s="17">
        <f t="shared" si="1"/>
        <v>3</v>
      </c>
      <c r="AZ57" s="17">
        <f t="shared" si="2"/>
        <v>45</v>
      </c>
      <c r="BA57" s="18">
        <f t="shared" si="3"/>
        <v>93.333333333333329</v>
      </c>
    </row>
    <row r="58" spans="1:57" ht="15.75" customHeight="1">
      <c r="A58" s="11">
        <v>47</v>
      </c>
      <c r="B58" s="19" t="s">
        <v>113</v>
      </c>
      <c r="C58" s="20" t="s">
        <v>114</v>
      </c>
      <c r="D58" s="11" t="s">
        <v>21</v>
      </c>
      <c r="E58" s="11" t="s">
        <v>21</v>
      </c>
      <c r="F58" s="11" t="s">
        <v>21</v>
      </c>
      <c r="G58" s="14" t="s">
        <v>22</v>
      </c>
      <c r="H58" s="11" t="s">
        <v>21</v>
      </c>
      <c r="I58" s="11" t="s">
        <v>21</v>
      </c>
      <c r="J58" s="11" t="s">
        <v>21</v>
      </c>
      <c r="K58" s="11" t="s">
        <v>21</v>
      </c>
      <c r="L58" s="11" t="s">
        <v>21</v>
      </c>
      <c r="M58" s="11" t="s">
        <v>21</v>
      </c>
      <c r="N58" s="11" t="s">
        <v>21</v>
      </c>
      <c r="O58" s="11" t="s">
        <v>21</v>
      </c>
      <c r="P58" s="11" t="s">
        <v>21</v>
      </c>
      <c r="Q58" s="11" t="s">
        <v>21</v>
      </c>
      <c r="R58" s="11" t="s">
        <v>21</v>
      </c>
      <c r="S58" s="11" t="s">
        <v>21</v>
      </c>
      <c r="T58" s="11" t="s">
        <v>21</v>
      </c>
      <c r="U58" s="11" t="s">
        <v>21</v>
      </c>
      <c r="V58" s="11" t="s">
        <v>21</v>
      </c>
      <c r="W58" s="11" t="s">
        <v>21</v>
      </c>
      <c r="X58" s="11" t="s">
        <v>21</v>
      </c>
      <c r="Y58" s="11" t="s">
        <v>21</v>
      </c>
      <c r="Z58" s="11" t="s">
        <v>21</v>
      </c>
      <c r="AA58" s="11" t="s">
        <v>21</v>
      </c>
      <c r="AB58" s="11" t="s">
        <v>21</v>
      </c>
      <c r="AC58" s="11" t="s">
        <v>21</v>
      </c>
      <c r="AD58" s="11" t="s">
        <v>21</v>
      </c>
      <c r="AE58" s="11" t="s">
        <v>21</v>
      </c>
      <c r="AF58" s="11" t="s">
        <v>21</v>
      </c>
      <c r="AG58" s="11" t="s">
        <v>21</v>
      </c>
      <c r="AH58" s="11" t="s">
        <v>21</v>
      </c>
      <c r="AI58" s="11" t="s">
        <v>21</v>
      </c>
      <c r="AJ58" s="11" t="s">
        <v>21</v>
      </c>
      <c r="AK58" s="11" t="s">
        <v>21</v>
      </c>
      <c r="AL58" s="11" t="s">
        <v>21</v>
      </c>
      <c r="AM58" s="11" t="s">
        <v>21</v>
      </c>
      <c r="AN58" s="11" t="s">
        <v>21</v>
      </c>
      <c r="AO58" s="11" t="s">
        <v>21</v>
      </c>
      <c r="AP58" s="11" t="s">
        <v>21</v>
      </c>
      <c r="AQ58" s="15" t="s">
        <v>21</v>
      </c>
      <c r="AR58" s="15" t="s">
        <v>21</v>
      </c>
      <c r="AS58" s="15" t="s">
        <v>21</v>
      </c>
      <c r="AT58" s="15" t="s">
        <v>21</v>
      </c>
      <c r="AU58" s="15" t="s">
        <v>21</v>
      </c>
      <c r="AV58" s="11" t="s">
        <v>22</v>
      </c>
      <c r="AW58" s="16"/>
      <c r="AX58" s="17">
        <f t="shared" si="0"/>
        <v>43</v>
      </c>
      <c r="AY58" s="17">
        <f t="shared" si="1"/>
        <v>2</v>
      </c>
      <c r="AZ58" s="17">
        <f t="shared" si="2"/>
        <v>45</v>
      </c>
      <c r="BA58" s="18">
        <f t="shared" si="3"/>
        <v>95.555555555555557</v>
      </c>
    </row>
    <row r="59" spans="1:57" ht="15.75" customHeight="1">
      <c r="A59" s="11">
        <v>48</v>
      </c>
      <c r="B59" s="19" t="s">
        <v>115</v>
      </c>
      <c r="C59" s="20" t="s">
        <v>116</v>
      </c>
      <c r="D59" s="11" t="s">
        <v>21</v>
      </c>
      <c r="E59" s="11" t="s">
        <v>21</v>
      </c>
      <c r="F59" s="11" t="s">
        <v>21</v>
      </c>
      <c r="G59" s="11" t="s">
        <v>21</v>
      </c>
      <c r="H59" s="11" t="s">
        <v>21</v>
      </c>
      <c r="I59" s="11" t="s">
        <v>21</v>
      </c>
      <c r="J59" s="11" t="s">
        <v>21</v>
      </c>
      <c r="K59" s="11" t="s">
        <v>21</v>
      </c>
      <c r="L59" s="11" t="s">
        <v>21</v>
      </c>
      <c r="M59" s="11" t="s">
        <v>21</v>
      </c>
      <c r="N59" s="11" t="s">
        <v>21</v>
      </c>
      <c r="O59" s="14" t="s">
        <v>22</v>
      </c>
      <c r="P59" s="11" t="s">
        <v>21</v>
      </c>
      <c r="Q59" s="11" t="s">
        <v>21</v>
      </c>
      <c r="R59" s="11" t="s">
        <v>21</v>
      </c>
      <c r="S59" s="11" t="s">
        <v>21</v>
      </c>
      <c r="T59" s="11" t="s">
        <v>21</v>
      </c>
      <c r="U59" s="11" t="s">
        <v>21</v>
      </c>
      <c r="V59" s="11" t="s">
        <v>21</v>
      </c>
      <c r="W59" s="11" t="s">
        <v>21</v>
      </c>
      <c r="X59" s="11" t="s">
        <v>21</v>
      </c>
      <c r="Y59" s="14" t="s">
        <v>22</v>
      </c>
      <c r="Z59" s="11" t="s">
        <v>21</v>
      </c>
      <c r="AA59" s="11" t="s">
        <v>21</v>
      </c>
      <c r="AB59" s="11" t="s">
        <v>21</v>
      </c>
      <c r="AC59" s="11" t="s">
        <v>21</v>
      </c>
      <c r="AD59" s="11" t="s">
        <v>21</v>
      </c>
      <c r="AE59" s="11" t="s">
        <v>21</v>
      </c>
      <c r="AF59" s="11" t="s">
        <v>21</v>
      </c>
      <c r="AG59" s="11" t="s">
        <v>21</v>
      </c>
      <c r="AH59" s="11" t="s">
        <v>21</v>
      </c>
      <c r="AI59" s="11" t="s">
        <v>21</v>
      </c>
      <c r="AJ59" s="11" t="s">
        <v>21</v>
      </c>
      <c r="AK59" s="11" t="s">
        <v>21</v>
      </c>
      <c r="AL59" s="11" t="s">
        <v>21</v>
      </c>
      <c r="AM59" s="11" t="s">
        <v>21</v>
      </c>
      <c r="AN59" s="11" t="s">
        <v>21</v>
      </c>
      <c r="AO59" s="11" t="s">
        <v>21</v>
      </c>
      <c r="AP59" s="11" t="s">
        <v>21</v>
      </c>
      <c r="AQ59" s="15" t="s">
        <v>21</v>
      </c>
      <c r="AR59" s="15" t="s">
        <v>21</v>
      </c>
      <c r="AS59" s="15" t="s">
        <v>21</v>
      </c>
      <c r="AT59" s="15" t="s">
        <v>21</v>
      </c>
      <c r="AU59" s="15" t="s">
        <v>21</v>
      </c>
      <c r="AV59" s="11" t="s">
        <v>22</v>
      </c>
      <c r="AW59" s="16"/>
      <c r="AX59" s="17">
        <f t="shared" si="0"/>
        <v>42</v>
      </c>
      <c r="AY59" s="17">
        <f t="shared" si="1"/>
        <v>3</v>
      </c>
      <c r="AZ59" s="17">
        <f t="shared" si="2"/>
        <v>45</v>
      </c>
      <c r="BA59" s="18">
        <f t="shared" si="3"/>
        <v>93.333333333333329</v>
      </c>
    </row>
    <row r="60" spans="1:57" ht="15.75" customHeight="1">
      <c r="A60" s="11">
        <v>49</v>
      </c>
      <c r="B60" s="19" t="s">
        <v>117</v>
      </c>
      <c r="C60" s="20" t="s">
        <v>118</v>
      </c>
      <c r="D60" s="11" t="s">
        <v>21</v>
      </c>
      <c r="E60" s="11" t="s">
        <v>21</v>
      </c>
      <c r="F60" s="11" t="s">
        <v>21</v>
      </c>
      <c r="G60" s="11" t="s">
        <v>21</v>
      </c>
      <c r="H60" s="11" t="s">
        <v>21</v>
      </c>
      <c r="I60" s="11" t="s">
        <v>21</v>
      </c>
      <c r="J60" s="11" t="s">
        <v>21</v>
      </c>
      <c r="K60" s="11" t="s">
        <v>21</v>
      </c>
      <c r="L60" s="11" t="s">
        <v>21</v>
      </c>
      <c r="M60" s="11" t="s">
        <v>21</v>
      </c>
      <c r="N60" s="11" t="s">
        <v>21</v>
      </c>
      <c r="O60" s="11" t="s">
        <v>21</v>
      </c>
      <c r="P60" s="11" t="s">
        <v>21</v>
      </c>
      <c r="Q60" s="11" t="s">
        <v>21</v>
      </c>
      <c r="R60" s="11" t="s">
        <v>21</v>
      </c>
      <c r="S60" s="11" t="s">
        <v>21</v>
      </c>
      <c r="T60" s="11" t="s">
        <v>21</v>
      </c>
      <c r="U60" s="11" t="s">
        <v>21</v>
      </c>
      <c r="V60" s="11" t="s">
        <v>21</v>
      </c>
      <c r="W60" s="11" t="s">
        <v>21</v>
      </c>
      <c r="X60" s="11" t="s">
        <v>21</v>
      </c>
      <c r="Y60" s="11" t="s">
        <v>21</v>
      </c>
      <c r="Z60" s="11" t="s">
        <v>21</v>
      </c>
      <c r="AA60" s="11" t="s">
        <v>21</v>
      </c>
      <c r="AB60" s="11" t="s">
        <v>21</v>
      </c>
      <c r="AC60" s="11" t="s">
        <v>21</v>
      </c>
      <c r="AD60" s="11" t="s">
        <v>21</v>
      </c>
      <c r="AE60" s="11" t="s">
        <v>21</v>
      </c>
      <c r="AF60" s="11" t="s">
        <v>21</v>
      </c>
      <c r="AG60" s="11" t="s">
        <v>21</v>
      </c>
      <c r="AH60" s="11" t="s">
        <v>21</v>
      </c>
      <c r="AI60" s="11" t="s">
        <v>21</v>
      </c>
      <c r="AJ60" s="11" t="s">
        <v>21</v>
      </c>
      <c r="AK60" s="11" t="s">
        <v>21</v>
      </c>
      <c r="AL60" s="11" t="s">
        <v>21</v>
      </c>
      <c r="AM60" s="11" t="s">
        <v>21</v>
      </c>
      <c r="AN60" s="11" t="s">
        <v>21</v>
      </c>
      <c r="AO60" s="11" t="s">
        <v>21</v>
      </c>
      <c r="AP60" s="11" t="s">
        <v>21</v>
      </c>
      <c r="AQ60" s="15" t="s">
        <v>21</v>
      </c>
      <c r="AR60" s="15" t="s">
        <v>21</v>
      </c>
      <c r="AS60" s="15" t="s">
        <v>21</v>
      </c>
      <c r="AT60" s="15" t="s">
        <v>21</v>
      </c>
      <c r="AU60" s="15" t="s">
        <v>21</v>
      </c>
      <c r="AV60" s="11" t="s">
        <v>22</v>
      </c>
      <c r="AW60" s="16"/>
      <c r="AX60" s="17">
        <f t="shared" si="0"/>
        <v>44</v>
      </c>
      <c r="AY60" s="17">
        <f t="shared" si="1"/>
        <v>1</v>
      </c>
      <c r="AZ60" s="17">
        <f t="shared" si="2"/>
        <v>45</v>
      </c>
      <c r="BA60" s="18">
        <f t="shared" si="3"/>
        <v>97.777777777777771</v>
      </c>
    </row>
    <row r="61" spans="1:57" ht="15.75" customHeight="1">
      <c r="A61" s="26">
        <v>50</v>
      </c>
      <c r="B61" s="19" t="s">
        <v>119</v>
      </c>
      <c r="C61" s="20" t="s">
        <v>120</v>
      </c>
      <c r="D61" s="11" t="s">
        <v>21</v>
      </c>
      <c r="E61" s="11" t="s">
        <v>21</v>
      </c>
      <c r="F61" s="11" t="s">
        <v>21</v>
      </c>
      <c r="G61" s="11" t="s">
        <v>21</v>
      </c>
      <c r="H61" s="11" t="s">
        <v>21</v>
      </c>
      <c r="I61" s="11" t="s">
        <v>21</v>
      </c>
      <c r="J61" s="11" t="s">
        <v>21</v>
      </c>
      <c r="K61" s="11" t="s">
        <v>21</v>
      </c>
      <c r="L61" s="11" t="s">
        <v>21</v>
      </c>
      <c r="M61" s="11" t="s">
        <v>21</v>
      </c>
      <c r="N61" s="11" t="s">
        <v>21</v>
      </c>
      <c r="O61" s="11" t="s">
        <v>21</v>
      </c>
      <c r="P61" s="11" t="s">
        <v>21</v>
      </c>
      <c r="Q61" s="11" t="s">
        <v>21</v>
      </c>
      <c r="R61" s="11" t="s">
        <v>21</v>
      </c>
      <c r="S61" s="11" t="s">
        <v>21</v>
      </c>
      <c r="T61" s="11" t="s">
        <v>21</v>
      </c>
      <c r="U61" s="11" t="s">
        <v>21</v>
      </c>
      <c r="V61" s="11" t="s">
        <v>21</v>
      </c>
      <c r="W61" s="11" t="s">
        <v>21</v>
      </c>
      <c r="X61" s="11" t="s">
        <v>21</v>
      </c>
      <c r="Y61" s="11" t="s">
        <v>21</v>
      </c>
      <c r="Z61" s="11" t="s">
        <v>21</v>
      </c>
      <c r="AA61" s="11" t="s">
        <v>21</v>
      </c>
      <c r="AB61" s="11" t="s">
        <v>21</v>
      </c>
      <c r="AC61" s="11" t="s">
        <v>21</v>
      </c>
      <c r="AD61" s="11" t="s">
        <v>21</v>
      </c>
      <c r="AE61" s="11" t="s">
        <v>21</v>
      </c>
      <c r="AF61" s="11" t="s">
        <v>21</v>
      </c>
      <c r="AG61" s="11" t="s">
        <v>21</v>
      </c>
      <c r="AH61" s="11" t="s">
        <v>21</v>
      </c>
      <c r="AI61" s="11" t="s">
        <v>21</v>
      </c>
      <c r="AJ61" s="11" t="s">
        <v>21</v>
      </c>
      <c r="AK61" s="11" t="s">
        <v>21</v>
      </c>
      <c r="AL61" s="11" t="s">
        <v>21</v>
      </c>
      <c r="AM61" s="11" t="s">
        <v>21</v>
      </c>
      <c r="AN61" s="11" t="s">
        <v>21</v>
      </c>
      <c r="AO61" s="11" t="s">
        <v>21</v>
      </c>
      <c r="AP61" s="11" t="s">
        <v>21</v>
      </c>
      <c r="AQ61" s="15" t="s">
        <v>21</v>
      </c>
      <c r="AR61" s="15" t="s">
        <v>21</v>
      </c>
      <c r="AS61" s="15" t="s">
        <v>21</v>
      </c>
      <c r="AT61" s="15" t="s">
        <v>21</v>
      </c>
      <c r="AU61" s="15" t="s">
        <v>21</v>
      </c>
      <c r="AV61" s="11" t="s">
        <v>22</v>
      </c>
      <c r="AW61" s="16"/>
      <c r="AX61" s="17">
        <f t="shared" si="0"/>
        <v>44</v>
      </c>
      <c r="AY61" s="17">
        <f t="shared" si="1"/>
        <v>1</v>
      </c>
      <c r="AZ61" s="17">
        <f t="shared" si="2"/>
        <v>45</v>
      </c>
      <c r="BA61" s="18">
        <f t="shared" si="3"/>
        <v>97.777777777777771</v>
      </c>
    </row>
    <row r="62" spans="1:57" ht="15.75" customHeight="1">
      <c r="A62" s="11">
        <v>51</v>
      </c>
      <c r="B62" s="19" t="s">
        <v>121</v>
      </c>
      <c r="C62" s="20" t="s">
        <v>122</v>
      </c>
      <c r="D62" s="11" t="s">
        <v>21</v>
      </c>
      <c r="E62" s="11" t="s">
        <v>21</v>
      </c>
      <c r="F62" s="11" t="s">
        <v>21</v>
      </c>
      <c r="G62" s="11" t="s">
        <v>21</v>
      </c>
      <c r="H62" s="11" t="s">
        <v>21</v>
      </c>
      <c r="I62" s="11" t="s">
        <v>21</v>
      </c>
      <c r="J62" s="11" t="s">
        <v>21</v>
      </c>
      <c r="K62" s="11" t="s">
        <v>21</v>
      </c>
      <c r="L62" s="11" t="s">
        <v>21</v>
      </c>
      <c r="M62" s="11" t="s">
        <v>21</v>
      </c>
      <c r="N62" s="11" t="s">
        <v>21</v>
      </c>
      <c r="O62" s="11" t="s">
        <v>21</v>
      </c>
      <c r="P62" s="11" t="s">
        <v>21</v>
      </c>
      <c r="Q62" s="11" t="s">
        <v>21</v>
      </c>
      <c r="R62" s="11" t="s">
        <v>21</v>
      </c>
      <c r="S62" s="11" t="s">
        <v>21</v>
      </c>
      <c r="T62" s="11" t="s">
        <v>21</v>
      </c>
      <c r="U62" s="11" t="s">
        <v>21</v>
      </c>
      <c r="V62" s="11" t="s">
        <v>21</v>
      </c>
      <c r="W62" s="11" t="s">
        <v>21</v>
      </c>
      <c r="X62" s="11" t="s">
        <v>21</v>
      </c>
      <c r="Y62" s="11" t="s">
        <v>21</v>
      </c>
      <c r="Z62" s="11" t="s">
        <v>21</v>
      </c>
      <c r="AA62" s="11" t="s">
        <v>21</v>
      </c>
      <c r="AB62" s="11" t="s">
        <v>21</v>
      </c>
      <c r="AC62" s="11" t="s">
        <v>21</v>
      </c>
      <c r="AD62" s="11" t="s">
        <v>21</v>
      </c>
      <c r="AE62" s="11" t="s">
        <v>21</v>
      </c>
      <c r="AF62" s="11" t="s">
        <v>21</v>
      </c>
      <c r="AG62" s="11" t="s">
        <v>21</v>
      </c>
      <c r="AH62" s="11" t="s">
        <v>21</v>
      </c>
      <c r="AI62" s="11" t="s">
        <v>21</v>
      </c>
      <c r="AJ62" s="11" t="s">
        <v>21</v>
      </c>
      <c r="AK62" s="11" t="s">
        <v>21</v>
      </c>
      <c r="AL62" s="11" t="s">
        <v>21</v>
      </c>
      <c r="AM62" s="11" t="s">
        <v>21</v>
      </c>
      <c r="AN62" s="11" t="s">
        <v>21</v>
      </c>
      <c r="AO62" s="11" t="s">
        <v>21</v>
      </c>
      <c r="AP62" s="11" t="s">
        <v>22</v>
      </c>
      <c r="AQ62" s="15" t="s">
        <v>21</v>
      </c>
      <c r="AR62" s="15" t="s">
        <v>21</v>
      </c>
      <c r="AS62" s="15" t="s">
        <v>21</v>
      </c>
      <c r="AT62" s="15" t="s">
        <v>21</v>
      </c>
      <c r="AU62" s="15" t="s">
        <v>21</v>
      </c>
      <c r="AV62" s="15" t="s">
        <v>21</v>
      </c>
      <c r="AW62" s="16"/>
      <c r="AX62" s="17">
        <f t="shared" si="0"/>
        <v>44</v>
      </c>
      <c r="AY62" s="17">
        <f t="shared" si="1"/>
        <v>1</v>
      </c>
      <c r="AZ62" s="17">
        <f t="shared" si="2"/>
        <v>45</v>
      </c>
      <c r="BA62" s="18">
        <f t="shared" si="3"/>
        <v>97.777777777777771</v>
      </c>
    </row>
    <row r="63" spans="1:57" ht="15.75" customHeight="1">
      <c r="A63" s="11">
        <v>52</v>
      </c>
      <c r="B63" s="19" t="s">
        <v>123</v>
      </c>
      <c r="C63" s="20" t="s">
        <v>124</v>
      </c>
      <c r="D63" s="11" t="s">
        <v>21</v>
      </c>
      <c r="E63" s="11" t="s">
        <v>21</v>
      </c>
      <c r="F63" s="11" t="s">
        <v>21</v>
      </c>
      <c r="G63" s="11" t="s">
        <v>21</v>
      </c>
      <c r="H63" s="11" t="s">
        <v>21</v>
      </c>
      <c r="I63" s="11" t="s">
        <v>21</v>
      </c>
      <c r="J63" s="11" t="s">
        <v>21</v>
      </c>
      <c r="K63" s="11" t="s">
        <v>21</v>
      </c>
      <c r="L63" s="11" t="s">
        <v>21</v>
      </c>
      <c r="M63" s="11" t="s">
        <v>21</v>
      </c>
      <c r="N63" s="11" t="s">
        <v>21</v>
      </c>
      <c r="O63" s="11" t="s">
        <v>21</v>
      </c>
      <c r="P63" s="11" t="s">
        <v>21</v>
      </c>
      <c r="Q63" s="11" t="s">
        <v>21</v>
      </c>
      <c r="R63" s="11" t="s">
        <v>21</v>
      </c>
      <c r="S63" s="11" t="s">
        <v>21</v>
      </c>
      <c r="T63" s="11" t="s">
        <v>21</v>
      </c>
      <c r="U63" s="14" t="s">
        <v>22</v>
      </c>
      <c r="V63" s="11" t="s">
        <v>21</v>
      </c>
      <c r="W63" s="11" t="s">
        <v>21</v>
      </c>
      <c r="X63" s="11" t="s">
        <v>21</v>
      </c>
      <c r="Y63" s="11" t="s">
        <v>21</v>
      </c>
      <c r="Z63" s="11" t="s">
        <v>21</v>
      </c>
      <c r="AA63" s="11" t="s">
        <v>21</v>
      </c>
      <c r="AB63" s="11" t="s">
        <v>21</v>
      </c>
      <c r="AC63" s="11" t="s">
        <v>21</v>
      </c>
      <c r="AD63" s="11" t="s">
        <v>21</v>
      </c>
      <c r="AE63" s="11" t="s">
        <v>21</v>
      </c>
      <c r="AF63" s="11" t="s">
        <v>21</v>
      </c>
      <c r="AG63" s="11" t="s">
        <v>21</v>
      </c>
      <c r="AH63" s="11" t="s">
        <v>21</v>
      </c>
      <c r="AI63" s="11" t="s">
        <v>21</v>
      </c>
      <c r="AJ63" s="11" t="s">
        <v>21</v>
      </c>
      <c r="AK63" s="11" t="s">
        <v>21</v>
      </c>
      <c r="AL63" s="11" t="s">
        <v>21</v>
      </c>
      <c r="AM63" s="11" t="s">
        <v>21</v>
      </c>
      <c r="AN63" s="11" t="s">
        <v>21</v>
      </c>
      <c r="AO63" s="11" t="s">
        <v>21</v>
      </c>
      <c r="AP63" s="11" t="s">
        <v>21</v>
      </c>
      <c r="AQ63" s="15" t="s">
        <v>21</v>
      </c>
      <c r="AR63" s="15" t="s">
        <v>21</v>
      </c>
      <c r="AS63" s="15" t="s">
        <v>21</v>
      </c>
      <c r="AT63" s="15" t="s">
        <v>21</v>
      </c>
      <c r="AU63" s="15" t="s">
        <v>21</v>
      </c>
      <c r="AV63" s="11" t="s">
        <v>22</v>
      </c>
      <c r="AW63" s="16"/>
      <c r="AX63" s="17">
        <f t="shared" si="0"/>
        <v>43</v>
      </c>
      <c r="AY63" s="17">
        <f t="shared" si="1"/>
        <v>2</v>
      </c>
      <c r="AZ63" s="17">
        <f t="shared" si="2"/>
        <v>45</v>
      </c>
      <c r="BA63" s="18">
        <f t="shared" si="3"/>
        <v>95.555555555555557</v>
      </c>
    </row>
    <row r="64" spans="1:57" ht="15.75" customHeight="1">
      <c r="A64" s="11">
        <v>53</v>
      </c>
      <c r="B64" s="19" t="s">
        <v>125</v>
      </c>
      <c r="C64" s="20" t="s">
        <v>126</v>
      </c>
      <c r="D64" s="11" t="s">
        <v>21</v>
      </c>
      <c r="E64" s="11" t="s">
        <v>21</v>
      </c>
      <c r="F64" s="11" t="s">
        <v>21</v>
      </c>
      <c r="G64" s="11" t="s">
        <v>21</v>
      </c>
      <c r="H64" s="11" t="s">
        <v>21</v>
      </c>
      <c r="I64" s="11" t="s">
        <v>21</v>
      </c>
      <c r="J64" s="11" t="s">
        <v>21</v>
      </c>
      <c r="K64" s="11" t="s">
        <v>21</v>
      </c>
      <c r="L64" s="11" t="s">
        <v>21</v>
      </c>
      <c r="M64" s="11" t="s">
        <v>21</v>
      </c>
      <c r="N64" s="11" t="s">
        <v>21</v>
      </c>
      <c r="O64" s="11" t="s">
        <v>21</v>
      </c>
      <c r="P64" s="11" t="s">
        <v>21</v>
      </c>
      <c r="Q64" s="11" t="s">
        <v>21</v>
      </c>
      <c r="R64" s="11" t="s">
        <v>21</v>
      </c>
      <c r="S64" s="11" t="s">
        <v>21</v>
      </c>
      <c r="T64" s="11" t="s">
        <v>21</v>
      </c>
      <c r="U64" s="11" t="s">
        <v>21</v>
      </c>
      <c r="V64" s="11" t="s">
        <v>21</v>
      </c>
      <c r="W64" s="11" t="s">
        <v>21</v>
      </c>
      <c r="X64" s="11" t="s">
        <v>21</v>
      </c>
      <c r="Y64" s="11" t="s">
        <v>21</v>
      </c>
      <c r="Z64" s="11" t="s">
        <v>21</v>
      </c>
      <c r="AA64" s="11" t="s">
        <v>21</v>
      </c>
      <c r="AB64" s="11" t="s">
        <v>21</v>
      </c>
      <c r="AC64" s="11" t="s">
        <v>21</v>
      </c>
      <c r="AD64" s="11" t="s">
        <v>21</v>
      </c>
      <c r="AE64" s="11" t="s">
        <v>21</v>
      </c>
      <c r="AF64" s="11" t="s">
        <v>21</v>
      </c>
      <c r="AG64" s="11" t="s">
        <v>21</v>
      </c>
      <c r="AH64" s="11" t="s">
        <v>21</v>
      </c>
      <c r="AI64" s="11" t="s">
        <v>21</v>
      </c>
      <c r="AJ64" s="11" t="s">
        <v>21</v>
      </c>
      <c r="AK64" s="11" t="s">
        <v>21</v>
      </c>
      <c r="AL64" s="11" t="s">
        <v>21</v>
      </c>
      <c r="AM64" s="11" t="s">
        <v>21</v>
      </c>
      <c r="AN64" s="11" t="s">
        <v>21</v>
      </c>
      <c r="AO64" s="11" t="s">
        <v>21</v>
      </c>
      <c r="AP64" s="11" t="s">
        <v>21</v>
      </c>
      <c r="AQ64" s="15" t="s">
        <v>21</v>
      </c>
      <c r="AR64" s="15" t="s">
        <v>21</v>
      </c>
      <c r="AS64" s="15" t="s">
        <v>21</v>
      </c>
      <c r="AT64" s="15" t="s">
        <v>21</v>
      </c>
      <c r="AU64" s="15" t="s">
        <v>21</v>
      </c>
      <c r="AV64" s="11" t="s">
        <v>22</v>
      </c>
      <c r="AW64" s="16"/>
      <c r="AX64" s="17">
        <f t="shared" si="0"/>
        <v>44</v>
      </c>
      <c r="AY64" s="17">
        <f t="shared" si="1"/>
        <v>1</v>
      </c>
      <c r="AZ64" s="17">
        <f t="shared" si="2"/>
        <v>45</v>
      </c>
      <c r="BA64" s="18">
        <f t="shared" si="3"/>
        <v>97.777777777777771</v>
      </c>
    </row>
    <row r="65" spans="1:53" ht="15.75" customHeight="1">
      <c r="A65" s="11">
        <v>54</v>
      </c>
      <c r="B65" s="19" t="s">
        <v>127</v>
      </c>
      <c r="C65" s="20" t="s">
        <v>128</v>
      </c>
      <c r="D65" s="11" t="s">
        <v>21</v>
      </c>
      <c r="E65" s="11" t="s">
        <v>21</v>
      </c>
      <c r="F65" s="11" t="s">
        <v>21</v>
      </c>
      <c r="G65" s="11" t="s">
        <v>21</v>
      </c>
      <c r="H65" s="11" t="s">
        <v>21</v>
      </c>
      <c r="I65" s="11" t="s">
        <v>21</v>
      </c>
      <c r="J65" s="11" t="s">
        <v>21</v>
      </c>
      <c r="K65" s="11" t="s">
        <v>21</v>
      </c>
      <c r="L65" s="11" t="s">
        <v>21</v>
      </c>
      <c r="M65" s="11" t="s">
        <v>21</v>
      </c>
      <c r="N65" s="11" t="s">
        <v>21</v>
      </c>
      <c r="O65" s="11" t="s">
        <v>21</v>
      </c>
      <c r="P65" s="14" t="s">
        <v>22</v>
      </c>
      <c r="Q65" s="11" t="s">
        <v>21</v>
      </c>
      <c r="R65" s="11" t="s">
        <v>21</v>
      </c>
      <c r="S65" s="11" t="s">
        <v>21</v>
      </c>
      <c r="T65" s="11" t="s">
        <v>21</v>
      </c>
      <c r="U65" s="11" t="s">
        <v>21</v>
      </c>
      <c r="V65" s="11" t="s">
        <v>21</v>
      </c>
      <c r="W65" s="11" t="s">
        <v>21</v>
      </c>
      <c r="X65" s="11" t="s">
        <v>21</v>
      </c>
      <c r="Y65" s="11" t="s">
        <v>21</v>
      </c>
      <c r="Z65" s="11" t="s">
        <v>21</v>
      </c>
      <c r="AA65" s="11" t="s">
        <v>21</v>
      </c>
      <c r="AB65" s="11" t="s">
        <v>21</v>
      </c>
      <c r="AC65" s="11" t="s">
        <v>21</v>
      </c>
      <c r="AD65" s="11" t="s">
        <v>21</v>
      </c>
      <c r="AE65" s="11" t="s">
        <v>21</v>
      </c>
      <c r="AF65" s="11" t="s">
        <v>21</v>
      </c>
      <c r="AG65" s="11" t="s">
        <v>21</v>
      </c>
      <c r="AH65" s="11" t="s">
        <v>21</v>
      </c>
      <c r="AI65" s="11" t="s">
        <v>21</v>
      </c>
      <c r="AJ65" s="11" t="s">
        <v>21</v>
      </c>
      <c r="AK65" s="11" t="s">
        <v>21</v>
      </c>
      <c r="AL65" s="11" t="s">
        <v>21</v>
      </c>
      <c r="AM65" s="11" t="s">
        <v>21</v>
      </c>
      <c r="AN65" s="11" t="s">
        <v>21</v>
      </c>
      <c r="AO65" s="11" t="s">
        <v>21</v>
      </c>
      <c r="AP65" s="11" t="s">
        <v>21</v>
      </c>
      <c r="AQ65" s="15" t="s">
        <v>21</v>
      </c>
      <c r="AR65" s="15" t="s">
        <v>21</v>
      </c>
      <c r="AS65" s="15" t="s">
        <v>21</v>
      </c>
      <c r="AT65" s="11" t="s">
        <v>22</v>
      </c>
      <c r="AU65" s="15" t="s">
        <v>21</v>
      </c>
      <c r="AV65" s="15" t="s">
        <v>21</v>
      </c>
      <c r="AW65" s="16"/>
      <c r="AX65" s="17">
        <f t="shared" si="0"/>
        <v>43</v>
      </c>
      <c r="AY65" s="17">
        <f t="shared" si="1"/>
        <v>2</v>
      </c>
      <c r="AZ65" s="17">
        <f t="shared" si="2"/>
        <v>45</v>
      </c>
      <c r="BA65" s="18">
        <f t="shared" si="3"/>
        <v>95.555555555555557</v>
      </c>
    </row>
    <row r="66" spans="1:53" ht="15.75" customHeight="1">
      <c r="A66" s="11">
        <v>55</v>
      </c>
      <c r="B66" s="19" t="s">
        <v>129</v>
      </c>
      <c r="C66" s="20" t="s">
        <v>130</v>
      </c>
      <c r="D66" s="11" t="s">
        <v>21</v>
      </c>
      <c r="E66" s="11" t="s">
        <v>21</v>
      </c>
      <c r="F66" s="11" t="s">
        <v>21</v>
      </c>
      <c r="G66" s="11" t="s">
        <v>21</v>
      </c>
      <c r="H66" s="11" t="s">
        <v>21</v>
      </c>
      <c r="I66" s="11" t="s">
        <v>21</v>
      </c>
      <c r="J66" s="11" t="s">
        <v>21</v>
      </c>
      <c r="K66" s="11" t="s">
        <v>21</v>
      </c>
      <c r="L66" s="11" t="s">
        <v>21</v>
      </c>
      <c r="M66" s="11" t="s">
        <v>21</v>
      </c>
      <c r="N66" s="11" t="s">
        <v>21</v>
      </c>
      <c r="O66" s="11" t="s">
        <v>21</v>
      </c>
      <c r="P66" s="14" t="s">
        <v>22</v>
      </c>
      <c r="Q66" s="11" t="s">
        <v>21</v>
      </c>
      <c r="R66" s="11" t="s">
        <v>21</v>
      </c>
      <c r="S66" s="11" t="s">
        <v>21</v>
      </c>
      <c r="T66" s="11" t="s">
        <v>21</v>
      </c>
      <c r="U66" s="11" t="s">
        <v>21</v>
      </c>
      <c r="V66" s="11" t="s">
        <v>21</v>
      </c>
      <c r="W66" s="11" t="s">
        <v>21</v>
      </c>
      <c r="X66" s="11" t="s">
        <v>21</v>
      </c>
      <c r="Y66" s="11" t="s">
        <v>21</v>
      </c>
      <c r="Z66" s="11" t="s">
        <v>21</v>
      </c>
      <c r="AA66" s="11" t="s">
        <v>21</v>
      </c>
      <c r="AB66" s="11" t="s">
        <v>21</v>
      </c>
      <c r="AC66" s="11" t="s">
        <v>21</v>
      </c>
      <c r="AD66" s="11" t="s">
        <v>21</v>
      </c>
      <c r="AE66" s="11" t="s">
        <v>21</v>
      </c>
      <c r="AF66" s="11" t="s">
        <v>21</v>
      </c>
      <c r="AG66" s="11" t="s">
        <v>21</v>
      </c>
      <c r="AH66" s="11" t="s">
        <v>21</v>
      </c>
      <c r="AI66" s="11" t="s">
        <v>21</v>
      </c>
      <c r="AJ66" s="11" t="s">
        <v>21</v>
      </c>
      <c r="AK66" s="11" t="s">
        <v>21</v>
      </c>
      <c r="AL66" s="11" t="s">
        <v>21</v>
      </c>
      <c r="AM66" s="11" t="s">
        <v>21</v>
      </c>
      <c r="AN66" s="11" t="s">
        <v>21</v>
      </c>
      <c r="AO66" s="11" t="s">
        <v>21</v>
      </c>
      <c r="AP66" s="11" t="s">
        <v>21</v>
      </c>
      <c r="AQ66" s="15" t="s">
        <v>21</v>
      </c>
      <c r="AR66" s="15" t="s">
        <v>21</v>
      </c>
      <c r="AS66" s="11" t="s">
        <v>22</v>
      </c>
      <c r="AT66" s="11" t="s">
        <v>22</v>
      </c>
      <c r="AU66" s="15" t="s">
        <v>21</v>
      </c>
      <c r="AV66" s="11" t="s">
        <v>22</v>
      </c>
      <c r="AW66" s="16"/>
      <c r="AX66" s="17">
        <f t="shared" si="0"/>
        <v>41</v>
      </c>
      <c r="AY66" s="17">
        <f t="shared" si="1"/>
        <v>4</v>
      </c>
      <c r="AZ66" s="17">
        <f t="shared" si="2"/>
        <v>45</v>
      </c>
      <c r="BA66" s="18">
        <f t="shared" si="3"/>
        <v>91.111111111111114</v>
      </c>
    </row>
    <row r="67" spans="1:53" ht="15.75" customHeight="1">
      <c r="A67" s="26">
        <v>56</v>
      </c>
      <c r="B67" s="19" t="s">
        <v>131</v>
      </c>
      <c r="C67" s="20" t="s">
        <v>132</v>
      </c>
      <c r="D67" s="11" t="s">
        <v>21</v>
      </c>
      <c r="E67" s="11" t="s">
        <v>21</v>
      </c>
      <c r="F67" s="11" t="s">
        <v>21</v>
      </c>
      <c r="G67" s="11" t="s">
        <v>21</v>
      </c>
      <c r="H67" s="11" t="s">
        <v>21</v>
      </c>
      <c r="I67" s="11" t="s">
        <v>21</v>
      </c>
      <c r="J67" s="11" t="s">
        <v>21</v>
      </c>
      <c r="K67" s="11" t="s">
        <v>21</v>
      </c>
      <c r="L67" s="11" t="s">
        <v>21</v>
      </c>
      <c r="M67" s="11" t="s">
        <v>21</v>
      </c>
      <c r="N67" s="11" t="s">
        <v>21</v>
      </c>
      <c r="O67" s="11" t="s">
        <v>21</v>
      </c>
      <c r="P67" s="14" t="s">
        <v>22</v>
      </c>
      <c r="Q67" s="11" t="s">
        <v>21</v>
      </c>
      <c r="R67" s="11" t="s">
        <v>21</v>
      </c>
      <c r="S67" s="11" t="s">
        <v>21</v>
      </c>
      <c r="T67" s="11" t="s">
        <v>21</v>
      </c>
      <c r="U67" s="11" t="s">
        <v>21</v>
      </c>
      <c r="V67" s="11" t="s">
        <v>21</v>
      </c>
      <c r="W67" s="11" t="s">
        <v>21</v>
      </c>
      <c r="X67" s="11" t="s">
        <v>21</v>
      </c>
      <c r="Y67" s="11" t="s">
        <v>21</v>
      </c>
      <c r="Z67" s="11" t="s">
        <v>21</v>
      </c>
      <c r="AA67" s="11" t="s">
        <v>21</v>
      </c>
      <c r="AB67" s="11" t="s">
        <v>21</v>
      </c>
      <c r="AC67" s="11" t="s">
        <v>21</v>
      </c>
      <c r="AD67" s="14" t="s">
        <v>22</v>
      </c>
      <c r="AE67" s="11" t="s">
        <v>21</v>
      </c>
      <c r="AF67" s="11" t="s">
        <v>21</v>
      </c>
      <c r="AG67" s="11" t="s">
        <v>21</v>
      </c>
      <c r="AH67" s="11" t="s">
        <v>21</v>
      </c>
      <c r="AI67" s="11" t="s">
        <v>21</v>
      </c>
      <c r="AJ67" s="11" t="s">
        <v>21</v>
      </c>
      <c r="AK67" s="11" t="s">
        <v>21</v>
      </c>
      <c r="AL67" s="11" t="s">
        <v>21</v>
      </c>
      <c r="AM67" s="11" t="s">
        <v>21</v>
      </c>
      <c r="AN67" s="11" t="s">
        <v>21</v>
      </c>
      <c r="AO67" s="11" t="s">
        <v>21</v>
      </c>
      <c r="AP67" s="11" t="s">
        <v>21</v>
      </c>
      <c r="AQ67" s="15" t="s">
        <v>21</v>
      </c>
      <c r="AR67" s="15" t="s">
        <v>21</v>
      </c>
      <c r="AS67" s="15" t="s">
        <v>21</v>
      </c>
      <c r="AT67" s="11" t="s">
        <v>22</v>
      </c>
      <c r="AU67" s="15" t="s">
        <v>21</v>
      </c>
      <c r="AV67" s="11" t="s">
        <v>22</v>
      </c>
      <c r="AW67" s="16"/>
      <c r="AX67" s="17">
        <f t="shared" si="0"/>
        <v>41</v>
      </c>
      <c r="AY67" s="17">
        <f t="shared" si="1"/>
        <v>4</v>
      </c>
      <c r="AZ67" s="17">
        <f t="shared" si="2"/>
        <v>45</v>
      </c>
      <c r="BA67" s="18">
        <f t="shared" si="3"/>
        <v>91.111111111111114</v>
      </c>
    </row>
    <row r="68" spans="1:53" ht="15.75" customHeight="1">
      <c r="A68" s="11">
        <v>57</v>
      </c>
      <c r="B68" s="19" t="s">
        <v>133</v>
      </c>
      <c r="C68" s="20" t="s">
        <v>134</v>
      </c>
      <c r="D68" s="11" t="s">
        <v>21</v>
      </c>
      <c r="E68" s="11" t="s">
        <v>21</v>
      </c>
      <c r="F68" s="11" t="s">
        <v>21</v>
      </c>
      <c r="G68" s="11" t="s">
        <v>21</v>
      </c>
      <c r="H68" s="11" t="s">
        <v>21</v>
      </c>
      <c r="I68" s="11" t="s">
        <v>21</v>
      </c>
      <c r="J68" s="11" t="s">
        <v>21</v>
      </c>
      <c r="K68" s="11" t="s">
        <v>21</v>
      </c>
      <c r="L68" s="11" t="s">
        <v>21</v>
      </c>
      <c r="M68" s="11" t="s">
        <v>21</v>
      </c>
      <c r="N68" s="11" t="s">
        <v>21</v>
      </c>
      <c r="O68" s="11" t="s">
        <v>21</v>
      </c>
      <c r="P68" s="14" t="s">
        <v>22</v>
      </c>
      <c r="Q68" s="11" t="s">
        <v>21</v>
      </c>
      <c r="R68" s="11" t="s">
        <v>21</v>
      </c>
      <c r="S68" s="11" t="s">
        <v>21</v>
      </c>
      <c r="T68" s="11" t="s">
        <v>21</v>
      </c>
      <c r="U68" s="11" t="s">
        <v>21</v>
      </c>
      <c r="V68" s="11" t="s">
        <v>21</v>
      </c>
      <c r="W68" s="11" t="s">
        <v>21</v>
      </c>
      <c r="X68" s="11" t="s">
        <v>21</v>
      </c>
      <c r="Y68" s="11" t="s">
        <v>21</v>
      </c>
      <c r="Z68" s="11" t="s">
        <v>21</v>
      </c>
      <c r="AA68" s="11" t="s">
        <v>21</v>
      </c>
      <c r="AB68" s="11" t="s">
        <v>21</v>
      </c>
      <c r="AC68" s="11" t="s">
        <v>21</v>
      </c>
      <c r="AD68" s="14" t="s">
        <v>22</v>
      </c>
      <c r="AE68" s="11" t="s">
        <v>21</v>
      </c>
      <c r="AF68" s="11" t="s">
        <v>21</v>
      </c>
      <c r="AG68" s="11" t="s">
        <v>21</v>
      </c>
      <c r="AH68" s="11" t="s">
        <v>21</v>
      </c>
      <c r="AI68" s="11" t="s">
        <v>21</v>
      </c>
      <c r="AJ68" s="11" t="s">
        <v>21</v>
      </c>
      <c r="AK68" s="11" t="s">
        <v>21</v>
      </c>
      <c r="AL68" s="11" t="s">
        <v>21</v>
      </c>
      <c r="AM68" s="11" t="s">
        <v>21</v>
      </c>
      <c r="AN68" s="11" t="s">
        <v>21</v>
      </c>
      <c r="AO68" s="11" t="s">
        <v>21</v>
      </c>
      <c r="AP68" s="11" t="s">
        <v>21</v>
      </c>
      <c r="AQ68" s="15" t="s">
        <v>21</v>
      </c>
      <c r="AR68" s="15" t="s">
        <v>21</v>
      </c>
      <c r="AS68" s="15" t="s">
        <v>21</v>
      </c>
      <c r="AT68" s="11" t="s">
        <v>22</v>
      </c>
      <c r="AU68" s="15" t="s">
        <v>21</v>
      </c>
      <c r="AV68" s="15" t="s">
        <v>21</v>
      </c>
      <c r="AW68" s="16"/>
      <c r="AX68" s="17">
        <f t="shared" si="0"/>
        <v>42</v>
      </c>
      <c r="AY68" s="17">
        <f t="shared" si="1"/>
        <v>3</v>
      </c>
      <c r="AZ68" s="17">
        <f t="shared" si="2"/>
        <v>45</v>
      </c>
      <c r="BA68" s="18">
        <f t="shared" si="3"/>
        <v>93.333333333333329</v>
      </c>
    </row>
    <row r="69" spans="1:53" ht="15.75" customHeight="1">
      <c r="A69" s="11">
        <v>58</v>
      </c>
      <c r="B69" s="19" t="s">
        <v>135</v>
      </c>
      <c r="C69" s="20" t="s">
        <v>136</v>
      </c>
      <c r="D69" s="11" t="s">
        <v>21</v>
      </c>
      <c r="E69" s="11" t="s">
        <v>21</v>
      </c>
      <c r="F69" s="11" t="s">
        <v>21</v>
      </c>
      <c r="G69" s="11" t="s">
        <v>21</v>
      </c>
      <c r="H69" s="14" t="s">
        <v>22</v>
      </c>
      <c r="I69" s="11" t="s">
        <v>21</v>
      </c>
      <c r="J69" s="11" t="s">
        <v>21</v>
      </c>
      <c r="K69" s="11" t="s">
        <v>21</v>
      </c>
      <c r="L69" s="11" t="s">
        <v>21</v>
      </c>
      <c r="M69" s="11" t="s">
        <v>21</v>
      </c>
      <c r="N69" s="11" t="s">
        <v>21</v>
      </c>
      <c r="O69" s="11" t="s">
        <v>21</v>
      </c>
      <c r="P69" s="11" t="s">
        <v>21</v>
      </c>
      <c r="Q69" s="11" t="s">
        <v>21</v>
      </c>
      <c r="R69" s="11" t="s">
        <v>21</v>
      </c>
      <c r="S69" s="11" t="s">
        <v>21</v>
      </c>
      <c r="T69" s="11" t="s">
        <v>21</v>
      </c>
      <c r="U69" s="11" t="s">
        <v>21</v>
      </c>
      <c r="V69" s="11" t="s">
        <v>21</v>
      </c>
      <c r="W69" s="11" t="s">
        <v>21</v>
      </c>
      <c r="X69" s="11" t="s">
        <v>21</v>
      </c>
      <c r="Y69" s="11" t="s">
        <v>21</v>
      </c>
      <c r="Z69" s="11" t="s">
        <v>21</v>
      </c>
      <c r="AA69" s="11" t="s">
        <v>21</v>
      </c>
      <c r="AB69" s="11" t="s">
        <v>21</v>
      </c>
      <c r="AC69" s="11" t="s">
        <v>21</v>
      </c>
      <c r="AD69" s="14" t="s">
        <v>22</v>
      </c>
      <c r="AE69" s="11" t="s">
        <v>21</v>
      </c>
      <c r="AF69" s="11" t="s">
        <v>21</v>
      </c>
      <c r="AG69" s="11" t="s">
        <v>21</v>
      </c>
      <c r="AH69" s="11" t="s">
        <v>21</v>
      </c>
      <c r="AI69" s="11" t="s">
        <v>21</v>
      </c>
      <c r="AJ69" s="11" t="s">
        <v>21</v>
      </c>
      <c r="AK69" s="11" t="s">
        <v>21</v>
      </c>
      <c r="AL69" s="11" t="s">
        <v>21</v>
      </c>
      <c r="AM69" s="11" t="s">
        <v>21</v>
      </c>
      <c r="AN69" s="11" t="s">
        <v>21</v>
      </c>
      <c r="AO69" s="11" t="s">
        <v>21</v>
      </c>
      <c r="AP69" s="11" t="s">
        <v>21</v>
      </c>
      <c r="AQ69" s="11" t="s">
        <v>22</v>
      </c>
      <c r="AR69" s="15" t="s">
        <v>21</v>
      </c>
      <c r="AS69" s="11" t="s">
        <v>22</v>
      </c>
      <c r="AT69" s="11" t="s">
        <v>22</v>
      </c>
      <c r="AU69" s="15" t="s">
        <v>21</v>
      </c>
      <c r="AV69" s="15" t="s">
        <v>21</v>
      </c>
      <c r="AW69" s="16"/>
      <c r="AX69" s="17">
        <f t="shared" si="0"/>
        <v>40</v>
      </c>
      <c r="AY69" s="17">
        <f t="shared" si="1"/>
        <v>5</v>
      </c>
      <c r="AZ69" s="17">
        <f t="shared" si="2"/>
        <v>45</v>
      </c>
      <c r="BA69" s="18">
        <f t="shared" si="3"/>
        <v>88.888888888888886</v>
      </c>
    </row>
    <row r="70" spans="1:53" ht="15.75" customHeight="1">
      <c r="A70" s="11">
        <v>59</v>
      </c>
      <c r="B70" s="19" t="s">
        <v>137</v>
      </c>
      <c r="C70" s="20" t="s">
        <v>138</v>
      </c>
      <c r="D70" s="11" t="s">
        <v>21</v>
      </c>
      <c r="E70" s="11" t="s">
        <v>21</v>
      </c>
      <c r="F70" s="11" t="s">
        <v>21</v>
      </c>
      <c r="G70" s="11" t="s">
        <v>21</v>
      </c>
      <c r="H70" s="11" t="s">
        <v>21</v>
      </c>
      <c r="I70" s="11" t="s">
        <v>21</v>
      </c>
      <c r="J70" s="11" t="s">
        <v>21</v>
      </c>
      <c r="K70" s="11" t="s">
        <v>21</v>
      </c>
      <c r="L70" s="11" t="s">
        <v>21</v>
      </c>
      <c r="M70" s="11" t="s">
        <v>21</v>
      </c>
      <c r="N70" s="11" t="s">
        <v>21</v>
      </c>
      <c r="O70" s="11" t="s">
        <v>21</v>
      </c>
      <c r="P70" s="11" t="s">
        <v>21</v>
      </c>
      <c r="Q70" s="11" t="s">
        <v>21</v>
      </c>
      <c r="R70" s="11" t="s">
        <v>21</v>
      </c>
      <c r="S70" s="11" t="s">
        <v>21</v>
      </c>
      <c r="T70" s="11" t="s">
        <v>21</v>
      </c>
      <c r="U70" s="11" t="s">
        <v>21</v>
      </c>
      <c r="V70" s="11" t="s">
        <v>21</v>
      </c>
      <c r="W70" s="11" t="s">
        <v>21</v>
      </c>
      <c r="X70" s="11" t="s">
        <v>21</v>
      </c>
      <c r="Y70" s="11" t="s">
        <v>21</v>
      </c>
      <c r="Z70" s="11" t="s">
        <v>21</v>
      </c>
      <c r="AA70" s="11" t="s">
        <v>21</v>
      </c>
      <c r="AB70" s="11" t="s">
        <v>21</v>
      </c>
      <c r="AC70" s="11" t="s">
        <v>21</v>
      </c>
      <c r="AD70" s="14" t="s">
        <v>22</v>
      </c>
      <c r="AE70" s="11" t="s">
        <v>21</v>
      </c>
      <c r="AF70" s="11" t="s">
        <v>21</v>
      </c>
      <c r="AG70" s="11" t="s">
        <v>21</v>
      </c>
      <c r="AH70" s="11" t="s">
        <v>21</v>
      </c>
      <c r="AI70" s="11" t="s">
        <v>21</v>
      </c>
      <c r="AJ70" s="11" t="s">
        <v>21</v>
      </c>
      <c r="AK70" s="11" t="s">
        <v>21</v>
      </c>
      <c r="AL70" s="11" t="s">
        <v>21</v>
      </c>
      <c r="AM70" s="11" t="s">
        <v>21</v>
      </c>
      <c r="AN70" s="11" t="s">
        <v>21</v>
      </c>
      <c r="AO70" s="11" t="s">
        <v>21</v>
      </c>
      <c r="AP70" s="11" t="s">
        <v>22</v>
      </c>
      <c r="AQ70" s="11" t="s">
        <v>22</v>
      </c>
      <c r="AR70" s="15" t="s">
        <v>21</v>
      </c>
      <c r="AS70" s="15" t="s">
        <v>21</v>
      </c>
      <c r="AT70" s="11" t="s">
        <v>22</v>
      </c>
      <c r="AU70" s="15" t="s">
        <v>21</v>
      </c>
      <c r="AV70" s="15" t="s">
        <v>21</v>
      </c>
      <c r="AW70" s="16"/>
      <c r="AX70" s="17">
        <f t="shared" si="0"/>
        <v>41</v>
      </c>
      <c r="AY70" s="17">
        <f t="shared" si="1"/>
        <v>4</v>
      </c>
      <c r="AZ70" s="17">
        <f t="shared" si="2"/>
        <v>45</v>
      </c>
      <c r="BA70" s="18">
        <f t="shared" si="3"/>
        <v>91.111111111111114</v>
      </c>
    </row>
    <row r="71" spans="1:53" ht="15.75" customHeight="1">
      <c r="A71" s="11">
        <v>60</v>
      </c>
      <c r="B71" s="19" t="s">
        <v>139</v>
      </c>
      <c r="C71" s="20" t="s">
        <v>140</v>
      </c>
      <c r="D71" s="11" t="s">
        <v>21</v>
      </c>
      <c r="E71" s="11" t="s">
        <v>21</v>
      </c>
      <c r="F71" s="11" t="s">
        <v>21</v>
      </c>
      <c r="G71" s="11" t="s">
        <v>21</v>
      </c>
      <c r="H71" s="11" t="s">
        <v>21</v>
      </c>
      <c r="I71" s="11" t="s">
        <v>21</v>
      </c>
      <c r="J71" s="11" t="s">
        <v>21</v>
      </c>
      <c r="K71" s="11" t="s">
        <v>21</v>
      </c>
      <c r="L71" s="11" t="s">
        <v>21</v>
      </c>
      <c r="M71" s="11" t="s">
        <v>21</v>
      </c>
      <c r="N71" s="11" t="s">
        <v>21</v>
      </c>
      <c r="O71" s="11" t="s">
        <v>21</v>
      </c>
      <c r="P71" s="11" t="s">
        <v>21</v>
      </c>
      <c r="Q71" s="11" t="s">
        <v>21</v>
      </c>
      <c r="R71" s="11" t="s">
        <v>21</v>
      </c>
      <c r="S71" s="11" t="s">
        <v>21</v>
      </c>
      <c r="T71" s="11" t="s">
        <v>21</v>
      </c>
      <c r="U71" s="11" t="s">
        <v>21</v>
      </c>
      <c r="V71" s="11" t="s">
        <v>21</v>
      </c>
      <c r="W71" s="11" t="s">
        <v>21</v>
      </c>
      <c r="X71" s="11" t="s">
        <v>21</v>
      </c>
      <c r="Y71" s="11" t="s">
        <v>21</v>
      </c>
      <c r="Z71" s="11" t="s">
        <v>21</v>
      </c>
      <c r="AA71" s="11" t="s">
        <v>21</v>
      </c>
      <c r="AB71" s="11" t="s">
        <v>21</v>
      </c>
      <c r="AC71" s="11" t="s">
        <v>21</v>
      </c>
      <c r="AD71" s="14" t="s">
        <v>22</v>
      </c>
      <c r="AE71" s="11" t="s">
        <v>21</v>
      </c>
      <c r="AF71" s="11" t="s">
        <v>21</v>
      </c>
      <c r="AG71" s="11" t="s">
        <v>21</v>
      </c>
      <c r="AH71" s="11" t="s">
        <v>21</v>
      </c>
      <c r="AI71" s="11" t="s">
        <v>21</v>
      </c>
      <c r="AJ71" s="11" t="s">
        <v>21</v>
      </c>
      <c r="AK71" s="11" t="s">
        <v>21</v>
      </c>
      <c r="AL71" s="11" t="s">
        <v>21</v>
      </c>
      <c r="AM71" s="11" t="s">
        <v>21</v>
      </c>
      <c r="AN71" s="11" t="s">
        <v>21</v>
      </c>
      <c r="AO71" s="11" t="s">
        <v>21</v>
      </c>
      <c r="AP71" s="11" t="s">
        <v>22</v>
      </c>
      <c r="AQ71" s="15" t="s">
        <v>21</v>
      </c>
      <c r="AR71" s="15" t="s">
        <v>21</v>
      </c>
      <c r="AS71" s="11" t="s">
        <v>22</v>
      </c>
      <c r="AT71" s="15" t="s">
        <v>21</v>
      </c>
      <c r="AU71" s="15" t="s">
        <v>21</v>
      </c>
      <c r="AV71" s="11" t="s">
        <v>22</v>
      </c>
      <c r="AW71" s="16"/>
      <c r="AX71" s="17">
        <f t="shared" si="0"/>
        <v>41</v>
      </c>
      <c r="AY71" s="17">
        <f t="shared" si="1"/>
        <v>4</v>
      </c>
      <c r="AZ71" s="17">
        <f t="shared" si="2"/>
        <v>45</v>
      </c>
      <c r="BA71" s="18">
        <f t="shared" si="3"/>
        <v>91.111111111111114</v>
      </c>
    </row>
    <row r="72" spans="1:53" ht="15.75" customHeight="1">
      <c r="A72" s="11">
        <v>61</v>
      </c>
      <c r="B72" s="19" t="s">
        <v>141</v>
      </c>
      <c r="C72" s="20" t="s">
        <v>142</v>
      </c>
      <c r="D72" s="11" t="s">
        <v>21</v>
      </c>
      <c r="E72" s="11" t="s">
        <v>21</v>
      </c>
      <c r="F72" s="11" t="s">
        <v>21</v>
      </c>
      <c r="G72" s="11" t="s">
        <v>21</v>
      </c>
      <c r="H72" s="11" t="s">
        <v>21</v>
      </c>
      <c r="I72" s="11" t="s">
        <v>21</v>
      </c>
      <c r="J72" s="11" t="s">
        <v>21</v>
      </c>
      <c r="K72" s="11" t="s">
        <v>21</v>
      </c>
      <c r="L72" s="11" t="s">
        <v>21</v>
      </c>
      <c r="M72" s="11" t="s">
        <v>21</v>
      </c>
      <c r="N72" s="11" t="s">
        <v>21</v>
      </c>
      <c r="O72" s="11" t="s">
        <v>21</v>
      </c>
      <c r="P72" s="11" t="s">
        <v>21</v>
      </c>
      <c r="Q72" s="11" t="s">
        <v>21</v>
      </c>
      <c r="R72" s="11" t="s">
        <v>21</v>
      </c>
      <c r="S72" s="11" t="s">
        <v>21</v>
      </c>
      <c r="T72" s="11" t="s">
        <v>21</v>
      </c>
      <c r="U72" s="14" t="s">
        <v>22</v>
      </c>
      <c r="V72" s="11" t="s">
        <v>21</v>
      </c>
      <c r="W72" s="11" t="s">
        <v>21</v>
      </c>
      <c r="X72" s="11" t="s">
        <v>21</v>
      </c>
      <c r="Y72" s="11" t="s">
        <v>21</v>
      </c>
      <c r="Z72" s="11" t="s">
        <v>21</v>
      </c>
      <c r="AA72" s="11" t="s">
        <v>21</v>
      </c>
      <c r="AB72" s="11" t="s">
        <v>21</v>
      </c>
      <c r="AC72" s="11" t="s">
        <v>21</v>
      </c>
      <c r="AD72" s="11" t="s">
        <v>21</v>
      </c>
      <c r="AE72" s="11" t="s">
        <v>21</v>
      </c>
      <c r="AF72" s="11" t="s">
        <v>21</v>
      </c>
      <c r="AG72" s="11" t="s">
        <v>21</v>
      </c>
      <c r="AH72" s="11" t="s">
        <v>21</v>
      </c>
      <c r="AI72" s="11" t="s">
        <v>21</v>
      </c>
      <c r="AJ72" s="11" t="s">
        <v>21</v>
      </c>
      <c r="AK72" s="11" t="s">
        <v>21</v>
      </c>
      <c r="AL72" s="11" t="s">
        <v>21</v>
      </c>
      <c r="AM72" s="11" t="s">
        <v>21</v>
      </c>
      <c r="AN72" s="11" t="s">
        <v>21</v>
      </c>
      <c r="AO72" s="11" t="s">
        <v>21</v>
      </c>
      <c r="AP72" s="11" t="s">
        <v>21</v>
      </c>
      <c r="AQ72" s="15" t="s">
        <v>21</v>
      </c>
      <c r="AR72" s="15" t="s">
        <v>21</v>
      </c>
      <c r="AS72" s="15" t="s">
        <v>21</v>
      </c>
      <c r="AT72" s="15" t="s">
        <v>21</v>
      </c>
      <c r="AU72" s="15" t="s">
        <v>21</v>
      </c>
      <c r="AV72" s="11" t="s">
        <v>22</v>
      </c>
      <c r="AW72" s="16"/>
      <c r="AX72" s="17">
        <f t="shared" si="0"/>
        <v>43</v>
      </c>
      <c r="AY72" s="17">
        <f t="shared" si="1"/>
        <v>2</v>
      </c>
      <c r="AZ72" s="17">
        <f t="shared" si="2"/>
        <v>45</v>
      </c>
      <c r="BA72" s="18">
        <f t="shared" si="3"/>
        <v>95.555555555555557</v>
      </c>
    </row>
    <row r="73" spans="1:53" ht="15.75" customHeight="1">
      <c r="A73" s="11">
        <v>62</v>
      </c>
      <c r="B73" s="19" t="s">
        <v>143</v>
      </c>
      <c r="C73" s="20" t="s">
        <v>144</v>
      </c>
      <c r="D73" s="11" t="s">
        <v>21</v>
      </c>
      <c r="E73" s="11" t="s">
        <v>21</v>
      </c>
      <c r="F73" s="11" t="s">
        <v>21</v>
      </c>
      <c r="G73" s="11" t="s">
        <v>21</v>
      </c>
      <c r="H73" s="11" t="s">
        <v>21</v>
      </c>
      <c r="I73" s="11" t="s">
        <v>21</v>
      </c>
      <c r="J73" s="11" t="s">
        <v>21</v>
      </c>
      <c r="K73" s="11" t="s">
        <v>21</v>
      </c>
      <c r="L73" s="11" t="s">
        <v>21</v>
      </c>
      <c r="M73" s="11" t="s">
        <v>21</v>
      </c>
      <c r="N73" s="11" t="s">
        <v>21</v>
      </c>
      <c r="O73" s="11" t="s">
        <v>21</v>
      </c>
      <c r="P73" s="11" t="s">
        <v>21</v>
      </c>
      <c r="Q73" s="11" t="s">
        <v>21</v>
      </c>
      <c r="R73" s="11" t="s">
        <v>21</v>
      </c>
      <c r="S73" s="11" t="s">
        <v>21</v>
      </c>
      <c r="T73" s="11" t="s">
        <v>21</v>
      </c>
      <c r="U73" s="11" t="s">
        <v>21</v>
      </c>
      <c r="V73" s="11" t="s">
        <v>21</v>
      </c>
      <c r="W73" s="11" t="s">
        <v>21</v>
      </c>
      <c r="X73" s="11" t="s">
        <v>21</v>
      </c>
      <c r="Y73" s="11" t="s">
        <v>21</v>
      </c>
      <c r="Z73" s="11" t="s">
        <v>21</v>
      </c>
      <c r="AA73" s="11" t="s">
        <v>21</v>
      </c>
      <c r="AB73" s="11" t="s">
        <v>21</v>
      </c>
      <c r="AC73" s="11" t="s">
        <v>21</v>
      </c>
      <c r="AD73" s="11" t="s">
        <v>21</v>
      </c>
      <c r="AE73" s="11" t="s">
        <v>21</v>
      </c>
      <c r="AF73" s="11" t="s">
        <v>21</v>
      </c>
      <c r="AG73" s="11" t="s">
        <v>21</v>
      </c>
      <c r="AH73" s="11" t="s">
        <v>21</v>
      </c>
      <c r="AI73" s="11" t="s">
        <v>21</v>
      </c>
      <c r="AJ73" s="11" t="s">
        <v>21</v>
      </c>
      <c r="AK73" s="11" t="s">
        <v>21</v>
      </c>
      <c r="AL73" s="11" t="s">
        <v>21</v>
      </c>
      <c r="AM73" s="11" t="s">
        <v>21</v>
      </c>
      <c r="AN73" s="11" t="s">
        <v>21</v>
      </c>
      <c r="AO73" s="11" t="s">
        <v>21</v>
      </c>
      <c r="AP73" s="11" t="s">
        <v>21</v>
      </c>
      <c r="AQ73" s="15" t="s">
        <v>21</v>
      </c>
      <c r="AR73" s="15" t="s">
        <v>21</v>
      </c>
      <c r="AS73" s="15" t="s">
        <v>21</v>
      </c>
      <c r="AT73" s="11" t="s">
        <v>22</v>
      </c>
      <c r="AU73" s="15" t="s">
        <v>21</v>
      </c>
      <c r="AV73" s="11" t="s">
        <v>22</v>
      </c>
      <c r="AW73" s="16"/>
      <c r="AX73" s="17">
        <f t="shared" si="0"/>
        <v>43</v>
      </c>
      <c r="AY73" s="17">
        <f t="shared" si="1"/>
        <v>2</v>
      </c>
      <c r="AZ73" s="17">
        <f t="shared" si="2"/>
        <v>45</v>
      </c>
      <c r="BA73" s="18">
        <f t="shared" si="3"/>
        <v>95.555555555555557</v>
      </c>
    </row>
    <row r="74" spans="1:53" ht="15.75" customHeight="1">
      <c r="A74" s="11">
        <v>63</v>
      </c>
      <c r="B74" s="19" t="s">
        <v>145</v>
      </c>
      <c r="C74" s="20" t="s">
        <v>146</v>
      </c>
      <c r="D74" s="11" t="s">
        <v>21</v>
      </c>
      <c r="E74" s="11" t="s">
        <v>21</v>
      </c>
      <c r="F74" s="11" t="s">
        <v>21</v>
      </c>
      <c r="G74" s="11" t="s">
        <v>21</v>
      </c>
      <c r="H74" s="11" t="s">
        <v>21</v>
      </c>
      <c r="I74" s="11" t="s">
        <v>21</v>
      </c>
      <c r="J74" s="14" t="s">
        <v>22</v>
      </c>
      <c r="K74" s="11" t="s">
        <v>21</v>
      </c>
      <c r="L74" s="11" t="s">
        <v>21</v>
      </c>
      <c r="M74" s="11" t="s">
        <v>21</v>
      </c>
      <c r="N74" s="11" t="s">
        <v>21</v>
      </c>
      <c r="O74" s="11" t="s">
        <v>21</v>
      </c>
      <c r="P74" s="11" t="s">
        <v>21</v>
      </c>
      <c r="Q74" s="11" t="s">
        <v>21</v>
      </c>
      <c r="R74" s="11" t="s">
        <v>21</v>
      </c>
      <c r="S74" s="11" t="s">
        <v>21</v>
      </c>
      <c r="T74" s="11" t="s">
        <v>21</v>
      </c>
      <c r="U74" s="11" t="s">
        <v>21</v>
      </c>
      <c r="V74" s="11" t="s">
        <v>21</v>
      </c>
      <c r="W74" s="11" t="s">
        <v>21</v>
      </c>
      <c r="X74" s="11" t="s">
        <v>21</v>
      </c>
      <c r="Y74" s="11" t="s">
        <v>21</v>
      </c>
      <c r="Z74" s="11" t="s">
        <v>21</v>
      </c>
      <c r="AA74" s="11" t="s">
        <v>21</v>
      </c>
      <c r="AB74" s="11" t="s">
        <v>21</v>
      </c>
      <c r="AC74" s="11" t="s">
        <v>21</v>
      </c>
      <c r="AD74" s="11" t="s">
        <v>21</v>
      </c>
      <c r="AE74" s="11" t="s">
        <v>21</v>
      </c>
      <c r="AF74" s="11" t="s">
        <v>21</v>
      </c>
      <c r="AG74" s="11" t="s">
        <v>21</v>
      </c>
      <c r="AH74" s="11" t="s">
        <v>21</v>
      </c>
      <c r="AI74" s="11" t="s">
        <v>21</v>
      </c>
      <c r="AJ74" s="11" t="s">
        <v>21</v>
      </c>
      <c r="AK74" s="11" t="s">
        <v>21</v>
      </c>
      <c r="AL74" s="11" t="s">
        <v>21</v>
      </c>
      <c r="AM74" s="11" t="s">
        <v>21</v>
      </c>
      <c r="AN74" s="11" t="s">
        <v>21</v>
      </c>
      <c r="AO74" s="11" t="s">
        <v>21</v>
      </c>
      <c r="AP74" s="11" t="s">
        <v>21</v>
      </c>
      <c r="AQ74" s="15" t="s">
        <v>21</v>
      </c>
      <c r="AR74" s="15" t="s">
        <v>21</v>
      </c>
      <c r="AS74" s="15" t="s">
        <v>21</v>
      </c>
      <c r="AT74" s="11" t="s">
        <v>22</v>
      </c>
      <c r="AU74" s="15" t="s">
        <v>21</v>
      </c>
      <c r="AV74" s="15" t="s">
        <v>21</v>
      </c>
      <c r="AW74" s="16"/>
      <c r="AX74" s="17">
        <f t="shared" si="0"/>
        <v>43</v>
      </c>
      <c r="AY74" s="17">
        <f t="shared" si="1"/>
        <v>2</v>
      </c>
      <c r="AZ74" s="17">
        <f t="shared" si="2"/>
        <v>45</v>
      </c>
      <c r="BA74" s="18">
        <f t="shared" si="3"/>
        <v>95.555555555555557</v>
      </c>
    </row>
    <row r="75" spans="1:53" ht="15.75" customHeight="1">
      <c r="A75" s="11">
        <v>64</v>
      </c>
      <c r="B75" s="19" t="s">
        <v>147</v>
      </c>
      <c r="C75" s="20" t="s">
        <v>148</v>
      </c>
      <c r="D75" s="11" t="s">
        <v>21</v>
      </c>
      <c r="E75" s="11" t="s">
        <v>21</v>
      </c>
      <c r="F75" s="11" t="s">
        <v>21</v>
      </c>
      <c r="G75" s="11" t="s">
        <v>21</v>
      </c>
      <c r="H75" s="11" t="s">
        <v>21</v>
      </c>
      <c r="I75" s="11" t="s">
        <v>21</v>
      </c>
      <c r="J75" s="11" t="s">
        <v>21</v>
      </c>
      <c r="K75" s="11" t="s">
        <v>21</v>
      </c>
      <c r="L75" s="11" t="s">
        <v>21</v>
      </c>
      <c r="M75" s="11" t="s">
        <v>21</v>
      </c>
      <c r="N75" s="11" t="s">
        <v>21</v>
      </c>
      <c r="O75" s="11" t="s">
        <v>21</v>
      </c>
      <c r="P75" s="11" t="s">
        <v>21</v>
      </c>
      <c r="Q75" s="11" t="s">
        <v>21</v>
      </c>
      <c r="R75" s="11" t="s">
        <v>21</v>
      </c>
      <c r="S75" s="11" t="s">
        <v>21</v>
      </c>
      <c r="T75" s="11" t="s">
        <v>21</v>
      </c>
      <c r="U75" s="11" t="s">
        <v>21</v>
      </c>
      <c r="V75" s="11" t="s">
        <v>21</v>
      </c>
      <c r="W75" s="11" t="s">
        <v>21</v>
      </c>
      <c r="X75" s="11" t="s">
        <v>21</v>
      </c>
      <c r="Y75" s="11" t="s">
        <v>21</v>
      </c>
      <c r="Z75" s="11" t="s">
        <v>21</v>
      </c>
      <c r="AA75" s="11" t="s">
        <v>21</v>
      </c>
      <c r="AB75" s="11" t="s">
        <v>21</v>
      </c>
      <c r="AC75" s="11" t="s">
        <v>21</v>
      </c>
      <c r="AD75" s="11" t="s">
        <v>21</v>
      </c>
      <c r="AE75" s="11" t="s">
        <v>21</v>
      </c>
      <c r="AF75" s="11" t="s">
        <v>21</v>
      </c>
      <c r="AG75" s="11" t="s">
        <v>21</v>
      </c>
      <c r="AH75" s="11" t="s">
        <v>21</v>
      </c>
      <c r="AI75" s="11" t="s">
        <v>21</v>
      </c>
      <c r="AJ75" s="11" t="s">
        <v>21</v>
      </c>
      <c r="AK75" s="11" t="s">
        <v>21</v>
      </c>
      <c r="AL75" s="11" t="s">
        <v>21</v>
      </c>
      <c r="AM75" s="11" t="s">
        <v>21</v>
      </c>
      <c r="AN75" s="11" t="s">
        <v>21</v>
      </c>
      <c r="AO75" s="11" t="s">
        <v>21</v>
      </c>
      <c r="AP75" s="11" t="s">
        <v>21</v>
      </c>
      <c r="AQ75" s="15" t="s">
        <v>21</v>
      </c>
      <c r="AR75" s="15" t="s">
        <v>21</v>
      </c>
      <c r="AS75" s="15" t="s">
        <v>21</v>
      </c>
      <c r="AT75" s="15" t="s">
        <v>21</v>
      </c>
      <c r="AU75" s="15" t="s">
        <v>21</v>
      </c>
      <c r="AV75" s="11" t="s">
        <v>22</v>
      </c>
      <c r="AW75" s="16"/>
      <c r="AX75" s="17">
        <f t="shared" si="0"/>
        <v>44</v>
      </c>
      <c r="AY75" s="17">
        <f t="shared" si="1"/>
        <v>1</v>
      </c>
      <c r="AZ75" s="17">
        <f t="shared" si="2"/>
        <v>45</v>
      </c>
      <c r="BA75" s="18">
        <f t="shared" si="3"/>
        <v>97.777777777777771</v>
      </c>
    </row>
    <row r="76" spans="1:53" ht="15.75" customHeight="1">
      <c r="A76" s="26">
        <v>65</v>
      </c>
      <c r="B76" s="19" t="s">
        <v>149</v>
      </c>
      <c r="C76" s="20" t="s">
        <v>150</v>
      </c>
      <c r="D76" s="11" t="s">
        <v>21</v>
      </c>
      <c r="E76" s="11" t="s">
        <v>21</v>
      </c>
      <c r="F76" s="11" t="s">
        <v>21</v>
      </c>
      <c r="G76" s="11" t="s">
        <v>21</v>
      </c>
      <c r="H76" s="11" t="s">
        <v>21</v>
      </c>
      <c r="I76" s="11" t="s">
        <v>21</v>
      </c>
      <c r="J76" s="11" t="s">
        <v>21</v>
      </c>
      <c r="K76" s="11" t="s">
        <v>21</v>
      </c>
      <c r="L76" s="11" t="s">
        <v>21</v>
      </c>
      <c r="M76" s="11" t="s">
        <v>21</v>
      </c>
      <c r="N76" s="11" t="s">
        <v>21</v>
      </c>
      <c r="O76" s="11" t="s">
        <v>21</v>
      </c>
      <c r="P76" s="11" t="s">
        <v>21</v>
      </c>
      <c r="Q76" s="11" t="s">
        <v>21</v>
      </c>
      <c r="R76" s="11" t="s">
        <v>21</v>
      </c>
      <c r="S76" s="11" t="s">
        <v>21</v>
      </c>
      <c r="T76" s="11" t="s">
        <v>21</v>
      </c>
      <c r="U76" s="11" t="s">
        <v>21</v>
      </c>
      <c r="V76" s="11" t="s">
        <v>21</v>
      </c>
      <c r="W76" s="11" t="s">
        <v>21</v>
      </c>
      <c r="X76" s="11" t="s">
        <v>21</v>
      </c>
      <c r="Y76" s="11" t="s">
        <v>21</v>
      </c>
      <c r="Z76" s="11" t="s">
        <v>21</v>
      </c>
      <c r="AA76" s="11" t="s">
        <v>21</v>
      </c>
      <c r="AB76" s="11" t="s">
        <v>21</v>
      </c>
      <c r="AC76" s="11" t="s">
        <v>21</v>
      </c>
      <c r="AD76" s="11" t="s">
        <v>21</v>
      </c>
      <c r="AE76" s="11" t="s">
        <v>21</v>
      </c>
      <c r="AF76" s="11" t="s">
        <v>21</v>
      </c>
      <c r="AG76" s="11" t="s">
        <v>21</v>
      </c>
      <c r="AH76" s="11" t="s">
        <v>21</v>
      </c>
      <c r="AI76" s="11" t="s">
        <v>21</v>
      </c>
      <c r="AJ76" s="11" t="s">
        <v>21</v>
      </c>
      <c r="AK76" s="11" t="s">
        <v>21</v>
      </c>
      <c r="AL76" s="11" t="s">
        <v>21</v>
      </c>
      <c r="AM76" s="11" t="s">
        <v>21</v>
      </c>
      <c r="AN76" s="11" t="s">
        <v>21</v>
      </c>
      <c r="AO76" s="11" t="s">
        <v>21</v>
      </c>
      <c r="AP76" s="11" t="s">
        <v>21</v>
      </c>
      <c r="AQ76" s="15" t="s">
        <v>21</v>
      </c>
      <c r="AR76" s="15" t="s">
        <v>21</v>
      </c>
      <c r="AS76" s="15" t="s">
        <v>21</v>
      </c>
      <c r="AT76" s="15" t="s">
        <v>21</v>
      </c>
      <c r="AU76" s="15" t="s">
        <v>21</v>
      </c>
      <c r="AV76" s="15" t="s">
        <v>21</v>
      </c>
      <c r="AW76" s="16"/>
      <c r="AX76" s="17">
        <f t="shared" si="0"/>
        <v>45</v>
      </c>
      <c r="AY76" s="17">
        <f t="shared" si="1"/>
        <v>0</v>
      </c>
      <c r="AZ76" s="17">
        <f t="shared" si="2"/>
        <v>45</v>
      </c>
      <c r="BA76" s="18">
        <f t="shared" si="3"/>
        <v>100</v>
      </c>
    </row>
    <row r="77" spans="1:53" ht="15.75" customHeight="1">
      <c r="A77" s="11">
        <v>66</v>
      </c>
      <c r="B77" s="19" t="s">
        <v>151</v>
      </c>
      <c r="C77" s="20" t="s">
        <v>152</v>
      </c>
      <c r="D77" s="11" t="s">
        <v>21</v>
      </c>
      <c r="E77" s="11" t="s">
        <v>21</v>
      </c>
      <c r="F77" s="11" t="s">
        <v>21</v>
      </c>
      <c r="G77" s="11" t="s">
        <v>21</v>
      </c>
      <c r="H77" s="11" t="s">
        <v>21</v>
      </c>
      <c r="I77" s="11" t="s">
        <v>21</v>
      </c>
      <c r="J77" s="11" t="s">
        <v>21</v>
      </c>
      <c r="K77" s="11" t="s">
        <v>21</v>
      </c>
      <c r="L77" s="11" t="s">
        <v>21</v>
      </c>
      <c r="M77" s="11" t="s">
        <v>21</v>
      </c>
      <c r="N77" s="11" t="s">
        <v>21</v>
      </c>
      <c r="O77" s="11" t="s">
        <v>21</v>
      </c>
      <c r="P77" s="14" t="s">
        <v>22</v>
      </c>
      <c r="Q77" s="11" t="s">
        <v>21</v>
      </c>
      <c r="R77" s="11" t="s">
        <v>21</v>
      </c>
      <c r="S77" s="11" t="s">
        <v>21</v>
      </c>
      <c r="T77" s="11" t="s">
        <v>21</v>
      </c>
      <c r="U77" s="11" t="s">
        <v>21</v>
      </c>
      <c r="V77" s="11" t="s">
        <v>21</v>
      </c>
      <c r="W77" s="11" t="s">
        <v>21</v>
      </c>
      <c r="X77" s="11" t="s">
        <v>21</v>
      </c>
      <c r="Y77" s="11" t="s">
        <v>21</v>
      </c>
      <c r="Z77" s="11" t="s">
        <v>21</v>
      </c>
      <c r="AA77" s="11" t="s">
        <v>21</v>
      </c>
      <c r="AB77" s="11" t="s">
        <v>21</v>
      </c>
      <c r="AC77" s="11" t="s">
        <v>21</v>
      </c>
      <c r="AD77" s="11" t="s">
        <v>21</v>
      </c>
      <c r="AE77" s="11" t="s">
        <v>21</v>
      </c>
      <c r="AF77" s="14" t="s">
        <v>22</v>
      </c>
      <c r="AG77" s="11" t="s">
        <v>21</v>
      </c>
      <c r="AH77" s="11" t="s">
        <v>21</v>
      </c>
      <c r="AI77" s="11" t="s">
        <v>21</v>
      </c>
      <c r="AJ77" s="11" t="s">
        <v>21</v>
      </c>
      <c r="AK77" s="11" t="s">
        <v>21</v>
      </c>
      <c r="AL77" s="11" t="s">
        <v>21</v>
      </c>
      <c r="AM77" s="11" t="s">
        <v>21</v>
      </c>
      <c r="AN77" s="11" t="s">
        <v>21</v>
      </c>
      <c r="AO77" s="11" t="s">
        <v>21</v>
      </c>
      <c r="AP77" s="11" t="s">
        <v>21</v>
      </c>
      <c r="AQ77" s="15" t="s">
        <v>21</v>
      </c>
      <c r="AR77" s="15" t="s">
        <v>21</v>
      </c>
      <c r="AS77" s="15" t="s">
        <v>21</v>
      </c>
      <c r="AT77" s="15" t="s">
        <v>21</v>
      </c>
      <c r="AU77" s="15" t="s">
        <v>21</v>
      </c>
      <c r="AV77" s="15" t="s">
        <v>21</v>
      </c>
      <c r="AW77" s="16"/>
      <c r="AX77" s="17">
        <f t="shared" si="0"/>
        <v>43</v>
      </c>
      <c r="AY77" s="17">
        <f t="shared" si="1"/>
        <v>2</v>
      </c>
      <c r="AZ77" s="17">
        <f t="shared" si="2"/>
        <v>45</v>
      </c>
      <c r="BA77" s="18">
        <f t="shared" si="3"/>
        <v>95.555555555555557</v>
      </c>
    </row>
    <row r="78" spans="1:53" ht="15.75" customHeight="1">
      <c r="A78" s="11">
        <v>67</v>
      </c>
      <c r="B78" s="19" t="s">
        <v>153</v>
      </c>
      <c r="C78" s="20" t="s">
        <v>154</v>
      </c>
      <c r="D78" s="11" t="s">
        <v>21</v>
      </c>
      <c r="E78" s="11" t="s">
        <v>21</v>
      </c>
      <c r="F78" s="11" t="s">
        <v>21</v>
      </c>
      <c r="G78" s="11" t="s">
        <v>21</v>
      </c>
      <c r="H78" s="11" t="s">
        <v>21</v>
      </c>
      <c r="I78" s="11" t="s">
        <v>21</v>
      </c>
      <c r="J78" s="11" t="s">
        <v>21</v>
      </c>
      <c r="K78" s="11" t="s">
        <v>21</v>
      </c>
      <c r="L78" s="11" t="s">
        <v>21</v>
      </c>
      <c r="M78" s="11" t="s">
        <v>21</v>
      </c>
      <c r="N78" s="11" t="s">
        <v>21</v>
      </c>
      <c r="O78" s="11" t="s">
        <v>21</v>
      </c>
      <c r="P78" s="14" t="s">
        <v>22</v>
      </c>
      <c r="Q78" s="11" t="s">
        <v>21</v>
      </c>
      <c r="R78" s="11" t="s">
        <v>21</v>
      </c>
      <c r="S78" s="11" t="s">
        <v>21</v>
      </c>
      <c r="T78" s="11" t="s">
        <v>21</v>
      </c>
      <c r="U78" s="11" t="s">
        <v>21</v>
      </c>
      <c r="V78" s="11" t="s">
        <v>21</v>
      </c>
      <c r="W78" s="11" t="s">
        <v>21</v>
      </c>
      <c r="X78" s="11" t="s">
        <v>21</v>
      </c>
      <c r="Y78" s="11" t="s">
        <v>21</v>
      </c>
      <c r="Z78" s="11" t="s">
        <v>21</v>
      </c>
      <c r="AA78" s="11" t="s">
        <v>21</v>
      </c>
      <c r="AB78" s="11" t="s">
        <v>21</v>
      </c>
      <c r="AC78" s="11" t="s">
        <v>21</v>
      </c>
      <c r="AD78" s="11" t="s">
        <v>21</v>
      </c>
      <c r="AE78" s="11" t="s">
        <v>21</v>
      </c>
      <c r="AF78" s="11" t="s">
        <v>21</v>
      </c>
      <c r="AG78" s="11" t="s">
        <v>21</v>
      </c>
      <c r="AH78" s="11" t="s">
        <v>21</v>
      </c>
      <c r="AI78" s="11" t="s">
        <v>21</v>
      </c>
      <c r="AJ78" s="11" t="s">
        <v>21</v>
      </c>
      <c r="AK78" s="11" t="s">
        <v>21</v>
      </c>
      <c r="AL78" s="11" t="s">
        <v>21</v>
      </c>
      <c r="AM78" s="11" t="s">
        <v>21</v>
      </c>
      <c r="AN78" s="11" t="s">
        <v>21</v>
      </c>
      <c r="AO78" s="11" t="s">
        <v>21</v>
      </c>
      <c r="AP78" s="11" t="s">
        <v>21</v>
      </c>
      <c r="AQ78" s="15" t="s">
        <v>21</v>
      </c>
      <c r="AR78" s="15" t="s">
        <v>21</v>
      </c>
      <c r="AS78" s="15" t="s">
        <v>21</v>
      </c>
      <c r="AT78" s="15" t="s">
        <v>21</v>
      </c>
      <c r="AU78" s="15" t="s">
        <v>21</v>
      </c>
      <c r="AV78" s="11" t="s">
        <v>22</v>
      </c>
      <c r="AW78" s="16"/>
      <c r="AX78" s="17">
        <f t="shared" si="0"/>
        <v>43</v>
      </c>
      <c r="AY78" s="17">
        <f t="shared" si="1"/>
        <v>2</v>
      </c>
      <c r="AZ78" s="17">
        <f t="shared" si="2"/>
        <v>45</v>
      </c>
      <c r="BA78" s="18">
        <f t="shared" si="3"/>
        <v>95.555555555555557</v>
      </c>
    </row>
    <row r="79" spans="1:53" ht="15.75" customHeight="1">
      <c r="A79" s="11">
        <v>68</v>
      </c>
      <c r="B79" s="19" t="s">
        <v>155</v>
      </c>
      <c r="C79" s="20" t="s">
        <v>156</v>
      </c>
      <c r="D79" s="11" t="s">
        <v>21</v>
      </c>
      <c r="E79" s="11" t="s">
        <v>21</v>
      </c>
      <c r="F79" s="11" t="s">
        <v>21</v>
      </c>
      <c r="G79" s="11" t="s">
        <v>21</v>
      </c>
      <c r="H79" s="11" t="s">
        <v>21</v>
      </c>
      <c r="I79" s="11" t="s">
        <v>21</v>
      </c>
      <c r="J79" s="11" t="s">
        <v>21</v>
      </c>
      <c r="K79" s="11" t="s">
        <v>21</v>
      </c>
      <c r="L79" s="11" t="s">
        <v>21</v>
      </c>
      <c r="M79" s="11" t="s">
        <v>21</v>
      </c>
      <c r="N79" s="11" t="s">
        <v>21</v>
      </c>
      <c r="O79" s="11" t="s">
        <v>21</v>
      </c>
      <c r="P79" s="14" t="s">
        <v>22</v>
      </c>
      <c r="Q79" s="11" t="s">
        <v>21</v>
      </c>
      <c r="R79" s="11" t="s">
        <v>21</v>
      </c>
      <c r="S79" s="11" t="s">
        <v>21</v>
      </c>
      <c r="T79" s="11" t="s">
        <v>21</v>
      </c>
      <c r="U79" s="11" t="s">
        <v>21</v>
      </c>
      <c r="V79" s="11" t="s">
        <v>21</v>
      </c>
      <c r="W79" s="11" t="s">
        <v>21</v>
      </c>
      <c r="X79" s="11" t="s">
        <v>21</v>
      </c>
      <c r="Y79" s="11" t="s">
        <v>21</v>
      </c>
      <c r="Z79" s="11" t="s">
        <v>21</v>
      </c>
      <c r="AA79" s="11" t="s">
        <v>21</v>
      </c>
      <c r="AB79" s="11" t="s">
        <v>21</v>
      </c>
      <c r="AC79" s="11" t="s">
        <v>21</v>
      </c>
      <c r="AD79" s="11" t="s">
        <v>21</v>
      </c>
      <c r="AE79" s="11" t="s">
        <v>21</v>
      </c>
      <c r="AF79" s="11" t="s">
        <v>21</v>
      </c>
      <c r="AG79" s="11" t="s">
        <v>21</v>
      </c>
      <c r="AH79" s="11" t="s">
        <v>21</v>
      </c>
      <c r="AI79" s="11" t="s">
        <v>21</v>
      </c>
      <c r="AJ79" s="11" t="s">
        <v>21</v>
      </c>
      <c r="AK79" s="11" t="s">
        <v>21</v>
      </c>
      <c r="AL79" s="11" t="s">
        <v>21</v>
      </c>
      <c r="AM79" s="11" t="s">
        <v>21</v>
      </c>
      <c r="AN79" s="11" t="s">
        <v>21</v>
      </c>
      <c r="AO79" s="11" t="s">
        <v>21</v>
      </c>
      <c r="AP79" s="11" t="s">
        <v>22</v>
      </c>
      <c r="AQ79" s="15" t="s">
        <v>21</v>
      </c>
      <c r="AR79" s="11" t="s">
        <v>22</v>
      </c>
      <c r="AS79" s="11" t="s">
        <v>22</v>
      </c>
      <c r="AT79" s="11" t="s">
        <v>22</v>
      </c>
      <c r="AU79" s="15" t="s">
        <v>21</v>
      </c>
      <c r="AV79" s="15" t="s">
        <v>21</v>
      </c>
      <c r="AW79" s="16"/>
      <c r="AX79" s="17">
        <f t="shared" si="0"/>
        <v>40</v>
      </c>
      <c r="AY79" s="17">
        <f t="shared" si="1"/>
        <v>5</v>
      </c>
      <c r="AZ79" s="17">
        <f t="shared" si="2"/>
        <v>45</v>
      </c>
      <c r="BA79" s="18">
        <f t="shared" si="3"/>
        <v>88.888888888888886</v>
      </c>
    </row>
    <row r="80" spans="1:53" ht="15.75" customHeight="1">
      <c r="A80" s="11">
        <v>69</v>
      </c>
      <c r="B80" s="19" t="s">
        <v>157</v>
      </c>
      <c r="C80" s="20" t="s">
        <v>158</v>
      </c>
      <c r="D80" s="11" t="s">
        <v>21</v>
      </c>
      <c r="E80" s="11" t="s">
        <v>21</v>
      </c>
      <c r="F80" s="11" t="s">
        <v>21</v>
      </c>
      <c r="G80" s="11" t="s">
        <v>21</v>
      </c>
      <c r="H80" s="11" t="s">
        <v>21</v>
      </c>
      <c r="I80" s="11" t="s">
        <v>21</v>
      </c>
      <c r="J80" s="11" t="s">
        <v>21</v>
      </c>
      <c r="K80" s="11" t="s">
        <v>21</v>
      </c>
      <c r="L80" s="11" t="s">
        <v>21</v>
      </c>
      <c r="M80" s="11" t="s">
        <v>21</v>
      </c>
      <c r="N80" s="11" t="s">
        <v>21</v>
      </c>
      <c r="O80" s="11" t="s">
        <v>21</v>
      </c>
      <c r="P80" s="14" t="s">
        <v>22</v>
      </c>
      <c r="Q80" s="11" t="s">
        <v>21</v>
      </c>
      <c r="R80" s="11" t="s">
        <v>21</v>
      </c>
      <c r="S80" s="11" t="s">
        <v>21</v>
      </c>
      <c r="T80" s="11" t="s">
        <v>21</v>
      </c>
      <c r="U80" s="11" t="s">
        <v>21</v>
      </c>
      <c r="V80" s="11" t="s">
        <v>21</v>
      </c>
      <c r="W80" s="11" t="s">
        <v>21</v>
      </c>
      <c r="X80" s="11" t="s">
        <v>21</v>
      </c>
      <c r="Y80" s="11" t="s">
        <v>21</v>
      </c>
      <c r="Z80" s="11" t="s">
        <v>21</v>
      </c>
      <c r="AA80" s="11" t="s">
        <v>21</v>
      </c>
      <c r="AB80" s="11" t="s">
        <v>21</v>
      </c>
      <c r="AC80" s="11" t="s">
        <v>21</v>
      </c>
      <c r="AD80" s="11" t="s">
        <v>21</v>
      </c>
      <c r="AE80" s="11" t="s">
        <v>21</v>
      </c>
      <c r="AF80" s="11" t="s">
        <v>21</v>
      </c>
      <c r="AG80" s="11" t="s">
        <v>21</v>
      </c>
      <c r="AH80" s="11" t="s">
        <v>21</v>
      </c>
      <c r="AI80" s="11" t="s">
        <v>21</v>
      </c>
      <c r="AJ80" s="11" t="s">
        <v>21</v>
      </c>
      <c r="AK80" s="11" t="s">
        <v>21</v>
      </c>
      <c r="AL80" s="11" t="s">
        <v>21</v>
      </c>
      <c r="AM80" s="11" t="s">
        <v>21</v>
      </c>
      <c r="AN80" s="11" t="s">
        <v>21</v>
      </c>
      <c r="AO80" s="11" t="s">
        <v>21</v>
      </c>
      <c r="AP80" s="11" t="s">
        <v>22</v>
      </c>
      <c r="AQ80" s="11" t="s">
        <v>22</v>
      </c>
      <c r="AR80" s="15" t="s">
        <v>21</v>
      </c>
      <c r="AS80" s="15" t="s">
        <v>21</v>
      </c>
      <c r="AT80" s="11" t="s">
        <v>22</v>
      </c>
      <c r="AU80" s="15" t="s">
        <v>21</v>
      </c>
      <c r="AV80" s="15" t="s">
        <v>21</v>
      </c>
      <c r="AW80" s="16"/>
      <c r="AX80" s="17">
        <f t="shared" si="0"/>
        <v>41</v>
      </c>
      <c r="AY80" s="17">
        <f t="shared" si="1"/>
        <v>4</v>
      </c>
      <c r="AZ80" s="17">
        <f t="shared" si="2"/>
        <v>45</v>
      </c>
      <c r="BA80" s="18">
        <f t="shared" si="3"/>
        <v>91.111111111111114</v>
      </c>
    </row>
    <row r="81" spans="1:53" ht="15.75" customHeight="1">
      <c r="A81" s="11">
        <v>70</v>
      </c>
      <c r="B81" s="19" t="s">
        <v>159</v>
      </c>
      <c r="C81" s="20" t="s">
        <v>160</v>
      </c>
      <c r="D81" s="11" t="s">
        <v>21</v>
      </c>
      <c r="E81" s="11" t="s">
        <v>21</v>
      </c>
      <c r="F81" s="11" t="s">
        <v>21</v>
      </c>
      <c r="G81" s="11" t="s">
        <v>21</v>
      </c>
      <c r="H81" s="11" t="s">
        <v>21</v>
      </c>
      <c r="I81" s="11" t="s">
        <v>21</v>
      </c>
      <c r="J81" s="11" t="s">
        <v>21</v>
      </c>
      <c r="K81" s="11" t="s">
        <v>21</v>
      </c>
      <c r="L81" s="11" t="s">
        <v>21</v>
      </c>
      <c r="M81" s="11" t="s">
        <v>21</v>
      </c>
      <c r="N81" s="11" t="s">
        <v>21</v>
      </c>
      <c r="O81" s="11" t="s">
        <v>21</v>
      </c>
      <c r="P81" s="14" t="s">
        <v>22</v>
      </c>
      <c r="Q81" s="11" t="s">
        <v>21</v>
      </c>
      <c r="R81" s="11" t="s">
        <v>21</v>
      </c>
      <c r="S81" s="11" t="s">
        <v>21</v>
      </c>
      <c r="T81" s="11" t="s">
        <v>21</v>
      </c>
      <c r="U81" s="11" t="s">
        <v>21</v>
      </c>
      <c r="V81" s="14" t="s">
        <v>22</v>
      </c>
      <c r="W81" s="11" t="s">
        <v>21</v>
      </c>
      <c r="X81" s="11" t="s">
        <v>21</v>
      </c>
      <c r="Y81" s="11" t="s">
        <v>21</v>
      </c>
      <c r="Z81" s="11" t="s">
        <v>21</v>
      </c>
      <c r="AA81" s="11" t="s">
        <v>21</v>
      </c>
      <c r="AB81" s="11" t="s">
        <v>21</v>
      </c>
      <c r="AC81" s="11" t="s">
        <v>21</v>
      </c>
      <c r="AD81" s="11" t="s">
        <v>21</v>
      </c>
      <c r="AE81" s="11" t="s">
        <v>21</v>
      </c>
      <c r="AF81" s="11" t="s">
        <v>21</v>
      </c>
      <c r="AG81" s="11" t="s">
        <v>21</v>
      </c>
      <c r="AH81" s="11" t="s">
        <v>21</v>
      </c>
      <c r="AI81" s="11" t="s">
        <v>21</v>
      </c>
      <c r="AJ81" s="11" t="s">
        <v>21</v>
      </c>
      <c r="AK81" s="11" t="s">
        <v>21</v>
      </c>
      <c r="AL81" s="11" t="s">
        <v>21</v>
      </c>
      <c r="AM81" s="14" t="s">
        <v>21</v>
      </c>
      <c r="AN81" s="11" t="s">
        <v>21</v>
      </c>
      <c r="AO81" s="11" t="s">
        <v>21</v>
      </c>
      <c r="AP81" s="11" t="s">
        <v>21</v>
      </c>
      <c r="AQ81" s="15" t="s">
        <v>21</v>
      </c>
      <c r="AR81" s="15" t="s">
        <v>21</v>
      </c>
      <c r="AS81" s="15" t="s">
        <v>21</v>
      </c>
      <c r="AT81" s="11" t="s">
        <v>22</v>
      </c>
      <c r="AU81" s="15" t="s">
        <v>21</v>
      </c>
      <c r="AV81" s="11" t="s">
        <v>22</v>
      </c>
      <c r="AW81" s="16"/>
      <c r="AX81" s="17">
        <f t="shared" si="0"/>
        <v>41</v>
      </c>
      <c r="AY81" s="17">
        <f t="shared" si="1"/>
        <v>4</v>
      </c>
      <c r="AZ81" s="17">
        <f t="shared" si="2"/>
        <v>45</v>
      </c>
      <c r="BA81" s="18">
        <f t="shared" si="3"/>
        <v>91.111111111111114</v>
      </c>
    </row>
    <row r="82" spans="1:53" ht="15.75" customHeight="1">
      <c r="A82" s="11">
        <v>71</v>
      </c>
      <c r="B82" s="19" t="s">
        <v>161</v>
      </c>
      <c r="C82" s="20" t="s">
        <v>162</v>
      </c>
      <c r="D82" s="11" t="s">
        <v>21</v>
      </c>
      <c r="E82" s="11" t="s">
        <v>21</v>
      </c>
      <c r="F82" s="11" t="s">
        <v>21</v>
      </c>
      <c r="G82" s="11" t="s">
        <v>21</v>
      </c>
      <c r="H82" s="11" t="s">
        <v>21</v>
      </c>
      <c r="I82" s="11" t="s">
        <v>21</v>
      </c>
      <c r="J82" s="11" t="s">
        <v>21</v>
      </c>
      <c r="K82" s="11" t="s">
        <v>21</v>
      </c>
      <c r="L82" s="11" t="s">
        <v>21</v>
      </c>
      <c r="M82" s="11" t="s">
        <v>21</v>
      </c>
      <c r="N82" s="11" t="s">
        <v>21</v>
      </c>
      <c r="O82" s="11" t="s">
        <v>21</v>
      </c>
      <c r="P82" s="11" t="s">
        <v>21</v>
      </c>
      <c r="Q82" s="11" t="s">
        <v>21</v>
      </c>
      <c r="R82" s="11" t="s">
        <v>21</v>
      </c>
      <c r="S82" s="11" t="s">
        <v>21</v>
      </c>
      <c r="T82" s="11" t="s">
        <v>21</v>
      </c>
      <c r="U82" s="11" t="s">
        <v>21</v>
      </c>
      <c r="V82" s="11" t="s">
        <v>21</v>
      </c>
      <c r="W82" s="11" t="s">
        <v>21</v>
      </c>
      <c r="X82" s="11" t="s">
        <v>21</v>
      </c>
      <c r="Y82" s="11" t="s">
        <v>21</v>
      </c>
      <c r="Z82" s="11" t="s">
        <v>21</v>
      </c>
      <c r="AA82" s="14" t="s">
        <v>22</v>
      </c>
      <c r="AB82" s="11" t="s">
        <v>21</v>
      </c>
      <c r="AC82" s="11" t="s">
        <v>21</v>
      </c>
      <c r="AD82" s="11" t="s">
        <v>21</v>
      </c>
      <c r="AE82" s="11" t="s">
        <v>21</v>
      </c>
      <c r="AF82" s="11" t="s">
        <v>21</v>
      </c>
      <c r="AG82" s="11" t="s">
        <v>21</v>
      </c>
      <c r="AH82" s="11" t="s">
        <v>21</v>
      </c>
      <c r="AI82" s="11" t="s">
        <v>21</v>
      </c>
      <c r="AJ82" s="11" t="s">
        <v>21</v>
      </c>
      <c r="AK82" s="11" t="s">
        <v>21</v>
      </c>
      <c r="AL82" s="11" t="s">
        <v>21</v>
      </c>
      <c r="AM82" s="11" t="s">
        <v>21</v>
      </c>
      <c r="AN82" s="11" t="s">
        <v>21</v>
      </c>
      <c r="AO82" s="11" t="s">
        <v>21</v>
      </c>
      <c r="AP82" s="11" t="s">
        <v>22</v>
      </c>
      <c r="AQ82" s="15" t="s">
        <v>21</v>
      </c>
      <c r="AR82" s="15" t="s">
        <v>21</v>
      </c>
      <c r="AS82" s="15" t="s">
        <v>21</v>
      </c>
      <c r="AT82" s="15" t="s">
        <v>21</v>
      </c>
      <c r="AU82" s="15" t="s">
        <v>21</v>
      </c>
      <c r="AV82" s="11" t="s">
        <v>22</v>
      </c>
      <c r="AW82" s="16"/>
      <c r="AX82" s="17">
        <f t="shared" si="0"/>
        <v>42</v>
      </c>
      <c r="AY82" s="17">
        <f t="shared" si="1"/>
        <v>3</v>
      </c>
      <c r="AZ82" s="17">
        <f t="shared" si="2"/>
        <v>45</v>
      </c>
      <c r="BA82" s="18">
        <f t="shared" si="3"/>
        <v>93.333333333333329</v>
      </c>
    </row>
    <row r="83" spans="1:53" ht="15.75" customHeight="1">
      <c r="A83" s="11">
        <v>72</v>
      </c>
      <c r="B83" s="19" t="s">
        <v>163</v>
      </c>
      <c r="C83" s="20" t="s">
        <v>164</v>
      </c>
      <c r="D83" s="11" t="s">
        <v>21</v>
      </c>
      <c r="E83" s="11" t="s">
        <v>21</v>
      </c>
      <c r="F83" s="11" t="s">
        <v>21</v>
      </c>
      <c r="G83" s="11" t="s">
        <v>21</v>
      </c>
      <c r="H83" s="11" t="s">
        <v>21</v>
      </c>
      <c r="I83" s="11" t="s">
        <v>21</v>
      </c>
      <c r="J83" s="11" t="s">
        <v>21</v>
      </c>
      <c r="K83" s="11" t="s">
        <v>21</v>
      </c>
      <c r="L83" s="11" t="s">
        <v>21</v>
      </c>
      <c r="M83" s="11" t="s">
        <v>21</v>
      </c>
      <c r="N83" s="11" t="s">
        <v>21</v>
      </c>
      <c r="O83" s="11" t="s">
        <v>21</v>
      </c>
      <c r="P83" s="11" t="s">
        <v>21</v>
      </c>
      <c r="Q83" s="11" t="s">
        <v>21</v>
      </c>
      <c r="R83" s="11" t="s">
        <v>21</v>
      </c>
      <c r="S83" s="11" t="s">
        <v>21</v>
      </c>
      <c r="T83" s="11" t="s">
        <v>21</v>
      </c>
      <c r="U83" s="11" t="s">
        <v>21</v>
      </c>
      <c r="V83" s="14" t="s">
        <v>21</v>
      </c>
      <c r="W83" s="11" t="s">
        <v>21</v>
      </c>
      <c r="X83" s="11" t="s">
        <v>21</v>
      </c>
      <c r="Y83" s="11" t="s">
        <v>21</v>
      </c>
      <c r="Z83" s="11" t="s">
        <v>21</v>
      </c>
      <c r="AA83" s="11" t="s">
        <v>21</v>
      </c>
      <c r="AB83" s="11" t="s">
        <v>21</v>
      </c>
      <c r="AC83" s="11" t="s">
        <v>21</v>
      </c>
      <c r="AD83" s="11" t="s">
        <v>21</v>
      </c>
      <c r="AE83" s="11" t="s">
        <v>21</v>
      </c>
      <c r="AF83" s="11" t="s">
        <v>21</v>
      </c>
      <c r="AG83" s="11" t="s">
        <v>21</v>
      </c>
      <c r="AH83" s="11" t="s">
        <v>21</v>
      </c>
      <c r="AI83" s="11" t="s">
        <v>21</v>
      </c>
      <c r="AJ83" s="11" t="s">
        <v>21</v>
      </c>
      <c r="AK83" s="11" t="s">
        <v>21</v>
      </c>
      <c r="AL83" s="11" t="s">
        <v>21</v>
      </c>
      <c r="AM83" s="11" t="s">
        <v>21</v>
      </c>
      <c r="AN83" s="11" t="s">
        <v>21</v>
      </c>
      <c r="AO83" s="11" t="s">
        <v>21</v>
      </c>
      <c r="AP83" s="11" t="s">
        <v>21</v>
      </c>
      <c r="AQ83" s="15" t="s">
        <v>21</v>
      </c>
      <c r="AR83" s="15" t="s">
        <v>21</v>
      </c>
      <c r="AS83" s="11" t="s">
        <v>22</v>
      </c>
      <c r="AT83" s="15" t="s">
        <v>21</v>
      </c>
      <c r="AU83" s="15" t="s">
        <v>21</v>
      </c>
      <c r="AV83" s="15" t="s">
        <v>21</v>
      </c>
      <c r="AW83" s="16"/>
      <c r="AX83" s="17">
        <f t="shared" si="0"/>
        <v>44</v>
      </c>
      <c r="AY83" s="17">
        <f t="shared" si="1"/>
        <v>1</v>
      </c>
      <c r="AZ83" s="17">
        <f t="shared" si="2"/>
        <v>45</v>
      </c>
      <c r="BA83" s="18">
        <f t="shared" si="3"/>
        <v>97.777777777777771</v>
      </c>
    </row>
    <row r="84" spans="1:53" ht="15.75" customHeight="1">
      <c r="A84" s="11">
        <v>73</v>
      </c>
      <c r="B84" s="19" t="s">
        <v>165</v>
      </c>
      <c r="C84" s="20" t="s">
        <v>166</v>
      </c>
      <c r="D84" s="11" t="s">
        <v>21</v>
      </c>
      <c r="E84" s="11" t="s">
        <v>21</v>
      </c>
      <c r="F84" s="11" t="s">
        <v>21</v>
      </c>
      <c r="G84" s="11" t="s">
        <v>21</v>
      </c>
      <c r="H84" s="11" t="s">
        <v>21</v>
      </c>
      <c r="I84" s="14" t="s">
        <v>22</v>
      </c>
      <c r="J84" s="11" t="s">
        <v>21</v>
      </c>
      <c r="K84" s="11" t="s">
        <v>21</v>
      </c>
      <c r="L84" s="11" t="s">
        <v>21</v>
      </c>
      <c r="M84" s="11" t="s">
        <v>21</v>
      </c>
      <c r="N84" s="11" t="s">
        <v>21</v>
      </c>
      <c r="O84" s="11" t="s">
        <v>21</v>
      </c>
      <c r="P84" s="11" t="s">
        <v>21</v>
      </c>
      <c r="Q84" s="11" t="s">
        <v>21</v>
      </c>
      <c r="R84" s="11" t="s">
        <v>21</v>
      </c>
      <c r="S84" s="11" t="s">
        <v>21</v>
      </c>
      <c r="T84" s="11" t="s">
        <v>21</v>
      </c>
      <c r="U84" s="11" t="s">
        <v>21</v>
      </c>
      <c r="V84" s="11" t="s">
        <v>21</v>
      </c>
      <c r="W84" s="11" t="s">
        <v>21</v>
      </c>
      <c r="X84" s="11" t="s">
        <v>21</v>
      </c>
      <c r="Y84" s="11" t="s">
        <v>21</v>
      </c>
      <c r="Z84" s="11" t="s">
        <v>21</v>
      </c>
      <c r="AA84" s="11" t="s">
        <v>21</v>
      </c>
      <c r="AB84" s="11" t="s">
        <v>21</v>
      </c>
      <c r="AC84" s="11" t="s">
        <v>21</v>
      </c>
      <c r="AD84" s="11" t="s">
        <v>21</v>
      </c>
      <c r="AE84" s="14" t="s">
        <v>22</v>
      </c>
      <c r="AF84" s="11" t="s">
        <v>21</v>
      </c>
      <c r="AG84" s="11" t="s">
        <v>21</v>
      </c>
      <c r="AH84" s="11" t="s">
        <v>21</v>
      </c>
      <c r="AI84" s="11" t="s">
        <v>21</v>
      </c>
      <c r="AJ84" s="11" t="s">
        <v>21</v>
      </c>
      <c r="AK84" s="11" t="s">
        <v>21</v>
      </c>
      <c r="AL84" s="11" t="s">
        <v>21</v>
      </c>
      <c r="AM84" s="11" t="s">
        <v>21</v>
      </c>
      <c r="AN84" s="11" t="s">
        <v>21</v>
      </c>
      <c r="AO84" s="11" t="s">
        <v>21</v>
      </c>
      <c r="AP84" s="11" t="s">
        <v>22</v>
      </c>
      <c r="AQ84" s="15" t="s">
        <v>21</v>
      </c>
      <c r="AR84" s="15" t="s">
        <v>21</v>
      </c>
      <c r="AS84" s="15" t="s">
        <v>21</v>
      </c>
      <c r="AT84" s="11" t="s">
        <v>22</v>
      </c>
      <c r="AU84" s="15" t="s">
        <v>21</v>
      </c>
      <c r="AV84" s="11" t="s">
        <v>22</v>
      </c>
      <c r="AW84" s="16"/>
      <c r="AX84" s="17">
        <f t="shared" si="0"/>
        <v>40</v>
      </c>
      <c r="AY84" s="17">
        <f t="shared" si="1"/>
        <v>5</v>
      </c>
      <c r="AZ84" s="17">
        <f t="shared" si="2"/>
        <v>45</v>
      </c>
      <c r="BA84" s="18">
        <f t="shared" si="3"/>
        <v>88.888888888888886</v>
      </c>
    </row>
    <row r="85" spans="1:53" ht="15.75" customHeight="1">
      <c r="A85" s="26">
        <v>74</v>
      </c>
      <c r="B85" s="19" t="s">
        <v>167</v>
      </c>
      <c r="C85" s="20" t="s">
        <v>168</v>
      </c>
      <c r="D85" s="11" t="s">
        <v>21</v>
      </c>
      <c r="E85" s="11" t="s">
        <v>21</v>
      </c>
      <c r="F85" s="11" t="s">
        <v>21</v>
      </c>
      <c r="G85" s="11" t="s">
        <v>21</v>
      </c>
      <c r="H85" s="11" t="s">
        <v>21</v>
      </c>
      <c r="I85" s="11" t="s">
        <v>21</v>
      </c>
      <c r="J85" s="11" t="s">
        <v>21</v>
      </c>
      <c r="K85" s="11" t="s">
        <v>21</v>
      </c>
      <c r="L85" s="11" t="s">
        <v>21</v>
      </c>
      <c r="M85" s="11" t="s">
        <v>21</v>
      </c>
      <c r="N85" s="11" t="s">
        <v>21</v>
      </c>
      <c r="O85" s="11" t="s">
        <v>21</v>
      </c>
      <c r="P85" s="11" t="s">
        <v>21</v>
      </c>
      <c r="Q85" s="11" t="s">
        <v>21</v>
      </c>
      <c r="R85" s="11" t="s">
        <v>21</v>
      </c>
      <c r="S85" s="11" t="s">
        <v>21</v>
      </c>
      <c r="T85" s="11" t="s">
        <v>21</v>
      </c>
      <c r="U85" s="11" t="s">
        <v>21</v>
      </c>
      <c r="V85" s="11" t="s">
        <v>21</v>
      </c>
      <c r="W85" s="11" t="s">
        <v>21</v>
      </c>
      <c r="X85" s="11" t="s">
        <v>21</v>
      </c>
      <c r="Y85" s="11" t="s">
        <v>21</v>
      </c>
      <c r="Z85" s="11" t="s">
        <v>21</v>
      </c>
      <c r="AA85" s="11" t="s">
        <v>21</v>
      </c>
      <c r="AB85" s="11" t="s">
        <v>21</v>
      </c>
      <c r="AC85" s="11" t="s">
        <v>21</v>
      </c>
      <c r="AD85" s="11" t="s">
        <v>21</v>
      </c>
      <c r="AE85" s="11" t="s">
        <v>21</v>
      </c>
      <c r="AF85" s="11" t="s">
        <v>21</v>
      </c>
      <c r="AG85" s="11" t="s">
        <v>21</v>
      </c>
      <c r="AH85" s="14" t="s">
        <v>22</v>
      </c>
      <c r="AI85" s="11" t="s">
        <v>21</v>
      </c>
      <c r="AJ85" s="11" t="s">
        <v>21</v>
      </c>
      <c r="AK85" s="11" t="s">
        <v>21</v>
      </c>
      <c r="AL85" s="11" t="s">
        <v>21</v>
      </c>
      <c r="AM85" s="11" t="s">
        <v>21</v>
      </c>
      <c r="AN85" s="11" t="s">
        <v>21</v>
      </c>
      <c r="AO85" s="11" t="s">
        <v>21</v>
      </c>
      <c r="AP85" s="11" t="s">
        <v>21</v>
      </c>
      <c r="AQ85" s="15" t="s">
        <v>21</v>
      </c>
      <c r="AR85" s="15" t="s">
        <v>21</v>
      </c>
      <c r="AS85" s="15" t="s">
        <v>21</v>
      </c>
      <c r="AT85" s="15" t="s">
        <v>21</v>
      </c>
      <c r="AU85" s="15" t="s">
        <v>21</v>
      </c>
      <c r="AV85" s="15" t="s">
        <v>21</v>
      </c>
      <c r="AW85" s="16"/>
      <c r="AX85" s="17">
        <f t="shared" si="0"/>
        <v>44</v>
      </c>
      <c r="AY85" s="17">
        <f t="shared" si="1"/>
        <v>1</v>
      </c>
      <c r="AZ85" s="17">
        <f t="shared" si="2"/>
        <v>45</v>
      </c>
      <c r="BA85" s="18">
        <f t="shared" si="3"/>
        <v>97.777777777777771</v>
      </c>
    </row>
    <row r="86" spans="1:53" ht="15.75" customHeight="1">
      <c r="A86" s="11">
        <v>75</v>
      </c>
      <c r="B86" s="19" t="s">
        <v>169</v>
      </c>
      <c r="C86" s="20" t="s">
        <v>170</v>
      </c>
      <c r="D86" s="11" t="s">
        <v>21</v>
      </c>
      <c r="E86" s="11" t="s">
        <v>21</v>
      </c>
      <c r="F86" s="11" t="s">
        <v>21</v>
      </c>
      <c r="G86" s="11" t="s">
        <v>21</v>
      </c>
      <c r="H86" s="11" t="s">
        <v>21</v>
      </c>
      <c r="I86" s="11" t="s">
        <v>21</v>
      </c>
      <c r="J86" s="11" t="s">
        <v>21</v>
      </c>
      <c r="K86" s="11" t="s">
        <v>21</v>
      </c>
      <c r="L86" s="11" t="s">
        <v>21</v>
      </c>
      <c r="M86" s="11" t="s">
        <v>21</v>
      </c>
      <c r="N86" s="11" t="s">
        <v>21</v>
      </c>
      <c r="O86" s="11" t="s">
        <v>21</v>
      </c>
      <c r="P86" s="11" t="s">
        <v>21</v>
      </c>
      <c r="Q86" s="11" t="s">
        <v>21</v>
      </c>
      <c r="R86" s="11" t="s">
        <v>21</v>
      </c>
      <c r="S86" s="11" t="s">
        <v>21</v>
      </c>
      <c r="T86" s="11" t="s">
        <v>21</v>
      </c>
      <c r="U86" s="11" t="s">
        <v>21</v>
      </c>
      <c r="V86" s="11" t="s">
        <v>21</v>
      </c>
      <c r="W86" s="11" t="s">
        <v>21</v>
      </c>
      <c r="X86" s="11" t="s">
        <v>21</v>
      </c>
      <c r="Y86" s="11" t="s">
        <v>21</v>
      </c>
      <c r="Z86" s="11" t="s">
        <v>21</v>
      </c>
      <c r="AA86" s="11" t="s">
        <v>21</v>
      </c>
      <c r="AB86" s="11" t="s">
        <v>21</v>
      </c>
      <c r="AC86" s="11" t="s">
        <v>21</v>
      </c>
      <c r="AD86" s="11" t="s">
        <v>21</v>
      </c>
      <c r="AE86" s="11" t="s">
        <v>21</v>
      </c>
      <c r="AF86" s="11" t="s">
        <v>21</v>
      </c>
      <c r="AG86" s="11" t="s">
        <v>21</v>
      </c>
      <c r="AH86" s="11" t="s">
        <v>21</v>
      </c>
      <c r="AI86" s="11" t="s">
        <v>21</v>
      </c>
      <c r="AJ86" s="11" t="s">
        <v>21</v>
      </c>
      <c r="AK86" s="11" t="s">
        <v>21</v>
      </c>
      <c r="AL86" s="11" t="s">
        <v>21</v>
      </c>
      <c r="AM86" s="11" t="s">
        <v>21</v>
      </c>
      <c r="AN86" s="11" t="s">
        <v>21</v>
      </c>
      <c r="AO86" s="11" t="s">
        <v>21</v>
      </c>
      <c r="AP86" s="11" t="s">
        <v>22</v>
      </c>
      <c r="AQ86" s="11" t="s">
        <v>22</v>
      </c>
      <c r="AR86" s="15" t="s">
        <v>21</v>
      </c>
      <c r="AS86" s="15" t="s">
        <v>21</v>
      </c>
      <c r="AT86" s="11" t="s">
        <v>22</v>
      </c>
      <c r="AU86" s="15" t="s">
        <v>21</v>
      </c>
      <c r="AV86" s="15" t="s">
        <v>21</v>
      </c>
      <c r="AW86" s="16"/>
      <c r="AX86" s="17">
        <f t="shared" si="0"/>
        <v>42</v>
      </c>
      <c r="AY86" s="17">
        <f t="shared" si="1"/>
        <v>3</v>
      </c>
      <c r="AZ86" s="17">
        <f t="shared" si="2"/>
        <v>45</v>
      </c>
      <c r="BA86" s="18">
        <f t="shared" si="3"/>
        <v>93.333333333333329</v>
      </c>
    </row>
    <row r="87" spans="1:53" ht="15.75" customHeight="1">
      <c r="A87" s="11">
        <v>76</v>
      </c>
      <c r="B87" s="31" t="s">
        <v>171</v>
      </c>
      <c r="C87" s="23" t="s">
        <v>172</v>
      </c>
      <c r="D87" s="11" t="s">
        <v>21</v>
      </c>
      <c r="E87" s="11" t="s">
        <v>21</v>
      </c>
      <c r="F87" s="11" t="s">
        <v>21</v>
      </c>
      <c r="G87" s="11" t="s">
        <v>21</v>
      </c>
      <c r="H87" s="11" t="s">
        <v>21</v>
      </c>
      <c r="I87" s="11" t="s">
        <v>21</v>
      </c>
      <c r="J87" s="11" t="s">
        <v>21</v>
      </c>
      <c r="K87" s="11" t="s">
        <v>21</v>
      </c>
      <c r="L87" s="11" t="s">
        <v>21</v>
      </c>
      <c r="M87" s="14" t="s">
        <v>22</v>
      </c>
      <c r="N87" s="11" t="s">
        <v>21</v>
      </c>
      <c r="O87" s="11" t="s">
        <v>21</v>
      </c>
      <c r="P87" s="11" t="s">
        <v>21</v>
      </c>
      <c r="Q87" s="11" t="s">
        <v>21</v>
      </c>
      <c r="R87" s="11" t="s">
        <v>21</v>
      </c>
      <c r="S87" s="11" t="s">
        <v>21</v>
      </c>
      <c r="T87" s="11" t="s">
        <v>21</v>
      </c>
      <c r="U87" s="11" t="s">
        <v>21</v>
      </c>
      <c r="V87" s="11" t="s">
        <v>21</v>
      </c>
      <c r="W87" s="11" t="s">
        <v>21</v>
      </c>
      <c r="X87" s="11" t="s">
        <v>21</v>
      </c>
      <c r="Y87" s="11" t="s">
        <v>21</v>
      </c>
      <c r="Z87" s="11" t="s">
        <v>21</v>
      </c>
      <c r="AA87" s="11" t="s">
        <v>21</v>
      </c>
      <c r="AB87" s="11" t="s">
        <v>21</v>
      </c>
      <c r="AC87" s="11" t="s">
        <v>21</v>
      </c>
      <c r="AD87" s="11" t="s">
        <v>21</v>
      </c>
      <c r="AE87" s="11" t="s">
        <v>21</v>
      </c>
      <c r="AF87" s="11" t="s">
        <v>21</v>
      </c>
      <c r="AG87" s="11" t="s">
        <v>21</v>
      </c>
      <c r="AH87" s="11" t="s">
        <v>21</v>
      </c>
      <c r="AI87" s="11" t="s">
        <v>21</v>
      </c>
      <c r="AJ87" s="14" t="s">
        <v>22</v>
      </c>
      <c r="AK87" s="11" t="s">
        <v>21</v>
      </c>
      <c r="AL87" s="11" t="s">
        <v>21</v>
      </c>
      <c r="AM87" s="11" t="s">
        <v>21</v>
      </c>
      <c r="AN87" s="11" t="s">
        <v>21</v>
      </c>
      <c r="AO87" s="11" t="s">
        <v>21</v>
      </c>
      <c r="AP87" s="11" t="s">
        <v>22</v>
      </c>
      <c r="AQ87" s="11" t="s">
        <v>22</v>
      </c>
      <c r="AR87" s="15" t="s">
        <v>21</v>
      </c>
      <c r="AS87" s="11" t="s">
        <v>22</v>
      </c>
      <c r="AT87" s="15" t="s">
        <v>21</v>
      </c>
      <c r="AU87" s="15" t="s">
        <v>21</v>
      </c>
      <c r="AV87" s="11" t="s">
        <v>22</v>
      </c>
      <c r="AW87" s="16"/>
      <c r="AX87" s="17">
        <f t="shared" si="0"/>
        <v>39</v>
      </c>
      <c r="AY87" s="17">
        <f t="shared" si="1"/>
        <v>6</v>
      </c>
      <c r="AZ87" s="17">
        <f t="shared" si="2"/>
        <v>45</v>
      </c>
      <c r="BA87" s="18">
        <f t="shared" si="3"/>
        <v>86.666666666666671</v>
      </c>
    </row>
    <row r="88" spans="1:53" ht="15.75" customHeight="1">
      <c r="A88" s="11">
        <v>77</v>
      </c>
      <c r="B88" s="24" t="s">
        <v>173</v>
      </c>
      <c r="C88" s="25" t="s">
        <v>174</v>
      </c>
      <c r="D88" s="11" t="s">
        <v>21</v>
      </c>
      <c r="E88" s="11" t="s">
        <v>21</v>
      </c>
      <c r="F88" s="11" t="s">
        <v>21</v>
      </c>
      <c r="G88" s="11" t="s">
        <v>21</v>
      </c>
      <c r="H88" s="11" t="s">
        <v>21</v>
      </c>
      <c r="I88" s="11" t="s">
        <v>21</v>
      </c>
      <c r="J88" s="11" t="s">
        <v>21</v>
      </c>
      <c r="K88" s="11" t="s">
        <v>21</v>
      </c>
      <c r="L88" s="11" t="s">
        <v>21</v>
      </c>
      <c r="M88" s="11" t="s">
        <v>21</v>
      </c>
      <c r="N88" s="11" t="s">
        <v>21</v>
      </c>
      <c r="O88" s="11" t="s">
        <v>21</v>
      </c>
      <c r="P88" s="11" t="s">
        <v>21</v>
      </c>
      <c r="Q88" s="14" t="s">
        <v>22</v>
      </c>
      <c r="R88" s="11" t="s">
        <v>21</v>
      </c>
      <c r="S88" s="11" t="s">
        <v>21</v>
      </c>
      <c r="T88" s="11" t="s">
        <v>21</v>
      </c>
      <c r="U88" s="11" t="s">
        <v>21</v>
      </c>
      <c r="V88" s="11" t="s">
        <v>21</v>
      </c>
      <c r="W88" s="11" t="s">
        <v>21</v>
      </c>
      <c r="X88" s="14" t="s">
        <v>22</v>
      </c>
      <c r="Y88" s="11" t="s">
        <v>21</v>
      </c>
      <c r="Z88" s="11" t="s">
        <v>21</v>
      </c>
      <c r="AA88" s="11" t="s">
        <v>21</v>
      </c>
      <c r="AB88" s="11" t="s">
        <v>21</v>
      </c>
      <c r="AC88" s="11" t="s">
        <v>21</v>
      </c>
      <c r="AD88" s="11" t="s">
        <v>21</v>
      </c>
      <c r="AE88" s="11" t="s">
        <v>21</v>
      </c>
      <c r="AF88" s="11" t="s">
        <v>21</v>
      </c>
      <c r="AG88" s="11" t="s">
        <v>21</v>
      </c>
      <c r="AH88" s="11" t="s">
        <v>21</v>
      </c>
      <c r="AI88" s="11" t="s">
        <v>21</v>
      </c>
      <c r="AJ88" s="11" t="s">
        <v>21</v>
      </c>
      <c r="AK88" s="11" t="s">
        <v>21</v>
      </c>
      <c r="AL88" s="11" t="s">
        <v>21</v>
      </c>
      <c r="AM88" s="11" t="s">
        <v>21</v>
      </c>
      <c r="AN88" s="11" t="s">
        <v>21</v>
      </c>
      <c r="AO88" s="11" t="s">
        <v>21</v>
      </c>
      <c r="AP88" s="11" t="s">
        <v>22</v>
      </c>
      <c r="AQ88" s="11" t="s">
        <v>22</v>
      </c>
      <c r="AR88" s="11" t="s">
        <v>22</v>
      </c>
      <c r="AS88" s="11" t="s">
        <v>22</v>
      </c>
      <c r="AT88" s="15" t="s">
        <v>21</v>
      </c>
      <c r="AU88" s="15" t="s">
        <v>21</v>
      </c>
      <c r="AV88" s="11" t="s">
        <v>22</v>
      </c>
      <c r="AW88" s="16"/>
      <c r="AX88" s="17">
        <f t="shared" si="0"/>
        <v>38</v>
      </c>
      <c r="AY88" s="17">
        <f t="shared" si="1"/>
        <v>7</v>
      </c>
      <c r="AZ88" s="17">
        <f t="shared" si="2"/>
        <v>45</v>
      </c>
      <c r="BA88" s="18">
        <f t="shared" si="3"/>
        <v>84.444444444444443</v>
      </c>
    </row>
    <row r="89" spans="1:53" ht="15.75" customHeight="1">
      <c r="A89" s="11">
        <v>78</v>
      </c>
      <c r="B89" s="24" t="s">
        <v>175</v>
      </c>
      <c r="C89" s="25" t="s">
        <v>176</v>
      </c>
      <c r="D89" s="11" t="s">
        <v>21</v>
      </c>
      <c r="E89" s="11" t="s">
        <v>21</v>
      </c>
      <c r="F89" s="11" t="s">
        <v>21</v>
      </c>
      <c r="G89" s="14" t="s">
        <v>22</v>
      </c>
      <c r="H89" s="11" t="s">
        <v>21</v>
      </c>
      <c r="I89" s="11" t="s">
        <v>21</v>
      </c>
      <c r="J89" s="11" t="s">
        <v>21</v>
      </c>
      <c r="K89" s="11" t="s">
        <v>21</v>
      </c>
      <c r="L89" s="11" t="s">
        <v>21</v>
      </c>
      <c r="M89" s="11" t="s">
        <v>21</v>
      </c>
      <c r="N89" s="11" t="s">
        <v>21</v>
      </c>
      <c r="O89" s="11" t="s">
        <v>21</v>
      </c>
      <c r="P89" s="11" t="s">
        <v>21</v>
      </c>
      <c r="Q89" s="11" t="s">
        <v>21</v>
      </c>
      <c r="R89" s="11" t="s">
        <v>21</v>
      </c>
      <c r="S89" s="11" t="s">
        <v>21</v>
      </c>
      <c r="T89" s="11" t="s">
        <v>21</v>
      </c>
      <c r="U89" s="11" t="s">
        <v>21</v>
      </c>
      <c r="V89" s="11" t="s">
        <v>21</v>
      </c>
      <c r="W89" s="11" t="s">
        <v>21</v>
      </c>
      <c r="X89" s="11" t="s">
        <v>21</v>
      </c>
      <c r="Y89" s="11" t="s">
        <v>21</v>
      </c>
      <c r="Z89" s="11" t="s">
        <v>21</v>
      </c>
      <c r="AA89" s="11" t="s">
        <v>21</v>
      </c>
      <c r="AB89" s="11" t="s">
        <v>21</v>
      </c>
      <c r="AC89" s="11" t="s">
        <v>21</v>
      </c>
      <c r="AD89" s="11" t="s">
        <v>21</v>
      </c>
      <c r="AE89" s="11" t="s">
        <v>21</v>
      </c>
      <c r="AF89" s="11" t="s">
        <v>21</v>
      </c>
      <c r="AG89" s="11" t="s">
        <v>21</v>
      </c>
      <c r="AH89" s="11" t="s">
        <v>21</v>
      </c>
      <c r="AI89" s="11" t="s">
        <v>21</v>
      </c>
      <c r="AJ89" s="11" t="s">
        <v>21</v>
      </c>
      <c r="AK89" s="11" t="s">
        <v>21</v>
      </c>
      <c r="AL89" s="11" t="s">
        <v>21</v>
      </c>
      <c r="AM89" s="11" t="s">
        <v>21</v>
      </c>
      <c r="AN89" s="11" t="s">
        <v>21</v>
      </c>
      <c r="AO89" s="11" t="s">
        <v>21</v>
      </c>
      <c r="AP89" s="11" t="s">
        <v>21</v>
      </c>
      <c r="AQ89" s="15" t="s">
        <v>21</v>
      </c>
      <c r="AR89" s="15" t="s">
        <v>21</v>
      </c>
      <c r="AS89" s="15" t="s">
        <v>21</v>
      </c>
      <c r="AT89" s="15" t="s">
        <v>21</v>
      </c>
      <c r="AU89" s="15" t="s">
        <v>21</v>
      </c>
      <c r="AV89" s="11" t="s">
        <v>22</v>
      </c>
      <c r="AW89" s="16"/>
      <c r="AX89" s="17">
        <f t="shared" si="0"/>
        <v>43</v>
      </c>
      <c r="AY89" s="17">
        <f t="shared" si="1"/>
        <v>2</v>
      </c>
      <c r="AZ89" s="17">
        <f t="shared" si="2"/>
        <v>45</v>
      </c>
      <c r="BA89" s="18">
        <f t="shared" si="3"/>
        <v>95.555555555555557</v>
      </c>
    </row>
    <row r="90" spans="1:53" ht="15.75" customHeight="1">
      <c r="A90" s="11">
        <v>79</v>
      </c>
      <c r="B90" s="24" t="s">
        <v>177</v>
      </c>
      <c r="C90" s="25" t="s">
        <v>178</v>
      </c>
      <c r="D90" s="11" t="s">
        <v>21</v>
      </c>
      <c r="E90" s="11" t="s">
        <v>21</v>
      </c>
      <c r="F90" s="11" t="s">
        <v>21</v>
      </c>
      <c r="G90" s="11" t="s">
        <v>21</v>
      </c>
      <c r="H90" s="11" t="s">
        <v>21</v>
      </c>
      <c r="I90" s="11" t="s">
        <v>21</v>
      </c>
      <c r="J90" s="11" t="s">
        <v>21</v>
      </c>
      <c r="K90" s="11" t="s">
        <v>21</v>
      </c>
      <c r="L90" s="11" t="s">
        <v>21</v>
      </c>
      <c r="M90" s="11" t="s">
        <v>21</v>
      </c>
      <c r="N90" s="11" t="s">
        <v>21</v>
      </c>
      <c r="O90" s="11" t="s">
        <v>21</v>
      </c>
      <c r="P90" s="11" t="s">
        <v>21</v>
      </c>
      <c r="Q90" s="11" t="s">
        <v>21</v>
      </c>
      <c r="R90" s="11" t="s">
        <v>21</v>
      </c>
      <c r="S90" s="11" t="s">
        <v>21</v>
      </c>
      <c r="T90" s="11" t="s">
        <v>21</v>
      </c>
      <c r="U90" s="11" t="s">
        <v>21</v>
      </c>
      <c r="V90" s="11" t="s">
        <v>21</v>
      </c>
      <c r="W90" s="11" t="s">
        <v>21</v>
      </c>
      <c r="X90" s="11" t="s">
        <v>21</v>
      </c>
      <c r="Y90" s="11" t="s">
        <v>21</v>
      </c>
      <c r="Z90" s="11" t="s">
        <v>21</v>
      </c>
      <c r="AA90" s="11" t="s">
        <v>21</v>
      </c>
      <c r="AB90" s="11" t="s">
        <v>21</v>
      </c>
      <c r="AC90" s="11" t="s">
        <v>21</v>
      </c>
      <c r="AD90" s="11" t="s">
        <v>21</v>
      </c>
      <c r="AE90" s="11" t="s">
        <v>21</v>
      </c>
      <c r="AF90" s="11" t="s">
        <v>21</v>
      </c>
      <c r="AG90" s="11" t="s">
        <v>21</v>
      </c>
      <c r="AH90" s="11" t="s">
        <v>21</v>
      </c>
      <c r="AI90" s="11" t="s">
        <v>21</v>
      </c>
      <c r="AJ90" s="11" t="s">
        <v>21</v>
      </c>
      <c r="AK90" s="11" t="s">
        <v>21</v>
      </c>
      <c r="AL90" s="11" t="s">
        <v>21</v>
      </c>
      <c r="AM90" s="11" t="s">
        <v>21</v>
      </c>
      <c r="AN90" s="11" t="s">
        <v>21</v>
      </c>
      <c r="AO90" s="11" t="s">
        <v>21</v>
      </c>
      <c r="AP90" s="11" t="s">
        <v>21</v>
      </c>
      <c r="AQ90" s="15" t="s">
        <v>21</v>
      </c>
      <c r="AR90" s="15" t="s">
        <v>21</v>
      </c>
      <c r="AS90" s="11" t="s">
        <v>22</v>
      </c>
      <c r="AT90" s="11" t="s">
        <v>22</v>
      </c>
      <c r="AU90" s="15" t="s">
        <v>21</v>
      </c>
      <c r="AV90" s="11" t="s">
        <v>22</v>
      </c>
      <c r="AW90" s="16"/>
      <c r="AX90" s="17">
        <f t="shared" si="0"/>
        <v>42</v>
      </c>
      <c r="AY90" s="17">
        <f t="shared" si="1"/>
        <v>3</v>
      </c>
      <c r="AZ90" s="17">
        <f t="shared" si="2"/>
        <v>45</v>
      </c>
      <c r="BA90" s="18">
        <f t="shared" si="3"/>
        <v>93.333333333333329</v>
      </c>
    </row>
    <row r="91" spans="1:53" ht="15.7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1">
        <f t="shared" ref="AP91:AU91" si="4">COUNTIF(AP12:AP88,"P")</f>
        <v>59</v>
      </c>
      <c r="AQ91" s="11">
        <f t="shared" si="4"/>
        <v>64</v>
      </c>
      <c r="AR91" s="11">
        <f t="shared" si="4"/>
        <v>73</v>
      </c>
      <c r="AS91" s="11">
        <f t="shared" si="4"/>
        <v>57</v>
      </c>
      <c r="AT91" s="11">
        <f t="shared" si="4"/>
        <v>48</v>
      </c>
      <c r="AU91" s="11">
        <f t="shared" si="4"/>
        <v>77</v>
      </c>
      <c r="AV91" s="11">
        <f t="shared" ref="AV91:AW91" si="5">COUNTIF(AV49:AV88,"P")</f>
        <v>16</v>
      </c>
      <c r="AW91" s="11">
        <f t="shared" si="5"/>
        <v>0</v>
      </c>
      <c r="AX91" s="11"/>
      <c r="AY91" s="11"/>
      <c r="AZ91" s="11"/>
      <c r="BA91" s="32"/>
    </row>
    <row r="92" spans="1:53" ht="15.75" customHeight="1"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X92" s="2"/>
      <c r="AY92" s="2"/>
      <c r="AZ92" s="2"/>
      <c r="BA92" s="4"/>
    </row>
    <row r="93" spans="1:53" ht="15.75" customHeight="1"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X93" s="2"/>
      <c r="AY93" s="2"/>
      <c r="AZ93" s="2"/>
      <c r="BA93" s="4"/>
    </row>
    <row r="94" spans="1:53" ht="15.75" customHeight="1"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X94" s="2"/>
      <c r="AY94" s="2"/>
      <c r="AZ94" s="2"/>
      <c r="BA94" s="4"/>
    </row>
    <row r="95" spans="1:53" ht="15.75" customHeight="1"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X95" s="2"/>
      <c r="AY95" s="2"/>
      <c r="AZ95" s="2"/>
      <c r="BA95" s="4"/>
    </row>
    <row r="96" spans="1:53" ht="15.75" customHeight="1"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X96" s="2"/>
      <c r="AY96" s="2"/>
      <c r="AZ96" s="2"/>
      <c r="BA96" s="4"/>
    </row>
    <row r="97" spans="2:53" ht="15.75" customHeight="1"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X97" s="2"/>
      <c r="AY97" s="2"/>
      <c r="AZ97" s="2"/>
      <c r="BA97" s="4"/>
    </row>
    <row r="98" spans="2:53" ht="15.75" customHeight="1"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X98" s="2"/>
      <c r="AY98" s="2"/>
      <c r="AZ98" s="2"/>
      <c r="BA98" s="4"/>
    </row>
    <row r="99" spans="2:53" ht="15.75" customHeight="1"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X99" s="2"/>
      <c r="AY99" s="2"/>
      <c r="AZ99" s="2"/>
      <c r="BA99" s="4"/>
    </row>
    <row r="100" spans="2:53" ht="15.75" customHeight="1"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X100" s="2"/>
      <c r="AY100" s="2"/>
      <c r="AZ100" s="2"/>
      <c r="BA100" s="4"/>
    </row>
    <row r="101" spans="2:53" ht="15.75" customHeight="1"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X101" s="2"/>
      <c r="AY101" s="2"/>
      <c r="AZ101" s="2"/>
      <c r="BA101" s="4"/>
    </row>
    <row r="102" spans="2:53" ht="15.75" customHeight="1"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X102" s="2"/>
      <c r="AY102" s="2"/>
      <c r="AZ102" s="2"/>
      <c r="BA102" s="4"/>
    </row>
    <row r="103" spans="2:53" ht="15.75" customHeight="1"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X103" s="2"/>
      <c r="AY103" s="2"/>
      <c r="AZ103" s="2"/>
      <c r="BA103" s="4"/>
    </row>
    <row r="104" spans="2:53" ht="15.75" customHeight="1"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X104" s="2"/>
      <c r="AY104" s="2"/>
      <c r="AZ104" s="2"/>
      <c r="BA104" s="4"/>
    </row>
    <row r="105" spans="2:53" ht="15.75" customHeight="1"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X105" s="2"/>
      <c r="AY105" s="2"/>
      <c r="AZ105" s="2"/>
      <c r="BA105" s="4"/>
    </row>
    <row r="106" spans="2:53" ht="15.75" customHeight="1"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X106" s="2"/>
      <c r="AY106" s="2"/>
      <c r="AZ106" s="2"/>
      <c r="BA106" s="4"/>
    </row>
    <row r="107" spans="2:53" ht="15.75" customHeight="1"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X107" s="2"/>
      <c r="AY107" s="2"/>
      <c r="AZ107" s="2"/>
      <c r="BA107" s="4"/>
    </row>
    <row r="108" spans="2:53" ht="15.75" customHeight="1"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X108" s="2"/>
      <c r="AY108" s="2"/>
      <c r="AZ108" s="2"/>
      <c r="BA108" s="4"/>
    </row>
    <row r="109" spans="2:53" ht="15.75" customHeight="1"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X109" s="2"/>
      <c r="AY109" s="2"/>
      <c r="AZ109" s="2"/>
      <c r="BA109" s="4"/>
    </row>
    <row r="110" spans="2:53" ht="15.75" customHeight="1"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X110" s="2"/>
      <c r="AY110" s="2"/>
      <c r="AZ110" s="2"/>
      <c r="BA110" s="4"/>
    </row>
    <row r="111" spans="2:53" ht="15.75" customHeight="1"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X111" s="2"/>
      <c r="AY111" s="2"/>
      <c r="AZ111" s="2"/>
      <c r="BA111" s="4"/>
    </row>
    <row r="112" spans="2:53" ht="15.75" customHeight="1"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X112" s="2"/>
      <c r="AY112" s="2"/>
      <c r="AZ112" s="2"/>
      <c r="BA112" s="4"/>
    </row>
    <row r="113" spans="2:53" ht="15.75" customHeight="1"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X113" s="2"/>
      <c r="AY113" s="2"/>
      <c r="AZ113" s="2"/>
      <c r="BA113" s="4"/>
    </row>
    <row r="114" spans="2:53" ht="15.75" customHeight="1"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X114" s="2"/>
      <c r="AY114" s="2"/>
      <c r="AZ114" s="2"/>
      <c r="BA114" s="4"/>
    </row>
    <row r="115" spans="2:53" ht="15.75" customHeight="1"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X115" s="2"/>
      <c r="AY115" s="2"/>
      <c r="AZ115" s="2"/>
      <c r="BA115" s="4"/>
    </row>
    <row r="116" spans="2:53" ht="15.75" customHeight="1"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X116" s="2"/>
      <c r="AY116" s="2"/>
      <c r="AZ116" s="2"/>
      <c r="BA116" s="4"/>
    </row>
    <row r="117" spans="2:53" ht="15.75" customHeight="1"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X117" s="2"/>
      <c r="AY117" s="2"/>
      <c r="AZ117" s="2"/>
      <c r="BA117" s="4"/>
    </row>
    <row r="118" spans="2:53" ht="15.75" customHeight="1"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X118" s="2"/>
      <c r="AY118" s="2"/>
      <c r="AZ118" s="2"/>
      <c r="BA118" s="4"/>
    </row>
    <row r="119" spans="2:53" ht="15.75" customHeight="1"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X119" s="2"/>
      <c r="AY119" s="2"/>
      <c r="AZ119" s="2"/>
      <c r="BA119" s="4"/>
    </row>
    <row r="120" spans="2:53" ht="15.75" customHeight="1"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X120" s="2"/>
      <c r="AY120" s="2"/>
      <c r="AZ120" s="2"/>
      <c r="BA120" s="4"/>
    </row>
    <row r="121" spans="2:53" ht="15.75" customHeight="1"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X121" s="2"/>
      <c r="AY121" s="2"/>
      <c r="AZ121" s="2"/>
      <c r="BA121" s="4"/>
    </row>
    <row r="122" spans="2:53" ht="15.75" customHeight="1"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X122" s="2"/>
      <c r="AY122" s="2"/>
      <c r="AZ122" s="2"/>
      <c r="BA122" s="4"/>
    </row>
    <row r="123" spans="2:53" ht="15.75" customHeight="1"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X123" s="2"/>
      <c r="AY123" s="2"/>
      <c r="AZ123" s="2"/>
      <c r="BA123" s="4"/>
    </row>
    <row r="124" spans="2:53" ht="15.75" customHeight="1"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X124" s="2"/>
      <c r="AY124" s="2"/>
      <c r="AZ124" s="2"/>
      <c r="BA124" s="4"/>
    </row>
    <row r="125" spans="2:53" ht="15.75" customHeight="1"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X125" s="2"/>
      <c r="AY125" s="2"/>
      <c r="AZ125" s="2"/>
      <c r="BA125" s="4"/>
    </row>
    <row r="126" spans="2:53" ht="15.75" customHeight="1"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X126" s="2"/>
      <c r="AY126" s="2"/>
      <c r="AZ126" s="2"/>
      <c r="BA126" s="4"/>
    </row>
    <row r="127" spans="2:53" ht="15.75" customHeight="1"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X127" s="2"/>
      <c r="AY127" s="2"/>
      <c r="AZ127" s="2"/>
      <c r="BA127" s="4"/>
    </row>
    <row r="128" spans="2:53" ht="15.75" customHeight="1"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X128" s="2"/>
      <c r="AY128" s="2"/>
      <c r="AZ128" s="2"/>
      <c r="BA128" s="4"/>
    </row>
    <row r="129" spans="2:53" ht="15.75" customHeight="1"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X129" s="2"/>
      <c r="AY129" s="2"/>
      <c r="AZ129" s="2"/>
      <c r="BA129" s="4"/>
    </row>
    <row r="130" spans="2:53" ht="15.75" customHeight="1"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X130" s="2"/>
      <c r="AY130" s="2"/>
      <c r="AZ130" s="2"/>
      <c r="BA130" s="4"/>
    </row>
    <row r="131" spans="2:53" ht="15.75" customHeight="1"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X131" s="2"/>
      <c r="AY131" s="2"/>
      <c r="AZ131" s="2"/>
      <c r="BA131" s="4"/>
    </row>
    <row r="132" spans="2:53" ht="15.75" customHeight="1"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X132" s="2"/>
      <c r="AY132" s="2"/>
      <c r="AZ132" s="2"/>
      <c r="BA132" s="4"/>
    </row>
    <row r="133" spans="2:53" ht="15.75" customHeight="1"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X133" s="2"/>
      <c r="AY133" s="2"/>
      <c r="AZ133" s="2"/>
      <c r="BA133" s="4"/>
    </row>
    <row r="134" spans="2:53" ht="15.75" customHeight="1"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X134" s="2"/>
      <c r="AY134" s="2"/>
      <c r="AZ134" s="2"/>
      <c r="BA134" s="4"/>
    </row>
    <row r="135" spans="2:53" ht="15.75" customHeight="1"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X135" s="2"/>
      <c r="AY135" s="2"/>
      <c r="AZ135" s="2"/>
      <c r="BA135" s="4"/>
    </row>
    <row r="136" spans="2:53" ht="15.75" customHeight="1"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X136" s="2"/>
      <c r="AY136" s="2"/>
      <c r="AZ136" s="2"/>
      <c r="BA136" s="4"/>
    </row>
    <row r="137" spans="2:53" ht="15.75" customHeight="1"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X137" s="2"/>
      <c r="AY137" s="2"/>
      <c r="AZ137" s="2"/>
      <c r="BA137" s="4"/>
    </row>
    <row r="138" spans="2:53" ht="15.75" customHeight="1"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X138" s="2"/>
      <c r="AY138" s="2"/>
      <c r="AZ138" s="2"/>
      <c r="BA138" s="4"/>
    </row>
    <row r="139" spans="2:53" ht="15.75" customHeight="1"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X139" s="2"/>
      <c r="AY139" s="2"/>
      <c r="AZ139" s="2"/>
      <c r="BA139" s="4"/>
    </row>
    <row r="140" spans="2:53" ht="15.75" customHeight="1"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X140" s="2"/>
      <c r="AY140" s="2"/>
      <c r="AZ140" s="2"/>
      <c r="BA140" s="4"/>
    </row>
    <row r="141" spans="2:53" ht="15.75" customHeight="1"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X141" s="2"/>
      <c r="AY141" s="2"/>
      <c r="AZ141" s="2"/>
      <c r="BA141" s="4"/>
    </row>
    <row r="142" spans="2:53" ht="15.75" customHeight="1"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X142" s="2"/>
      <c r="AY142" s="2"/>
      <c r="AZ142" s="2"/>
      <c r="BA142" s="4"/>
    </row>
    <row r="143" spans="2:53" ht="15.75" customHeight="1"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X143" s="2"/>
      <c r="AY143" s="2"/>
      <c r="AZ143" s="2"/>
      <c r="BA143" s="4"/>
    </row>
    <row r="144" spans="2:53" ht="15.75" customHeight="1"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X144" s="2"/>
      <c r="AY144" s="2"/>
      <c r="AZ144" s="2"/>
      <c r="BA144" s="4"/>
    </row>
    <row r="145" spans="2:53" ht="15.75" customHeight="1"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X145" s="2"/>
      <c r="AY145" s="2"/>
      <c r="AZ145" s="2"/>
      <c r="BA145" s="4"/>
    </row>
    <row r="146" spans="2:53" ht="15.75" customHeight="1"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X146" s="2"/>
      <c r="AY146" s="2"/>
      <c r="AZ146" s="2"/>
      <c r="BA146" s="4"/>
    </row>
    <row r="147" spans="2:53" ht="15.75" customHeight="1"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X147" s="2"/>
      <c r="AY147" s="2"/>
      <c r="AZ147" s="2"/>
      <c r="BA147" s="4"/>
    </row>
    <row r="148" spans="2:53" ht="15.75" customHeight="1"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X148" s="2"/>
      <c r="AY148" s="2"/>
      <c r="AZ148" s="2"/>
      <c r="BA148" s="4"/>
    </row>
    <row r="149" spans="2:53" ht="15.75" customHeight="1"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X149" s="2"/>
      <c r="AY149" s="2"/>
      <c r="AZ149" s="2"/>
      <c r="BA149" s="4"/>
    </row>
    <row r="150" spans="2:53" ht="15.75" customHeight="1"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X150" s="2"/>
      <c r="AY150" s="2"/>
      <c r="AZ150" s="2"/>
      <c r="BA150" s="4"/>
    </row>
    <row r="151" spans="2:53" ht="15.75" customHeight="1"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X151" s="2"/>
      <c r="AY151" s="2"/>
      <c r="AZ151" s="2"/>
      <c r="BA151" s="4"/>
    </row>
    <row r="152" spans="2:53" ht="15.75" customHeight="1"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X152" s="2"/>
      <c r="AY152" s="2"/>
      <c r="AZ152" s="2"/>
      <c r="BA152" s="4"/>
    </row>
    <row r="153" spans="2:53" ht="15.75" customHeight="1"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X153" s="2"/>
      <c r="AY153" s="2"/>
      <c r="AZ153" s="2"/>
      <c r="BA153" s="4"/>
    </row>
    <row r="154" spans="2:53" ht="15.75" customHeight="1"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X154" s="2"/>
      <c r="AY154" s="2"/>
      <c r="AZ154" s="2"/>
      <c r="BA154" s="4"/>
    </row>
    <row r="155" spans="2:53" ht="15.75" customHeight="1"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X155" s="2"/>
      <c r="AY155" s="2"/>
      <c r="AZ155" s="2"/>
      <c r="BA155" s="4"/>
    </row>
    <row r="156" spans="2:53" ht="15.75" customHeight="1"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X156" s="2"/>
      <c r="AY156" s="2"/>
      <c r="AZ156" s="2"/>
      <c r="BA156" s="4"/>
    </row>
    <row r="157" spans="2:53" ht="15.75" customHeight="1"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X157" s="2"/>
      <c r="AY157" s="2"/>
      <c r="AZ157" s="2"/>
      <c r="BA157" s="4"/>
    </row>
    <row r="158" spans="2:53" ht="15.75" customHeight="1"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X158" s="2"/>
      <c r="AY158" s="2"/>
      <c r="AZ158" s="2"/>
      <c r="BA158" s="4"/>
    </row>
    <row r="159" spans="2:53" ht="15.75" customHeight="1"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X159" s="2"/>
      <c r="AY159" s="2"/>
      <c r="AZ159" s="2"/>
      <c r="BA159" s="4"/>
    </row>
    <row r="160" spans="2:53" ht="15.75" customHeight="1"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X160" s="2"/>
      <c r="AY160" s="2"/>
      <c r="AZ160" s="2"/>
      <c r="BA160" s="4"/>
    </row>
    <row r="161" spans="2:53" ht="15.75" customHeight="1"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X161" s="2"/>
      <c r="AY161" s="2"/>
      <c r="AZ161" s="2"/>
      <c r="BA161" s="4"/>
    </row>
    <row r="162" spans="2:53" ht="15.75" customHeight="1"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X162" s="2"/>
      <c r="AY162" s="2"/>
      <c r="AZ162" s="2"/>
      <c r="BA162" s="4"/>
    </row>
    <row r="163" spans="2:53" ht="15.75" customHeight="1"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X163" s="2"/>
      <c r="AY163" s="2"/>
      <c r="AZ163" s="2"/>
      <c r="BA163" s="4"/>
    </row>
    <row r="164" spans="2:53" ht="15.75" customHeight="1"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X164" s="2"/>
      <c r="AY164" s="2"/>
      <c r="AZ164" s="2"/>
      <c r="BA164" s="4"/>
    </row>
    <row r="165" spans="2:53" ht="15.75" customHeight="1"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X165" s="2"/>
      <c r="AY165" s="2"/>
      <c r="AZ165" s="2"/>
      <c r="BA165" s="4"/>
    </row>
    <row r="166" spans="2:53" ht="15.75" customHeight="1"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X166" s="2"/>
      <c r="AY166" s="2"/>
      <c r="AZ166" s="2"/>
      <c r="BA166" s="4"/>
    </row>
    <row r="167" spans="2:53" ht="15.75" customHeight="1"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X167" s="2"/>
      <c r="AY167" s="2"/>
      <c r="AZ167" s="2"/>
      <c r="BA167" s="4"/>
    </row>
    <row r="168" spans="2:53" ht="15.75" customHeight="1"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X168" s="2"/>
      <c r="AY168" s="2"/>
      <c r="AZ168" s="2"/>
      <c r="BA168" s="4"/>
    </row>
    <row r="169" spans="2:53" ht="15.75" customHeight="1"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X169" s="2"/>
      <c r="AY169" s="2"/>
      <c r="AZ169" s="2"/>
      <c r="BA169" s="4"/>
    </row>
    <row r="170" spans="2:53" ht="15.75" customHeight="1"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X170" s="2"/>
      <c r="AY170" s="2"/>
      <c r="AZ170" s="2"/>
      <c r="BA170" s="4"/>
    </row>
    <row r="171" spans="2:53" ht="15.75" customHeight="1"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X171" s="2"/>
      <c r="AY171" s="2"/>
      <c r="AZ171" s="2"/>
      <c r="BA171" s="4"/>
    </row>
    <row r="172" spans="2:53" ht="15.75" customHeight="1"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X172" s="2"/>
      <c r="AY172" s="2"/>
      <c r="AZ172" s="2"/>
      <c r="BA172" s="4"/>
    </row>
    <row r="173" spans="2:53" ht="15.75" customHeight="1"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X173" s="2"/>
      <c r="AY173" s="2"/>
      <c r="AZ173" s="2"/>
      <c r="BA173" s="4"/>
    </row>
    <row r="174" spans="2:53" ht="15.75" customHeight="1"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X174" s="2"/>
      <c r="AY174" s="2"/>
      <c r="AZ174" s="2"/>
      <c r="BA174" s="4"/>
    </row>
    <row r="175" spans="2:53" ht="15.75" customHeight="1"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X175" s="2"/>
      <c r="AY175" s="2"/>
      <c r="AZ175" s="2"/>
      <c r="BA175" s="4"/>
    </row>
    <row r="176" spans="2:53" ht="15.75" customHeight="1"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X176" s="2"/>
      <c r="AY176" s="2"/>
      <c r="AZ176" s="2"/>
      <c r="BA176" s="4"/>
    </row>
    <row r="177" spans="2:53" ht="15.75" customHeight="1"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X177" s="2"/>
      <c r="AY177" s="2"/>
      <c r="AZ177" s="2"/>
      <c r="BA177" s="4"/>
    </row>
    <row r="178" spans="2:53" ht="15.75" customHeight="1"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X178" s="2"/>
      <c r="AY178" s="2"/>
      <c r="AZ178" s="2"/>
      <c r="BA178" s="4"/>
    </row>
    <row r="179" spans="2:53" ht="15.75" customHeight="1"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X179" s="2"/>
      <c r="AY179" s="2"/>
      <c r="AZ179" s="2"/>
      <c r="BA179" s="4"/>
    </row>
    <row r="180" spans="2:53" ht="15.75" customHeight="1"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X180" s="2"/>
      <c r="AY180" s="2"/>
      <c r="AZ180" s="2"/>
      <c r="BA180" s="4"/>
    </row>
    <row r="181" spans="2:53" ht="15.75" customHeight="1"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X181" s="2"/>
      <c r="AY181" s="2"/>
      <c r="AZ181" s="2"/>
      <c r="BA181" s="4"/>
    </row>
    <row r="182" spans="2:53" ht="15.75" customHeight="1"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X182" s="2"/>
      <c r="AY182" s="2"/>
      <c r="AZ182" s="2"/>
      <c r="BA182" s="4"/>
    </row>
    <row r="183" spans="2:53" ht="15.75" customHeight="1"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X183" s="2"/>
      <c r="AY183" s="2"/>
      <c r="AZ183" s="2"/>
      <c r="BA183" s="4"/>
    </row>
    <row r="184" spans="2:53" ht="15.75" customHeight="1"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X184" s="2"/>
      <c r="AY184" s="2"/>
      <c r="AZ184" s="2"/>
      <c r="BA184" s="4"/>
    </row>
    <row r="185" spans="2:53" ht="15.75" customHeight="1"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X185" s="2"/>
      <c r="AY185" s="2"/>
      <c r="AZ185" s="2"/>
      <c r="BA185" s="4"/>
    </row>
    <row r="186" spans="2:53" ht="15.75" customHeight="1"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X186" s="2"/>
      <c r="AY186" s="2"/>
      <c r="AZ186" s="2"/>
      <c r="BA186" s="4"/>
    </row>
    <row r="187" spans="2:53" ht="15.75" customHeight="1"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X187" s="2"/>
      <c r="AY187" s="2"/>
      <c r="AZ187" s="2"/>
      <c r="BA187" s="4"/>
    </row>
    <row r="188" spans="2:53" ht="15.75" customHeight="1"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X188" s="2"/>
      <c r="AY188" s="2"/>
      <c r="AZ188" s="2"/>
      <c r="BA188" s="4"/>
    </row>
    <row r="189" spans="2:53" ht="15.75" customHeight="1"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X189" s="2"/>
      <c r="AY189" s="2"/>
      <c r="AZ189" s="2"/>
      <c r="BA189" s="4"/>
    </row>
    <row r="190" spans="2:53" ht="15.75" customHeight="1"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X190" s="2"/>
      <c r="AY190" s="2"/>
      <c r="AZ190" s="2"/>
      <c r="BA190" s="4"/>
    </row>
    <row r="191" spans="2:53" ht="15.75" customHeight="1"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X191" s="2"/>
      <c r="AY191" s="2"/>
      <c r="AZ191" s="2"/>
      <c r="BA191" s="4"/>
    </row>
    <row r="192" spans="2:53" ht="15.75" customHeight="1"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X192" s="2"/>
      <c r="AY192" s="2"/>
      <c r="AZ192" s="2"/>
      <c r="BA192" s="4"/>
    </row>
    <row r="193" spans="2:53" ht="15.75" customHeight="1"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X193" s="2"/>
      <c r="AY193" s="2"/>
      <c r="AZ193" s="2"/>
      <c r="BA193" s="4"/>
    </row>
    <row r="194" spans="2:53" ht="15.75" customHeight="1"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X194" s="2"/>
      <c r="AY194" s="2"/>
      <c r="AZ194" s="2"/>
      <c r="BA194" s="4"/>
    </row>
    <row r="195" spans="2:53" ht="15.75" customHeight="1"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X195" s="2"/>
      <c r="AY195" s="2"/>
      <c r="AZ195" s="2"/>
      <c r="BA195" s="4"/>
    </row>
    <row r="196" spans="2:53" ht="15.75" customHeight="1"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X196" s="2"/>
      <c r="AY196" s="2"/>
      <c r="AZ196" s="2"/>
      <c r="BA196" s="4"/>
    </row>
    <row r="197" spans="2:53" ht="15.75" customHeight="1"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X197" s="2"/>
      <c r="AY197" s="2"/>
      <c r="AZ197" s="2"/>
      <c r="BA197" s="4"/>
    </row>
    <row r="198" spans="2:53" ht="15.75" customHeight="1"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X198" s="2"/>
      <c r="AY198" s="2"/>
      <c r="AZ198" s="2"/>
      <c r="BA198" s="4"/>
    </row>
    <row r="199" spans="2:53" ht="15.75" customHeight="1"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X199" s="2"/>
      <c r="AY199" s="2"/>
      <c r="AZ199" s="2"/>
      <c r="BA199" s="4"/>
    </row>
    <row r="200" spans="2:53" ht="15.75" customHeight="1"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X200" s="2"/>
      <c r="AY200" s="2"/>
      <c r="AZ200" s="2"/>
      <c r="BA200" s="4"/>
    </row>
    <row r="201" spans="2:53" ht="15.75" customHeight="1"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X201" s="2"/>
      <c r="AY201" s="2"/>
      <c r="AZ201" s="2"/>
      <c r="BA201" s="4"/>
    </row>
    <row r="202" spans="2:53" ht="15.75" customHeight="1"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X202" s="2"/>
      <c r="AY202" s="2"/>
      <c r="AZ202" s="2"/>
      <c r="BA202" s="4"/>
    </row>
    <row r="203" spans="2:53" ht="15.75" customHeight="1"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X203" s="2"/>
      <c r="AY203" s="2"/>
      <c r="AZ203" s="2"/>
      <c r="BA203" s="4"/>
    </row>
    <row r="204" spans="2:53" ht="15.75" customHeight="1"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X204" s="2"/>
      <c r="AY204" s="2"/>
      <c r="AZ204" s="2"/>
      <c r="BA204" s="4"/>
    </row>
    <row r="205" spans="2:53" ht="15.75" customHeight="1"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X205" s="2"/>
      <c r="AY205" s="2"/>
      <c r="AZ205" s="2"/>
      <c r="BA205" s="4"/>
    </row>
    <row r="206" spans="2:53" ht="15.75" customHeight="1"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X206" s="2"/>
      <c r="AY206" s="2"/>
      <c r="AZ206" s="2"/>
      <c r="BA206" s="4"/>
    </row>
    <row r="207" spans="2:53" ht="15.75" customHeight="1"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X207" s="2"/>
      <c r="AY207" s="2"/>
      <c r="AZ207" s="2"/>
      <c r="BA207" s="4"/>
    </row>
    <row r="208" spans="2:53" ht="15.75" customHeight="1"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X208" s="2"/>
      <c r="AY208" s="2"/>
      <c r="AZ208" s="2"/>
      <c r="BA208" s="4"/>
    </row>
    <row r="209" spans="2:53" ht="15.75" customHeight="1"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X209" s="2"/>
      <c r="AY209" s="2"/>
      <c r="AZ209" s="2"/>
      <c r="BA209" s="4"/>
    </row>
    <row r="210" spans="2:53" ht="15.75" customHeight="1"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X210" s="2"/>
      <c r="AY210" s="2"/>
      <c r="AZ210" s="2"/>
      <c r="BA210" s="4"/>
    </row>
    <row r="211" spans="2:53" ht="15.75" customHeight="1"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X211" s="2"/>
      <c r="AY211" s="2"/>
      <c r="AZ211" s="2"/>
      <c r="BA211" s="4"/>
    </row>
    <row r="212" spans="2:53" ht="15.75" customHeight="1"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X212" s="2"/>
      <c r="AY212" s="2"/>
      <c r="AZ212" s="2"/>
      <c r="BA212" s="4"/>
    </row>
    <row r="213" spans="2:53" ht="15.75" customHeight="1"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X213" s="2"/>
      <c r="AY213" s="2"/>
      <c r="AZ213" s="2"/>
      <c r="BA213" s="4"/>
    </row>
    <row r="214" spans="2:53" ht="15.75" customHeight="1"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X214" s="2"/>
      <c r="AY214" s="2"/>
      <c r="AZ214" s="2"/>
      <c r="BA214" s="4"/>
    </row>
    <row r="215" spans="2:53" ht="15.75" customHeight="1"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X215" s="2"/>
      <c r="AY215" s="2"/>
      <c r="AZ215" s="2"/>
      <c r="BA215" s="4"/>
    </row>
    <row r="216" spans="2:53" ht="15.75" customHeight="1"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X216" s="2"/>
      <c r="AY216" s="2"/>
      <c r="AZ216" s="2"/>
      <c r="BA216" s="4"/>
    </row>
    <row r="217" spans="2:53" ht="15.75" customHeight="1"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X217" s="2"/>
      <c r="AY217" s="2"/>
      <c r="AZ217" s="2"/>
      <c r="BA217" s="4"/>
    </row>
    <row r="218" spans="2:53" ht="15.75" customHeight="1"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X218" s="2"/>
      <c r="AY218" s="2"/>
      <c r="AZ218" s="2"/>
      <c r="BA218" s="4"/>
    </row>
    <row r="219" spans="2:53" ht="15.75" customHeight="1"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X219" s="2"/>
      <c r="AY219" s="2"/>
      <c r="AZ219" s="2"/>
      <c r="BA219" s="4"/>
    </row>
    <row r="220" spans="2:53" ht="15.75" customHeight="1"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X220" s="2"/>
      <c r="AY220" s="2"/>
      <c r="AZ220" s="2"/>
      <c r="BA220" s="4"/>
    </row>
    <row r="221" spans="2:53" ht="15.75" customHeight="1"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X221" s="2"/>
      <c r="AY221" s="2"/>
      <c r="AZ221" s="2"/>
      <c r="BA221" s="4"/>
    </row>
    <row r="222" spans="2:53" ht="15.75" customHeight="1"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X222" s="2"/>
      <c r="AY222" s="2"/>
      <c r="AZ222" s="2"/>
      <c r="BA222" s="4"/>
    </row>
    <row r="223" spans="2:53" ht="15.75" customHeight="1"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X223" s="2"/>
      <c r="AY223" s="2"/>
      <c r="AZ223" s="2"/>
      <c r="BA223" s="4"/>
    </row>
    <row r="224" spans="2:53" ht="15.75" customHeight="1"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X224" s="2"/>
      <c r="AY224" s="2"/>
      <c r="AZ224" s="2"/>
      <c r="BA224" s="4"/>
    </row>
    <row r="225" spans="2:53" ht="15.75" customHeight="1"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X225" s="2"/>
      <c r="AY225" s="2"/>
      <c r="AZ225" s="2"/>
      <c r="BA225" s="4"/>
    </row>
    <row r="226" spans="2:53" ht="15.75" customHeight="1"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X226" s="2"/>
      <c r="AY226" s="2"/>
      <c r="AZ226" s="2"/>
      <c r="BA226" s="4"/>
    </row>
    <row r="227" spans="2:53" ht="15.75" customHeight="1"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X227" s="2"/>
      <c r="AY227" s="2"/>
      <c r="AZ227" s="2"/>
      <c r="BA227" s="4"/>
    </row>
    <row r="228" spans="2:53" ht="15.75" customHeight="1"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X228" s="2"/>
      <c r="AY228" s="2"/>
      <c r="AZ228" s="2"/>
      <c r="BA228" s="4"/>
    </row>
    <row r="229" spans="2:53" ht="15.75" customHeight="1"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X229" s="2"/>
      <c r="AY229" s="2"/>
      <c r="AZ229" s="2"/>
      <c r="BA229" s="4"/>
    </row>
    <row r="230" spans="2:53" ht="15.75" customHeight="1"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X230" s="2"/>
      <c r="AY230" s="2"/>
      <c r="AZ230" s="2"/>
      <c r="BA230" s="4"/>
    </row>
    <row r="231" spans="2:53" ht="15.75" customHeight="1"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X231" s="2"/>
      <c r="AY231" s="2"/>
      <c r="AZ231" s="2"/>
      <c r="BA231" s="4"/>
    </row>
    <row r="232" spans="2:53" ht="15.75" customHeight="1"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X232" s="2"/>
      <c r="AY232" s="2"/>
      <c r="AZ232" s="2"/>
      <c r="BA232" s="4"/>
    </row>
    <row r="233" spans="2:53" ht="15.75" customHeight="1"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X233" s="2"/>
      <c r="AY233" s="2"/>
      <c r="AZ233" s="2"/>
      <c r="BA233" s="4"/>
    </row>
    <row r="234" spans="2:53" ht="15.75" customHeight="1"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X234" s="2"/>
      <c r="AY234" s="2"/>
      <c r="AZ234" s="2"/>
      <c r="BA234" s="4"/>
    </row>
    <row r="235" spans="2:53" ht="15.75" customHeight="1"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X235" s="2"/>
      <c r="AY235" s="2"/>
      <c r="AZ235" s="2"/>
      <c r="BA235" s="4"/>
    </row>
    <row r="236" spans="2:53" ht="15.75" customHeight="1"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X236" s="2"/>
      <c r="AY236" s="2"/>
      <c r="AZ236" s="2"/>
      <c r="BA236" s="4"/>
    </row>
    <row r="237" spans="2:53" ht="15.75" customHeight="1"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X237" s="2"/>
      <c r="AY237" s="2"/>
      <c r="AZ237" s="2"/>
      <c r="BA237" s="4"/>
    </row>
    <row r="238" spans="2:53" ht="15.75" customHeight="1"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X238" s="2"/>
      <c r="AY238" s="2"/>
      <c r="AZ238" s="2"/>
      <c r="BA238" s="4"/>
    </row>
    <row r="239" spans="2:53" ht="15.75" customHeight="1"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X239" s="2"/>
      <c r="AY239" s="2"/>
      <c r="AZ239" s="2"/>
      <c r="BA239" s="4"/>
    </row>
    <row r="240" spans="2:53" ht="15.75" customHeight="1"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X240" s="2"/>
      <c r="AY240" s="2"/>
      <c r="AZ240" s="2"/>
      <c r="BA240" s="4"/>
    </row>
    <row r="241" spans="2:53" ht="15.75" customHeight="1"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X241" s="2"/>
      <c r="AY241" s="2"/>
      <c r="AZ241" s="2"/>
      <c r="BA241" s="4"/>
    </row>
    <row r="242" spans="2:53" ht="15.75" customHeight="1"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X242" s="2"/>
      <c r="AY242" s="2"/>
      <c r="AZ242" s="2"/>
      <c r="BA242" s="4"/>
    </row>
    <row r="243" spans="2:53" ht="15.75" customHeight="1"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X243" s="2"/>
      <c r="AY243" s="2"/>
      <c r="AZ243" s="2"/>
      <c r="BA243" s="4"/>
    </row>
    <row r="244" spans="2:53" ht="15.75" customHeight="1"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X244" s="2"/>
      <c r="AY244" s="2"/>
      <c r="AZ244" s="2"/>
      <c r="BA244" s="4"/>
    </row>
    <row r="245" spans="2:53" ht="15.75" customHeight="1"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X245" s="2"/>
      <c r="AY245" s="2"/>
      <c r="AZ245" s="2"/>
      <c r="BA245" s="4"/>
    </row>
    <row r="246" spans="2:53" ht="15.75" customHeight="1"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X246" s="2"/>
      <c r="AY246" s="2"/>
      <c r="AZ246" s="2"/>
      <c r="BA246" s="4"/>
    </row>
    <row r="247" spans="2:53" ht="15.75" customHeight="1"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X247" s="2"/>
      <c r="AY247" s="2"/>
      <c r="AZ247" s="2"/>
      <c r="BA247" s="4"/>
    </row>
    <row r="248" spans="2:53" ht="15.75" customHeight="1"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X248" s="2"/>
      <c r="AY248" s="2"/>
      <c r="AZ248" s="2"/>
      <c r="BA248" s="4"/>
    </row>
    <row r="249" spans="2:53" ht="15.75" customHeight="1"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X249" s="2"/>
      <c r="AY249" s="2"/>
      <c r="AZ249" s="2"/>
      <c r="BA249" s="4"/>
    </row>
    <row r="250" spans="2:53" ht="15.75" customHeight="1"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X250" s="2"/>
      <c r="AY250" s="2"/>
      <c r="AZ250" s="2"/>
      <c r="BA250" s="4"/>
    </row>
    <row r="251" spans="2:53" ht="15.75" customHeight="1"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X251" s="2"/>
      <c r="AY251" s="2"/>
      <c r="AZ251" s="2"/>
      <c r="BA251" s="4"/>
    </row>
    <row r="252" spans="2:53" ht="15.75" customHeight="1"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X252" s="2"/>
      <c r="AY252" s="2"/>
      <c r="AZ252" s="2"/>
      <c r="BA252" s="4"/>
    </row>
    <row r="253" spans="2:53" ht="15.75" customHeight="1"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X253" s="2"/>
      <c r="AY253" s="2"/>
      <c r="AZ253" s="2"/>
      <c r="BA253" s="4"/>
    </row>
    <row r="254" spans="2:53" ht="15.75" customHeight="1"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X254" s="2"/>
      <c r="AY254" s="2"/>
      <c r="AZ254" s="2"/>
      <c r="BA254" s="4"/>
    </row>
    <row r="255" spans="2:53" ht="15.75" customHeight="1"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X255" s="2"/>
      <c r="AY255" s="2"/>
      <c r="AZ255" s="2"/>
      <c r="BA255" s="4"/>
    </row>
    <row r="256" spans="2:53" ht="15.75" customHeight="1"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X256" s="2"/>
      <c r="AY256" s="2"/>
      <c r="AZ256" s="2"/>
      <c r="BA256" s="4"/>
    </row>
    <row r="257" spans="2:53" ht="15.75" customHeight="1"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X257" s="2"/>
      <c r="AY257" s="2"/>
      <c r="AZ257" s="2"/>
      <c r="BA257" s="4"/>
    </row>
    <row r="258" spans="2:53" ht="15.75" customHeight="1"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X258" s="2"/>
      <c r="AY258" s="2"/>
      <c r="AZ258" s="2"/>
      <c r="BA258" s="4"/>
    </row>
    <row r="259" spans="2:53" ht="15.75" customHeight="1"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X259" s="2"/>
      <c r="AY259" s="2"/>
      <c r="AZ259" s="2"/>
      <c r="BA259" s="4"/>
    </row>
    <row r="260" spans="2:53" ht="15.75" customHeight="1"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X260" s="2"/>
      <c r="AY260" s="2"/>
      <c r="AZ260" s="2"/>
      <c r="BA260" s="4"/>
    </row>
    <row r="261" spans="2:53" ht="15.75" customHeight="1"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X261" s="2"/>
      <c r="AY261" s="2"/>
      <c r="AZ261" s="2"/>
      <c r="BA261" s="4"/>
    </row>
    <row r="262" spans="2:53" ht="15.75" customHeight="1"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X262" s="2"/>
      <c r="AY262" s="2"/>
      <c r="AZ262" s="2"/>
      <c r="BA262" s="4"/>
    </row>
    <row r="263" spans="2:53" ht="15.75" customHeight="1"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X263" s="2"/>
      <c r="AY263" s="2"/>
      <c r="AZ263" s="2"/>
      <c r="BA263" s="4"/>
    </row>
    <row r="264" spans="2:53" ht="15.75" customHeight="1"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X264" s="2"/>
      <c r="AY264" s="2"/>
      <c r="AZ264" s="2"/>
      <c r="BA264" s="4"/>
    </row>
    <row r="265" spans="2:53" ht="15.75" customHeight="1"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X265" s="2"/>
      <c r="AY265" s="2"/>
      <c r="AZ265" s="2"/>
      <c r="BA265" s="4"/>
    </row>
    <row r="266" spans="2:53" ht="15.75" customHeight="1"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X266" s="2"/>
      <c r="AY266" s="2"/>
      <c r="AZ266" s="2"/>
      <c r="BA266" s="4"/>
    </row>
    <row r="267" spans="2:53" ht="15.75" customHeight="1"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X267" s="2"/>
      <c r="AY267" s="2"/>
      <c r="AZ267" s="2"/>
      <c r="BA267" s="4"/>
    </row>
    <row r="268" spans="2:53" ht="15.75" customHeight="1"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X268" s="2"/>
      <c r="AY268" s="2"/>
      <c r="AZ268" s="2"/>
      <c r="BA268" s="4"/>
    </row>
    <row r="269" spans="2:53" ht="15.75" customHeight="1"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X269" s="2"/>
      <c r="AY269" s="2"/>
      <c r="AZ269" s="2"/>
      <c r="BA269" s="4"/>
    </row>
    <row r="270" spans="2:53" ht="15.75" customHeight="1"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X270" s="2"/>
      <c r="AY270" s="2"/>
      <c r="AZ270" s="2"/>
      <c r="BA270" s="4"/>
    </row>
    <row r="271" spans="2:53" ht="15.75" customHeight="1"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X271" s="2"/>
      <c r="AY271" s="2"/>
      <c r="AZ271" s="2"/>
      <c r="BA271" s="4"/>
    </row>
    <row r="272" spans="2:53" ht="15.75" customHeight="1"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X272" s="2"/>
      <c r="AY272" s="2"/>
      <c r="AZ272" s="2"/>
      <c r="BA272" s="4"/>
    </row>
    <row r="273" spans="2:53" ht="15.75" customHeight="1"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X273" s="2"/>
      <c r="AY273" s="2"/>
      <c r="AZ273" s="2"/>
      <c r="BA273" s="4"/>
    </row>
    <row r="274" spans="2:53" ht="15.75" customHeight="1"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X274" s="2"/>
      <c r="AY274" s="2"/>
      <c r="AZ274" s="2"/>
      <c r="BA274" s="4"/>
    </row>
    <row r="275" spans="2:53" ht="15.75" customHeight="1"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X275" s="2"/>
      <c r="AY275" s="2"/>
      <c r="AZ275" s="2"/>
      <c r="BA275" s="4"/>
    </row>
    <row r="276" spans="2:53" ht="15.75" customHeight="1"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X276" s="2"/>
      <c r="AY276" s="2"/>
      <c r="AZ276" s="2"/>
      <c r="BA276" s="4"/>
    </row>
    <row r="277" spans="2:53" ht="15.75" customHeight="1"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X277" s="2"/>
      <c r="AY277" s="2"/>
      <c r="AZ277" s="2"/>
      <c r="BA277" s="4"/>
    </row>
    <row r="278" spans="2:53" ht="15.75" customHeight="1"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X278" s="2"/>
      <c r="AY278" s="2"/>
      <c r="AZ278" s="2"/>
      <c r="BA278" s="4"/>
    </row>
    <row r="279" spans="2:53" ht="15.75" customHeight="1"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X279" s="2"/>
      <c r="AY279" s="2"/>
      <c r="AZ279" s="2"/>
      <c r="BA279" s="4"/>
    </row>
    <row r="280" spans="2:53" ht="15.75" customHeight="1"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X280" s="2"/>
      <c r="AY280" s="2"/>
      <c r="AZ280" s="2"/>
      <c r="BA280" s="4"/>
    </row>
    <row r="281" spans="2:53" ht="15.75" customHeight="1"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X281" s="2"/>
      <c r="AY281" s="2"/>
      <c r="AZ281" s="2"/>
      <c r="BA281" s="4"/>
    </row>
    <row r="282" spans="2:53" ht="15.75" customHeight="1"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X282" s="2"/>
      <c r="AY282" s="2"/>
      <c r="AZ282" s="2"/>
      <c r="BA282" s="4"/>
    </row>
    <row r="283" spans="2:53" ht="15.75" customHeight="1"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X283" s="2"/>
      <c r="AY283" s="2"/>
      <c r="AZ283" s="2"/>
      <c r="BA283" s="4"/>
    </row>
    <row r="284" spans="2:53" ht="15.75" customHeight="1"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X284" s="2"/>
      <c r="AY284" s="2"/>
      <c r="AZ284" s="2"/>
      <c r="BA284" s="4"/>
    </row>
    <row r="285" spans="2:53" ht="15.75" customHeight="1"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X285" s="2"/>
      <c r="AY285" s="2"/>
      <c r="AZ285" s="2"/>
      <c r="BA285" s="4"/>
    </row>
    <row r="286" spans="2:53" ht="15.75" customHeight="1"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X286" s="2"/>
      <c r="AY286" s="2"/>
      <c r="AZ286" s="2"/>
      <c r="BA286" s="4"/>
    </row>
    <row r="287" spans="2:53" ht="15.75" customHeight="1"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X287" s="2"/>
      <c r="AY287" s="2"/>
      <c r="AZ287" s="2"/>
      <c r="BA287" s="4"/>
    </row>
    <row r="288" spans="2:53" ht="15.75" customHeight="1"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X288" s="2"/>
      <c r="AY288" s="2"/>
      <c r="AZ288" s="2"/>
      <c r="BA288" s="4"/>
    </row>
    <row r="289" spans="2:53" ht="15.75" customHeight="1"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X289" s="2"/>
      <c r="AY289" s="2"/>
      <c r="AZ289" s="2"/>
      <c r="BA289" s="4"/>
    </row>
    <row r="290" spans="2:53" ht="15.75" customHeight="1"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X290" s="2"/>
      <c r="AY290" s="2"/>
      <c r="AZ290" s="2"/>
      <c r="BA290" s="4"/>
    </row>
    <row r="291" spans="2:53" ht="15.75" customHeight="1"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X291" s="2"/>
      <c r="AY291" s="2"/>
      <c r="AZ291" s="2"/>
      <c r="BA291" s="4"/>
    </row>
    <row r="292" spans="2:53" ht="15.75" customHeight="1"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X292" s="2"/>
      <c r="AY292" s="2"/>
      <c r="AZ292" s="2"/>
      <c r="BA292" s="4"/>
    </row>
    <row r="293" spans="2:53" ht="15.75" customHeight="1"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X293" s="2"/>
      <c r="AY293" s="2"/>
      <c r="AZ293" s="2"/>
      <c r="BA293" s="4"/>
    </row>
    <row r="294" spans="2:53" ht="15.75" customHeight="1"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X294" s="2"/>
      <c r="AY294" s="2"/>
      <c r="AZ294" s="2"/>
      <c r="BA294" s="4"/>
    </row>
    <row r="295" spans="2:53" ht="15.75" customHeight="1"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X295" s="2"/>
      <c r="AY295" s="2"/>
      <c r="AZ295" s="2"/>
      <c r="BA295" s="4"/>
    </row>
    <row r="296" spans="2:53" ht="15.75" customHeight="1"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X296" s="2"/>
      <c r="AY296" s="2"/>
      <c r="AZ296" s="2"/>
      <c r="BA296" s="4"/>
    </row>
    <row r="297" spans="2:53" ht="15.75" customHeight="1"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X297" s="2"/>
      <c r="AY297" s="2"/>
      <c r="AZ297" s="2"/>
      <c r="BA297" s="4"/>
    </row>
    <row r="298" spans="2:53" ht="15.75" customHeight="1"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X298" s="2"/>
      <c r="AY298" s="2"/>
      <c r="AZ298" s="2"/>
      <c r="BA298" s="4"/>
    </row>
    <row r="299" spans="2:53" ht="15.75" customHeight="1"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X299" s="2"/>
      <c r="AY299" s="2"/>
      <c r="AZ299" s="2"/>
      <c r="BA299" s="4"/>
    </row>
    <row r="300" spans="2:53" ht="15.75" customHeight="1"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X300" s="2"/>
      <c r="AY300" s="2"/>
      <c r="AZ300" s="2"/>
      <c r="BA300" s="4"/>
    </row>
    <row r="301" spans="2:53" ht="15.75" customHeight="1"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X301" s="2"/>
      <c r="AY301" s="2"/>
      <c r="AZ301" s="2"/>
      <c r="BA301" s="4"/>
    </row>
    <row r="302" spans="2:53" ht="15.75" customHeight="1"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X302" s="2"/>
      <c r="AY302" s="2"/>
      <c r="AZ302" s="2"/>
      <c r="BA302" s="4"/>
    </row>
    <row r="303" spans="2:53" ht="15.75" customHeight="1"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X303" s="2"/>
      <c r="AY303" s="2"/>
      <c r="AZ303" s="2"/>
      <c r="BA303" s="4"/>
    </row>
    <row r="304" spans="2:53" ht="15.75" customHeight="1"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X304" s="2"/>
      <c r="AY304" s="2"/>
      <c r="AZ304" s="2"/>
      <c r="BA304" s="4"/>
    </row>
    <row r="305" spans="2:53" ht="15.75" customHeight="1"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X305" s="2"/>
      <c r="AY305" s="2"/>
      <c r="AZ305" s="2"/>
      <c r="BA305" s="4"/>
    </row>
    <row r="306" spans="2:53" ht="15.75" customHeight="1"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X306" s="2"/>
      <c r="AY306" s="2"/>
      <c r="AZ306" s="2"/>
      <c r="BA306" s="4"/>
    </row>
    <row r="307" spans="2:53" ht="15.75" customHeight="1"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X307" s="2"/>
      <c r="AY307" s="2"/>
      <c r="AZ307" s="2"/>
      <c r="BA307" s="4"/>
    </row>
    <row r="308" spans="2:53" ht="15.75" customHeight="1"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X308" s="2"/>
      <c r="AY308" s="2"/>
      <c r="AZ308" s="2"/>
      <c r="BA308" s="4"/>
    </row>
    <row r="309" spans="2:53" ht="15.75" customHeight="1"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X309" s="2"/>
      <c r="AY309" s="2"/>
      <c r="AZ309" s="2"/>
      <c r="BA309" s="4"/>
    </row>
    <row r="310" spans="2:53" ht="15.75" customHeight="1"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X310" s="2"/>
      <c r="AY310" s="2"/>
      <c r="AZ310" s="2"/>
      <c r="BA310" s="4"/>
    </row>
    <row r="311" spans="2:53" ht="15.75" customHeight="1"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X311" s="2"/>
      <c r="AY311" s="2"/>
      <c r="AZ311" s="2"/>
      <c r="BA311" s="4"/>
    </row>
    <row r="312" spans="2:53" ht="15.75" customHeight="1"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X312" s="2"/>
      <c r="AY312" s="2"/>
      <c r="AZ312" s="2"/>
      <c r="BA312" s="4"/>
    </row>
    <row r="313" spans="2:53" ht="15.75" customHeight="1"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X313" s="2"/>
      <c r="AY313" s="2"/>
      <c r="AZ313" s="2"/>
      <c r="BA313" s="4"/>
    </row>
    <row r="314" spans="2:53" ht="15.75" customHeight="1"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X314" s="2"/>
      <c r="AY314" s="2"/>
      <c r="AZ314" s="2"/>
      <c r="BA314" s="4"/>
    </row>
    <row r="315" spans="2:53" ht="15.75" customHeight="1"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X315" s="2"/>
      <c r="AY315" s="2"/>
      <c r="AZ315" s="2"/>
      <c r="BA315" s="4"/>
    </row>
    <row r="316" spans="2:53" ht="15.75" customHeight="1"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X316" s="2"/>
      <c r="AY316" s="2"/>
      <c r="AZ316" s="2"/>
      <c r="BA316" s="4"/>
    </row>
    <row r="317" spans="2:53" ht="15.75" customHeight="1"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X317" s="2"/>
      <c r="AY317" s="2"/>
      <c r="AZ317" s="2"/>
      <c r="BA317" s="4"/>
    </row>
    <row r="318" spans="2:53" ht="15.75" customHeight="1"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X318" s="2"/>
      <c r="AY318" s="2"/>
      <c r="AZ318" s="2"/>
      <c r="BA318" s="4"/>
    </row>
    <row r="319" spans="2:53" ht="15.75" customHeight="1"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X319" s="2"/>
      <c r="AY319" s="2"/>
      <c r="AZ319" s="2"/>
      <c r="BA319" s="4"/>
    </row>
    <row r="320" spans="2:53" ht="15.75" customHeight="1"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X320" s="2"/>
      <c r="AY320" s="2"/>
      <c r="AZ320" s="2"/>
      <c r="BA320" s="4"/>
    </row>
    <row r="321" spans="2:53" ht="15.75" customHeight="1"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X321" s="2"/>
      <c r="AY321" s="2"/>
      <c r="AZ321" s="2"/>
      <c r="BA321" s="4"/>
    </row>
    <row r="322" spans="2:53" ht="15.75" customHeight="1"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X322" s="2"/>
      <c r="AY322" s="2"/>
      <c r="AZ322" s="2"/>
      <c r="BA322" s="4"/>
    </row>
    <row r="323" spans="2:53" ht="15.75" customHeight="1"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X323" s="2"/>
      <c r="AY323" s="2"/>
      <c r="AZ323" s="2"/>
      <c r="BA323" s="4"/>
    </row>
    <row r="324" spans="2:53" ht="15.75" customHeight="1"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X324" s="2"/>
      <c r="AY324" s="2"/>
      <c r="AZ324" s="2"/>
      <c r="BA324" s="4"/>
    </row>
    <row r="325" spans="2:53" ht="15.75" customHeight="1"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X325" s="2"/>
      <c r="AY325" s="2"/>
      <c r="AZ325" s="2"/>
      <c r="BA325" s="4"/>
    </row>
    <row r="326" spans="2:53" ht="15.75" customHeight="1"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X326" s="2"/>
      <c r="AY326" s="2"/>
      <c r="AZ326" s="2"/>
      <c r="BA326" s="4"/>
    </row>
    <row r="327" spans="2:53" ht="15.75" customHeight="1"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X327" s="2"/>
      <c r="AY327" s="2"/>
      <c r="AZ327" s="2"/>
      <c r="BA327" s="4"/>
    </row>
    <row r="328" spans="2:53" ht="15.75" customHeight="1"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X328" s="2"/>
      <c r="AY328" s="2"/>
      <c r="AZ328" s="2"/>
      <c r="BA328" s="4"/>
    </row>
    <row r="329" spans="2:53" ht="15.75" customHeight="1"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X329" s="2"/>
      <c r="AY329" s="2"/>
      <c r="AZ329" s="2"/>
      <c r="BA329" s="4"/>
    </row>
    <row r="330" spans="2:53" ht="15.75" customHeight="1"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X330" s="2"/>
      <c r="AY330" s="2"/>
      <c r="AZ330" s="2"/>
      <c r="BA330" s="4"/>
    </row>
    <row r="331" spans="2:53" ht="15.75" customHeight="1"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X331" s="2"/>
      <c r="AY331" s="2"/>
      <c r="AZ331" s="2"/>
      <c r="BA331" s="4"/>
    </row>
    <row r="332" spans="2:53" ht="15.75" customHeight="1"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X332" s="2"/>
      <c r="AY332" s="2"/>
      <c r="AZ332" s="2"/>
      <c r="BA332" s="4"/>
    </row>
    <row r="333" spans="2:53" ht="15.75" customHeight="1"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X333" s="2"/>
      <c r="AY333" s="2"/>
      <c r="AZ333" s="2"/>
      <c r="BA333" s="4"/>
    </row>
    <row r="334" spans="2:53" ht="15.75" customHeight="1"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X334" s="2"/>
      <c r="AY334" s="2"/>
      <c r="AZ334" s="2"/>
      <c r="BA334" s="4"/>
    </row>
    <row r="335" spans="2:53" ht="15.75" customHeight="1"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X335" s="2"/>
      <c r="AY335" s="2"/>
      <c r="AZ335" s="2"/>
      <c r="BA335" s="4"/>
    </row>
    <row r="336" spans="2:53" ht="15.75" customHeight="1"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X336" s="2"/>
      <c r="AY336" s="2"/>
      <c r="AZ336" s="2"/>
      <c r="BA336" s="4"/>
    </row>
    <row r="337" spans="2:53" ht="15.75" customHeight="1"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X337" s="2"/>
      <c r="AY337" s="2"/>
      <c r="AZ337" s="2"/>
      <c r="BA337" s="4"/>
    </row>
    <row r="338" spans="2:53" ht="15.75" customHeight="1"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X338" s="2"/>
      <c r="AY338" s="2"/>
      <c r="AZ338" s="2"/>
      <c r="BA338" s="4"/>
    </row>
    <row r="339" spans="2:53" ht="15.75" customHeight="1"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X339" s="2"/>
      <c r="AY339" s="2"/>
      <c r="AZ339" s="2"/>
      <c r="BA339" s="4"/>
    </row>
    <row r="340" spans="2:53" ht="15.75" customHeight="1"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X340" s="2"/>
      <c r="AY340" s="2"/>
      <c r="AZ340" s="2"/>
      <c r="BA340" s="4"/>
    </row>
    <row r="341" spans="2:53" ht="15.75" customHeight="1"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X341" s="2"/>
      <c r="AY341" s="2"/>
      <c r="AZ341" s="2"/>
      <c r="BA341" s="4"/>
    </row>
    <row r="342" spans="2:53" ht="15.75" customHeight="1"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X342" s="2"/>
      <c r="AY342" s="2"/>
      <c r="AZ342" s="2"/>
      <c r="BA342" s="4"/>
    </row>
    <row r="343" spans="2:53" ht="15.75" customHeight="1"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X343" s="2"/>
      <c r="AY343" s="2"/>
      <c r="AZ343" s="2"/>
      <c r="BA343" s="4"/>
    </row>
    <row r="344" spans="2:53" ht="15.75" customHeight="1"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X344" s="2"/>
      <c r="AY344" s="2"/>
      <c r="AZ344" s="2"/>
      <c r="BA344" s="4"/>
    </row>
    <row r="345" spans="2:53" ht="15.75" customHeight="1"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X345" s="2"/>
      <c r="AY345" s="2"/>
      <c r="AZ345" s="2"/>
      <c r="BA345" s="4"/>
    </row>
    <row r="346" spans="2:53" ht="15.75" customHeight="1"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X346" s="2"/>
      <c r="AY346" s="2"/>
      <c r="AZ346" s="2"/>
      <c r="BA346" s="4"/>
    </row>
    <row r="347" spans="2:53" ht="15.75" customHeight="1"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X347" s="2"/>
      <c r="AY347" s="2"/>
      <c r="AZ347" s="2"/>
      <c r="BA347" s="4"/>
    </row>
    <row r="348" spans="2:53" ht="15.75" customHeight="1"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X348" s="2"/>
      <c r="AY348" s="2"/>
      <c r="AZ348" s="2"/>
      <c r="BA348" s="4"/>
    </row>
    <row r="349" spans="2:53" ht="15.75" customHeight="1"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X349" s="2"/>
      <c r="AY349" s="2"/>
      <c r="AZ349" s="2"/>
      <c r="BA349" s="4"/>
    </row>
    <row r="350" spans="2:53" ht="15.75" customHeight="1"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X350" s="2"/>
      <c r="AY350" s="2"/>
      <c r="AZ350" s="2"/>
      <c r="BA350" s="4"/>
    </row>
    <row r="351" spans="2:53" ht="15.75" customHeight="1"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X351" s="2"/>
      <c r="AY351" s="2"/>
      <c r="AZ351" s="2"/>
      <c r="BA351" s="4"/>
    </row>
    <row r="352" spans="2:53" ht="15.75" customHeight="1"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X352" s="2"/>
      <c r="AY352" s="2"/>
      <c r="AZ352" s="2"/>
      <c r="BA352" s="4"/>
    </row>
    <row r="353" spans="2:53" ht="15.75" customHeight="1"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X353" s="2"/>
      <c r="AY353" s="2"/>
      <c r="AZ353" s="2"/>
      <c r="BA353" s="4"/>
    </row>
    <row r="354" spans="2:53" ht="15.75" customHeight="1"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X354" s="2"/>
      <c r="AY354" s="2"/>
      <c r="AZ354" s="2"/>
      <c r="BA354" s="4"/>
    </row>
    <row r="355" spans="2:53" ht="15.75" customHeight="1"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X355" s="2"/>
      <c r="AY355" s="2"/>
      <c r="AZ355" s="2"/>
      <c r="BA355" s="4"/>
    </row>
    <row r="356" spans="2:53" ht="15.75" customHeight="1"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X356" s="2"/>
      <c r="AY356" s="2"/>
      <c r="AZ356" s="2"/>
      <c r="BA356" s="4"/>
    </row>
    <row r="357" spans="2:53" ht="15.75" customHeight="1"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X357" s="2"/>
      <c r="AY357" s="2"/>
      <c r="AZ357" s="2"/>
      <c r="BA357" s="4"/>
    </row>
    <row r="358" spans="2:53" ht="15.75" customHeight="1"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X358" s="2"/>
      <c r="AY358" s="2"/>
      <c r="AZ358" s="2"/>
      <c r="BA358" s="4"/>
    </row>
    <row r="359" spans="2:53" ht="15.75" customHeight="1"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X359" s="2"/>
      <c r="AY359" s="2"/>
      <c r="AZ359" s="2"/>
      <c r="BA359" s="4"/>
    </row>
    <row r="360" spans="2:53" ht="15.75" customHeight="1"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X360" s="2"/>
      <c r="AY360" s="2"/>
      <c r="AZ360" s="2"/>
      <c r="BA360" s="4"/>
    </row>
    <row r="361" spans="2:53" ht="15.75" customHeight="1"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X361" s="2"/>
      <c r="AY361" s="2"/>
      <c r="AZ361" s="2"/>
      <c r="BA361" s="4"/>
    </row>
    <row r="362" spans="2:53" ht="15.75" customHeight="1"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X362" s="2"/>
      <c r="AY362" s="2"/>
      <c r="AZ362" s="2"/>
      <c r="BA362" s="4"/>
    </row>
    <row r="363" spans="2:53" ht="15.75" customHeight="1"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X363" s="2"/>
      <c r="AY363" s="2"/>
      <c r="AZ363" s="2"/>
      <c r="BA363" s="4"/>
    </row>
    <row r="364" spans="2:53" ht="15.75" customHeight="1"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X364" s="2"/>
      <c r="AY364" s="2"/>
      <c r="AZ364" s="2"/>
      <c r="BA364" s="4"/>
    </row>
    <row r="365" spans="2:53" ht="15.75" customHeight="1"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X365" s="2"/>
      <c r="AY365" s="2"/>
      <c r="AZ365" s="2"/>
      <c r="BA365" s="4"/>
    </row>
    <row r="366" spans="2:53" ht="15.75" customHeight="1"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X366" s="2"/>
      <c r="AY366" s="2"/>
      <c r="AZ366" s="2"/>
      <c r="BA366" s="4"/>
    </row>
    <row r="367" spans="2:53" ht="15.75" customHeight="1"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X367" s="2"/>
      <c r="AY367" s="2"/>
      <c r="AZ367" s="2"/>
      <c r="BA367" s="4"/>
    </row>
    <row r="368" spans="2:53" ht="15.75" customHeight="1"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X368" s="2"/>
      <c r="AY368" s="2"/>
      <c r="AZ368" s="2"/>
      <c r="BA368" s="4"/>
    </row>
    <row r="369" spans="2:53" ht="15.75" customHeight="1"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X369" s="2"/>
      <c r="AY369" s="2"/>
      <c r="AZ369" s="2"/>
      <c r="BA369" s="4"/>
    </row>
    <row r="370" spans="2:53" ht="15.75" customHeight="1"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X370" s="2"/>
      <c r="AY370" s="2"/>
      <c r="AZ370" s="2"/>
      <c r="BA370" s="4"/>
    </row>
    <row r="371" spans="2:53" ht="15.75" customHeight="1"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X371" s="2"/>
      <c r="AY371" s="2"/>
      <c r="AZ371" s="2"/>
      <c r="BA371" s="4"/>
    </row>
    <row r="372" spans="2:53" ht="15.75" customHeight="1"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X372" s="2"/>
      <c r="AY372" s="2"/>
      <c r="AZ372" s="2"/>
      <c r="BA372" s="4"/>
    </row>
    <row r="373" spans="2:53" ht="15.75" customHeight="1"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X373" s="2"/>
      <c r="AY373" s="2"/>
      <c r="AZ373" s="2"/>
      <c r="BA373" s="4"/>
    </row>
    <row r="374" spans="2:53" ht="15.75" customHeight="1"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X374" s="2"/>
      <c r="AY374" s="2"/>
      <c r="AZ374" s="2"/>
      <c r="BA374" s="4"/>
    </row>
    <row r="375" spans="2:53" ht="15.75" customHeight="1"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X375" s="2"/>
      <c r="AY375" s="2"/>
      <c r="AZ375" s="2"/>
      <c r="BA375" s="4"/>
    </row>
    <row r="376" spans="2:53" ht="15.75" customHeight="1"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X376" s="2"/>
      <c r="AY376" s="2"/>
      <c r="AZ376" s="2"/>
      <c r="BA376" s="4"/>
    </row>
    <row r="377" spans="2:53" ht="15.75" customHeight="1"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X377" s="2"/>
      <c r="AY377" s="2"/>
      <c r="AZ377" s="2"/>
      <c r="BA377" s="4"/>
    </row>
    <row r="378" spans="2:53" ht="15.75" customHeight="1"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X378" s="2"/>
      <c r="AY378" s="2"/>
      <c r="AZ378" s="2"/>
      <c r="BA378" s="4"/>
    </row>
    <row r="379" spans="2:53" ht="15.75" customHeight="1"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X379" s="2"/>
      <c r="AY379" s="2"/>
      <c r="AZ379" s="2"/>
      <c r="BA379" s="4"/>
    </row>
    <row r="380" spans="2:53" ht="15.75" customHeight="1"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X380" s="2"/>
      <c r="AY380" s="2"/>
      <c r="AZ380" s="2"/>
      <c r="BA380" s="4"/>
    </row>
    <row r="381" spans="2:53" ht="15.75" customHeight="1"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X381" s="2"/>
      <c r="AY381" s="2"/>
      <c r="AZ381" s="2"/>
      <c r="BA381" s="4"/>
    </row>
    <row r="382" spans="2:53" ht="15.75" customHeight="1"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X382" s="2"/>
      <c r="AY382" s="2"/>
      <c r="AZ382" s="2"/>
      <c r="BA382" s="4"/>
    </row>
    <row r="383" spans="2:53" ht="15.75" customHeight="1"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X383" s="2"/>
      <c r="AY383" s="2"/>
      <c r="AZ383" s="2"/>
      <c r="BA383" s="4"/>
    </row>
    <row r="384" spans="2:53" ht="15.75" customHeight="1"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X384" s="2"/>
      <c r="AY384" s="2"/>
      <c r="AZ384" s="2"/>
      <c r="BA384" s="4"/>
    </row>
    <row r="385" spans="2:53" ht="15.75" customHeight="1"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X385" s="2"/>
      <c r="AY385" s="2"/>
      <c r="AZ385" s="2"/>
      <c r="BA385" s="4"/>
    </row>
    <row r="386" spans="2:53" ht="15.75" customHeight="1"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X386" s="2"/>
      <c r="AY386" s="2"/>
      <c r="AZ386" s="2"/>
      <c r="BA386" s="4"/>
    </row>
    <row r="387" spans="2:53" ht="15.75" customHeight="1"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X387" s="2"/>
      <c r="AY387" s="2"/>
      <c r="AZ387" s="2"/>
      <c r="BA387" s="4"/>
    </row>
    <row r="388" spans="2:53" ht="15.75" customHeight="1"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X388" s="2"/>
      <c r="AY388" s="2"/>
      <c r="AZ388" s="2"/>
      <c r="BA388" s="4"/>
    </row>
    <row r="389" spans="2:53" ht="15.75" customHeight="1"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X389" s="2"/>
      <c r="AY389" s="2"/>
      <c r="AZ389" s="2"/>
      <c r="BA389" s="4"/>
    </row>
    <row r="390" spans="2:53" ht="15.75" customHeight="1"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X390" s="2"/>
      <c r="AY390" s="2"/>
      <c r="AZ390" s="2"/>
      <c r="BA390" s="4"/>
    </row>
    <row r="391" spans="2:53" ht="15.75" customHeight="1"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X391" s="2"/>
      <c r="AY391" s="2"/>
      <c r="AZ391" s="2"/>
      <c r="BA391" s="4"/>
    </row>
    <row r="392" spans="2:53" ht="15.75" customHeight="1"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X392" s="2"/>
      <c r="AY392" s="2"/>
      <c r="AZ392" s="2"/>
      <c r="BA392" s="4"/>
    </row>
    <row r="393" spans="2:53" ht="15.75" customHeight="1"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X393" s="2"/>
      <c r="AY393" s="2"/>
      <c r="AZ393" s="2"/>
      <c r="BA393" s="4"/>
    </row>
    <row r="394" spans="2:53" ht="15.75" customHeight="1"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X394" s="2"/>
      <c r="AY394" s="2"/>
      <c r="AZ394" s="2"/>
      <c r="BA394" s="4"/>
    </row>
    <row r="395" spans="2:53" ht="15.75" customHeight="1"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X395" s="2"/>
      <c r="AY395" s="2"/>
      <c r="AZ395" s="2"/>
      <c r="BA395" s="4"/>
    </row>
    <row r="396" spans="2:53" ht="15.75" customHeight="1"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X396" s="2"/>
      <c r="AY396" s="2"/>
      <c r="AZ396" s="2"/>
      <c r="BA396" s="4"/>
    </row>
    <row r="397" spans="2:53" ht="15.75" customHeight="1"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X397" s="2"/>
      <c r="AY397" s="2"/>
      <c r="AZ397" s="2"/>
      <c r="BA397" s="4"/>
    </row>
    <row r="398" spans="2:53" ht="15.75" customHeight="1"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X398" s="2"/>
      <c r="AY398" s="2"/>
      <c r="AZ398" s="2"/>
      <c r="BA398" s="4"/>
    </row>
    <row r="399" spans="2:53" ht="15.75" customHeight="1"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X399" s="2"/>
      <c r="AY399" s="2"/>
      <c r="AZ399" s="2"/>
      <c r="BA399" s="4"/>
    </row>
    <row r="400" spans="2:53" ht="15.75" customHeight="1"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X400" s="2"/>
      <c r="AY400" s="2"/>
      <c r="AZ400" s="2"/>
      <c r="BA400" s="4"/>
    </row>
    <row r="401" spans="2:53" ht="15.75" customHeight="1"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X401" s="2"/>
      <c r="AY401" s="2"/>
      <c r="AZ401" s="2"/>
      <c r="BA401" s="4"/>
    </row>
    <row r="402" spans="2:53" ht="15.75" customHeight="1"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X402" s="2"/>
      <c r="AY402" s="2"/>
      <c r="AZ402" s="2"/>
      <c r="BA402" s="4"/>
    </row>
    <row r="403" spans="2:53" ht="15.75" customHeight="1"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X403" s="2"/>
      <c r="AY403" s="2"/>
      <c r="AZ403" s="2"/>
      <c r="BA403" s="4"/>
    </row>
    <row r="404" spans="2:53" ht="15.75" customHeight="1"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X404" s="2"/>
      <c r="AY404" s="2"/>
      <c r="AZ404" s="2"/>
      <c r="BA404" s="4"/>
    </row>
    <row r="405" spans="2:53" ht="15.75" customHeight="1"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X405" s="2"/>
      <c r="AY405" s="2"/>
      <c r="AZ405" s="2"/>
      <c r="BA405" s="4"/>
    </row>
    <row r="406" spans="2:53" ht="15.75" customHeight="1"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X406" s="2"/>
      <c r="AY406" s="2"/>
      <c r="AZ406" s="2"/>
      <c r="BA406" s="4"/>
    </row>
    <row r="407" spans="2:53" ht="15.75" customHeight="1"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X407" s="2"/>
      <c r="AY407" s="2"/>
      <c r="AZ407" s="2"/>
      <c r="BA407" s="4"/>
    </row>
    <row r="408" spans="2:53" ht="15.75" customHeight="1"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X408" s="2"/>
      <c r="AY408" s="2"/>
      <c r="AZ408" s="2"/>
      <c r="BA408" s="4"/>
    </row>
    <row r="409" spans="2:53" ht="15.75" customHeight="1"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X409" s="2"/>
      <c r="AY409" s="2"/>
      <c r="AZ409" s="2"/>
      <c r="BA409" s="4"/>
    </row>
    <row r="410" spans="2:53" ht="15.75" customHeight="1"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X410" s="2"/>
      <c r="AY410" s="2"/>
      <c r="AZ410" s="2"/>
      <c r="BA410" s="4"/>
    </row>
    <row r="411" spans="2:53" ht="15.75" customHeight="1"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X411" s="2"/>
      <c r="AY411" s="2"/>
      <c r="AZ411" s="2"/>
      <c r="BA411" s="4"/>
    </row>
    <row r="412" spans="2:53" ht="15.75" customHeight="1"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X412" s="2"/>
      <c r="AY412" s="2"/>
      <c r="AZ412" s="2"/>
      <c r="BA412" s="4"/>
    </row>
    <row r="413" spans="2:53" ht="15.75" customHeight="1"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X413" s="2"/>
      <c r="AY413" s="2"/>
      <c r="AZ413" s="2"/>
      <c r="BA413" s="4"/>
    </row>
    <row r="414" spans="2:53" ht="15.75" customHeight="1"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X414" s="2"/>
      <c r="AY414" s="2"/>
      <c r="AZ414" s="2"/>
      <c r="BA414" s="4"/>
    </row>
    <row r="415" spans="2:53" ht="15.75" customHeight="1"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X415" s="2"/>
      <c r="AY415" s="2"/>
      <c r="AZ415" s="2"/>
      <c r="BA415" s="4"/>
    </row>
    <row r="416" spans="2:53" ht="15.75" customHeight="1"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X416" s="2"/>
      <c r="AY416" s="2"/>
      <c r="AZ416" s="2"/>
      <c r="BA416" s="4"/>
    </row>
    <row r="417" spans="2:53" ht="15.75" customHeight="1"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X417" s="2"/>
      <c r="AY417" s="2"/>
      <c r="AZ417" s="2"/>
      <c r="BA417" s="4"/>
    </row>
    <row r="418" spans="2:53" ht="15.75" customHeight="1"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X418" s="2"/>
      <c r="AY418" s="2"/>
      <c r="AZ418" s="2"/>
      <c r="BA418" s="4"/>
    </row>
    <row r="419" spans="2:53" ht="15.75" customHeight="1"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X419" s="2"/>
      <c r="AY419" s="2"/>
      <c r="AZ419" s="2"/>
      <c r="BA419" s="4"/>
    </row>
    <row r="420" spans="2:53" ht="15.75" customHeight="1"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X420" s="2"/>
      <c r="AY420" s="2"/>
      <c r="AZ420" s="2"/>
      <c r="BA420" s="4"/>
    </row>
    <row r="421" spans="2:53" ht="15.75" customHeight="1"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X421" s="2"/>
      <c r="AY421" s="2"/>
      <c r="AZ421" s="2"/>
      <c r="BA421" s="4"/>
    </row>
    <row r="422" spans="2:53" ht="15.75" customHeight="1"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X422" s="2"/>
      <c r="AY422" s="2"/>
      <c r="AZ422" s="2"/>
      <c r="BA422" s="4"/>
    </row>
    <row r="423" spans="2:53" ht="15.75" customHeight="1"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X423" s="2"/>
      <c r="AY423" s="2"/>
      <c r="AZ423" s="2"/>
      <c r="BA423" s="4"/>
    </row>
    <row r="424" spans="2:53" ht="15.75" customHeight="1"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X424" s="2"/>
      <c r="AY424" s="2"/>
      <c r="AZ424" s="2"/>
      <c r="BA424" s="4"/>
    </row>
    <row r="425" spans="2:53" ht="15.75" customHeight="1"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X425" s="2"/>
      <c r="AY425" s="2"/>
      <c r="AZ425" s="2"/>
      <c r="BA425" s="4"/>
    </row>
    <row r="426" spans="2:53" ht="15.75" customHeight="1"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X426" s="2"/>
      <c r="AY426" s="2"/>
      <c r="AZ426" s="2"/>
      <c r="BA426" s="4"/>
    </row>
    <row r="427" spans="2:53" ht="15.75" customHeight="1"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X427" s="2"/>
      <c r="AY427" s="2"/>
      <c r="AZ427" s="2"/>
      <c r="BA427" s="4"/>
    </row>
    <row r="428" spans="2:53" ht="15.75" customHeight="1"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X428" s="2"/>
      <c r="AY428" s="2"/>
      <c r="AZ428" s="2"/>
      <c r="BA428" s="4"/>
    </row>
    <row r="429" spans="2:53" ht="15.75" customHeight="1"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X429" s="2"/>
      <c r="AY429" s="2"/>
      <c r="AZ429" s="2"/>
      <c r="BA429" s="4"/>
    </row>
    <row r="430" spans="2:53" ht="15.75" customHeight="1"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X430" s="2"/>
      <c r="AY430" s="2"/>
      <c r="AZ430" s="2"/>
      <c r="BA430" s="4"/>
    </row>
    <row r="431" spans="2:53" ht="15.75" customHeight="1"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X431" s="2"/>
      <c r="AY431" s="2"/>
      <c r="AZ431" s="2"/>
      <c r="BA431" s="4"/>
    </row>
    <row r="432" spans="2:53" ht="15.75" customHeight="1"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X432" s="2"/>
      <c r="AY432" s="2"/>
      <c r="AZ432" s="2"/>
      <c r="BA432" s="4"/>
    </row>
    <row r="433" spans="2:53" ht="15.75" customHeight="1"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X433" s="2"/>
      <c r="AY433" s="2"/>
      <c r="AZ433" s="2"/>
      <c r="BA433" s="4"/>
    </row>
    <row r="434" spans="2:53" ht="15.75" customHeight="1"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X434" s="2"/>
      <c r="AY434" s="2"/>
      <c r="AZ434" s="2"/>
      <c r="BA434" s="4"/>
    </row>
    <row r="435" spans="2:53" ht="15.75" customHeight="1"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X435" s="2"/>
      <c r="AY435" s="2"/>
      <c r="AZ435" s="2"/>
      <c r="BA435" s="4"/>
    </row>
    <row r="436" spans="2:53" ht="15.75" customHeight="1"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X436" s="2"/>
      <c r="AY436" s="2"/>
      <c r="AZ436" s="2"/>
      <c r="BA436" s="4"/>
    </row>
    <row r="437" spans="2:53" ht="15.75" customHeight="1"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X437" s="2"/>
      <c r="AY437" s="2"/>
      <c r="AZ437" s="2"/>
      <c r="BA437" s="4"/>
    </row>
    <row r="438" spans="2:53" ht="15.75" customHeight="1"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X438" s="2"/>
      <c r="AY438" s="2"/>
      <c r="AZ438" s="2"/>
      <c r="BA438" s="4"/>
    </row>
    <row r="439" spans="2:53" ht="15.75" customHeight="1"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X439" s="2"/>
      <c r="AY439" s="2"/>
      <c r="AZ439" s="2"/>
      <c r="BA439" s="4"/>
    </row>
    <row r="440" spans="2:53" ht="15.75" customHeight="1"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X440" s="2"/>
      <c r="AY440" s="2"/>
      <c r="AZ440" s="2"/>
      <c r="BA440" s="4"/>
    </row>
    <row r="441" spans="2:53" ht="15.75" customHeight="1"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X441" s="2"/>
      <c r="AY441" s="2"/>
      <c r="AZ441" s="2"/>
      <c r="BA441" s="4"/>
    </row>
    <row r="442" spans="2:53" ht="15.75" customHeight="1"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X442" s="2"/>
      <c r="AY442" s="2"/>
      <c r="AZ442" s="2"/>
      <c r="BA442" s="4"/>
    </row>
    <row r="443" spans="2:53" ht="15.75" customHeight="1"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X443" s="2"/>
      <c r="AY443" s="2"/>
      <c r="AZ443" s="2"/>
      <c r="BA443" s="4"/>
    </row>
    <row r="444" spans="2:53" ht="15.75" customHeight="1"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X444" s="2"/>
      <c r="AY444" s="2"/>
      <c r="AZ444" s="2"/>
      <c r="BA444" s="4"/>
    </row>
    <row r="445" spans="2:53" ht="15.75" customHeight="1"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X445" s="2"/>
      <c r="AY445" s="2"/>
      <c r="AZ445" s="2"/>
      <c r="BA445" s="4"/>
    </row>
    <row r="446" spans="2:53" ht="15.75" customHeight="1"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X446" s="2"/>
      <c r="AY446" s="2"/>
      <c r="AZ446" s="2"/>
      <c r="BA446" s="4"/>
    </row>
    <row r="447" spans="2:53" ht="15.75" customHeight="1"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X447" s="2"/>
      <c r="AY447" s="2"/>
      <c r="AZ447" s="2"/>
      <c r="BA447" s="4"/>
    </row>
    <row r="448" spans="2:53" ht="15.75" customHeight="1"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X448" s="2"/>
      <c r="AY448" s="2"/>
      <c r="AZ448" s="2"/>
      <c r="BA448" s="4"/>
    </row>
    <row r="449" spans="2:53" ht="15.75" customHeight="1"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X449" s="2"/>
      <c r="AY449" s="2"/>
      <c r="AZ449" s="2"/>
      <c r="BA449" s="4"/>
    </row>
    <row r="450" spans="2:53" ht="15.75" customHeight="1"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X450" s="2"/>
      <c r="AY450" s="2"/>
      <c r="AZ450" s="2"/>
      <c r="BA450" s="4"/>
    </row>
    <row r="451" spans="2:53" ht="15.75" customHeight="1"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X451" s="2"/>
      <c r="AY451" s="2"/>
      <c r="AZ451" s="2"/>
      <c r="BA451" s="4"/>
    </row>
    <row r="452" spans="2:53" ht="15.75" customHeight="1"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X452" s="2"/>
      <c r="AY452" s="2"/>
      <c r="AZ452" s="2"/>
      <c r="BA452" s="4"/>
    </row>
    <row r="453" spans="2:53" ht="15.75" customHeight="1"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X453" s="2"/>
      <c r="AY453" s="2"/>
      <c r="AZ453" s="2"/>
      <c r="BA453" s="4"/>
    </row>
    <row r="454" spans="2:53" ht="15.75" customHeight="1"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X454" s="2"/>
      <c r="AY454" s="2"/>
      <c r="AZ454" s="2"/>
      <c r="BA454" s="4"/>
    </row>
    <row r="455" spans="2:53" ht="15.75" customHeight="1"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X455" s="2"/>
      <c r="AY455" s="2"/>
      <c r="AZ455" s="2"/>
      <c r="BA455" s="4"/>
    </row>
    <row r="456" spans="2:53" ht="15.75" customHeight="1"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X456" s="2"/>
      <c r="AY456" s="2"/>
      <c r="AZ456" s="2"/>
      <c r="BA456" s="4"/>
    </row>
    <row r="457" spans="2:53" ht="15.75" customHeight="1"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X457" s="2"/>
      <c r="AY457" s="2"/>
      <c r="AZ457" s="2"/>
      <c r="BA457" s="4"/>
    </row>
    <row r="458" spans="2:53" ht="15.75" customHeight="1"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X458" s="2"/>
      <c r="AY458" s="2"/>
      <c r="AZ458" s="2"/>
      <c r="BA458" s="4"/>
    </row>
    <row r="459" spans="2:53" ht="15.75" customHeight="1"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X459" s="2"/>
      <c r="AY459" s="2"/>
      <c r="AZ459" s="2"/>
      <c r="BA459" s="4"/>
    </row>
    <row r="460" spans="2:53" ht="15.75" customHeight="1"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X460" s="2"/>
      <c r="AY460" s="2"/>
      <c r="AZ460" s="2"/>
      <c r="BA460" s="4"/>
    </row>
    <row r="461" spans="2:53" ht="15.75" customHeight="1"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X461" s="2"/>
      <c r="AY461" s="2"/>
      <c r="AZ461" s="2"/>
      <c r="BA461" s="4"/>
    </row>
    <row r="462" spans="2:53" ht="15.75" customHeight="1"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X462" s="2"/>
      <c r="AY462" s="2"/>
      <c r="AZ462" s="2"/>
      <c r="BA462" s="4"/>
    </row>
    <row r="463" spans="2:53" ht="15.75" customHeight="1"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X463" s="2"/>
      <c r="AY463" s="2"/>
      <c r="AZ463" s="2"/>
      <c r="BA463" s="4"/>
    </row>
    <row r="464" spans="2:53" ht="15.75" customHeight="1"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X464" s="2"/>
      <c r="AY464" s="2"/>
      <c r="AZ464" s="2"/>
      <c r="BA464" s="4"/>
    </row>
    <row r="465" spans="2:53" ht="15.75" customHeight="1"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X465" s="2"/>
      <c r="AY465" s="2"/>
      <c r="AZ465" s="2"/>
      <c r="BA465" s="4"/>
    </row>
    <row r="466" spans="2:53" ht="15.75" customHeight="1"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X466" s="2"/>
      <c r="AY466" s="2"/>
      <c r="AZ466" s="2"/>
      <c r="BA466" s="4"/>
    </row>
    <row r="467" spans="2:53" ht="15.75" customHeight="1"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X467" s="2"/>
      <c r="AY467" s="2"/>
      <c r="AZ467" s="2"/>
      <c r="BA467" s="4"/>
    </row>
    <row r="468" spans="2:53" ht="15.75" customHeight="1"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X468" s="2"/>
      <c r="AY468" s="2"/>
      <c r="AZ468" s="2"/>
      <c r="BA468" s="4"/>
    </row>
    <row r="469" spans="2:53" ht="15.75" customHeight="1"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X469" s="2"/>
      <c r="AY469" s="2"/>
      <c r="AZ469" s="2"/>
      <c r="BA469" s="4"/>
    </row>
    <row r="470" spans="2:53" ht="15.75" customHeight="1"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X470" s="2"/>
      <c r="AY470" s="2"/>
      <c r="AZ470" s="2"/>
      <c r="BA470" s="4"/>
    </row>
    <row r="471" spans="2:53" ht="15.75" customHeight="1"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X471" s="2"/>
      <c r="AY471" s="2"/>
      <c r="AZ471" s="2"/>
      <c r="BA471" s="4"/>
    </row>
    <row r="472" spans="2:53" ht="15.75" customHeight="1"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X472" s="2"/>
      <c r="AY472" s="2"/>
      <c r="AZ472" s="2"/>
      <c r="BA472" s="4"/>
    </row>
    <row r="473" spans="2:53" ht="15.75" customHeight="1"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X473" s="2"/>
      <c r="AY473" s="2"/>
      <c r="AZ473" s="2"/>
      <c r="BA473" s="4"/>
    </row>
    <row r="474" spans="2:53" ht="15.75" customHeight="1"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X474" s="2"/>
      <c r="AY474" s="2"/>
      <c r="AZ474" s="2"/>
      <c r="BA474" s="4"/>
    </row>
    <row r="475" spans="2:53" ht="15.75" customHeight="1"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X475" s="2"/>
      <c r="AY475" s="2"/>
      <c r="AZ475" s="2"/>
      <c r="BA475" s="4"/>
    </row>
    <row r="476" spans="2:53" ht="15.75" customHeight="1"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X476" s="2"/>
      <c r="AY476" s="2"/>
      <c r="AZ476" s="2"/>
      <c r="BA476" s="4"/>
    </row>
    <row r="477" spans="2:53" ht="15.75" customHeight="1"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X477" s="2"/>
      <c r="AY477" s="2"/>
      <c r="AZ477" s="2"/>
      <c r="BA477" s="4"/>
    </row>
    <row r="478" spans="2:53" ht="15.75" customHeight="1"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X478" s="2"/>
      <c r="AY478" s="2"/>
      <c r="AZ478" s="2"/>
      <c r="BA478" s="4"/>
    </row>
    <row r="479" spans="2:53" ht="15.75" customHeight="1"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X479" s="2"/>
      <c r="AY479" s="2"/>
      <c r="AZ479" s="2"/>
      <c r="BA479" s="4"/>
    </row>
    <row r="480" spans="2:53" ht="15.75" customHeight="1"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X480" s="2"/>
      <c r="AY480" s="2"/>
      <c r="AZ480" s="2"/>
      <c r="BA480" s="4"/>
    </row>
    <row r="481" spans="2:53" ht="15.75" customHeight="1"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X481" s="2"/>
      <c r="AY481" s="2"/>
      <c r="AZ481" s="2"/>
      <c r="BA481" s="4"/>
    </row>
    <row r="482" spans="2:53" ht="15.75" customHeight="1"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X482" s="2"/>
      <c r="AY482" s="2"/>
      <c r="AZ482" s="2"/>
      <c r="BA482" s="4"/>
    </row>
    <row r="483" spans="2:53" ht="15.75" customHeight="1"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X483" s="2"/>
      <c r="AY483" s="2"/>
      <c r="AZ483" s="2"/>
      <c r="BA483" s="4"/>
    </row>
    <row r="484" spans="2:53" ht="15.75" customHeight="1"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X484" s="2"/>
      <c r="AY484" s="2"/>
      <c r="AZ484" s="2"/>
      <c r="BA484" s="4"/>
    </row>
    <row r="485" spans="2:53" ht="15.75" customHeight="1"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X485" s="2"/>
      <c r="AY485" s="2"/>
      <c r="AZ485" s="2"/>
      <c r="BA485" s="4"/>
    </row>
    <row r="486" spans="2:53" ht="15.75" customHeight="1"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X486" s="2"/>
      <c r="AY486" s="2"/>
      <c r="AZ486" s="2"/>
      <c r="BA486" s="4"/>
    </row>
    <row r="487" spans="2:53" ht="15.75" customHeight="1"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X487" s="2"/>
      <c r="AY487" s="2"/>
      <c r="AZ487" s="2"/>
      <c r="BA487" s="4"/>
    </row>
    <row r="488" spans="2:53" ht="15.75" customHeight="1"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X488" s="2"/>
      <c r="AY488" s="2"/>
      <c r="AZ488" s="2"/>
      <c r="BA488" s="4"/>
    </row>
    <row r="489" spans="2:53" ht="15.75" customHeight="1"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X489" s="2"/>
      <c r="AY489" s="2"/>
      <c r="AZ489" s="2"/>
      <c r="BA489" s="4"/>
    </row>
    <row r="490" spans="2:53" ht="15.75" customHeight="1"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X490" s="2"/>
      <c r="AY490" s="2"/>
      <c r="AZ490" s="2"/>
      <c r="BA490" s="4"/>
    </row>
    <row r="491" spans="2:53" ht="15.75" customHeight="1"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X491" s="2"/>
      <c r="AY491" s="2"/>
      <c r="AZ491" s="2"/>
      <c r="BA491" s="4"/>
    </row>
    <row r="492" spans="2:53" ht="15.75" customHeight="1"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X492" s="2"/>
      <c r="AY492" s="2"/>
      <c r="AZ492" s="2"/>
      <c r="BA492" s="4"/>
    </row>
    <row r="493" spans="2:53" ht="15.75" customHeight="1"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X493" s="2"/>
      <c r="AY493" s="2"/>
      <c r="AZ493" s="2"/>
      <c r="BA493" s="4"/>
    </row>
    <row r="494" spans="2:53" ht="15.75" customHeight="1"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X494" s="2"/>
      <c r="AY494" s="2"/>
      <c r="AZ494" s="2"/>
      <c r="BA494" s="4"/>
    </row>
    <row r="495" spans="2:53" ht="15.75" customHeight="1"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X495" s="2"/>
      <c r="AY495" s="2"/>
      <c r="AZ495" s="2"/>
      <c r="BA495" s="4"/>
    </row>
    <row r="496" spans="2:53" ht="15.75" customHeight="1"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X496" s="2"/>
      <c r="AY496" s="2"/>
      <c r="AZ496" s="2"/>
      <c r="BA496" s="4"/>
    </row>
    <row r="497" spans="2:53" ht="15.75" customHeight="1"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X497" s="2"/>
      <c r="AY497" s="2"/>
      <c r="AZ497" s="2"/>
      <c r="BA497" s="4"/>
    </row>
    <row r="498" spans="2:53" ht="15.75" customHeight="1"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X498" s="2"/>
      <c r="AY498" s="2"/>
      <c r="AZ498" s="2"/>
      <c r="BA498" s="4"/>
    </row>
    <row r="499" spans="2:53" ht="15.75" customHeight="1"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X499" s="2"/>
      <c r="AY499" s="2"/>
      <c r="AZ499" s="2"/>
      <c r="BA499" s="4"/>
    </row>
    <row r="500" spans="2:53" ht="15.75" customHeight="1"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X500" s="2"/>
      <c r="AY500" s="2"/>
      <c r="AZ500" s="2"/>
      <c r="BA500" s="4"/>
    </row>
    <row r="501" spans="2:53" ht="15.75" customHeight="1"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X501" s="2"/>
      <c r="AY501" s="2"/>
      <c r="AZ501" s="2"/>
      <c r="BA501" s="4"/>
    </row>
    <row r="502" spans="2:53" ht="15.75" customHeight="1"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X502" s="2"/>
      <c r="AY502" s="2"/>
      <c r="AZ502" s="2"/>
      <c r="BA502" s="4"/>
    </row>
    <row r="503" spans="2:53" ht="15.75" customHeight="1"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X503" s="2"/>
      <c r="AY503" s="2"/>
      <c r="AZ503" s="2"/>
      <c r="BA503" s="4"/>
    </row>
    <row r="504" spans="2:53" ht="15.75" customHeight="1"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X504" s="2"/>
      <c r="AY504" s="2"/>
      <c r="AZ504" s="2"/>
      <c r="BA504" s="4"/>
    </row>
    <row r="505" spans="2:53" ht="15.75" customHeight="1"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X505" s="2"/>
      <c r="AY505" s="2"/>
      <c r="AZ505" s="2"/>
      <c r="BA505" s="4"/>
    </row>
    <row r="506" spans="2:53" ht="15.75" customHeight="1"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X506" s="2"/>
      <c r="AY506" s="2"/>
      <c r="AZ506" s="2"/>
      <c r="BA506" s="4"/>
    </row>
    <row r="507" spans="2:53" ht="15.75" customHeight="1"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X507" s="2"/>
      <c r="AY507" s="2"/>
      <c r="AZ507" s="2"/>
      <c r="BA507" s="4"/>
    </row>
    <row r="508" spans="2:53" ht="15.75" customHeight="1"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X508" s="2"/>
      <c r="AY508" s="2"/>
      <c r="AZ508" s="2"/>
      <c r="BA508" s="4"/>
    </row>
    <row r="509" spans="2:53" ht="15.75" customHeight="1"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X509" s="2"/>
      <c r="AY509" s="2"/>
      <c r="AZ509" s="2"/>
      <c r="BA509" s="4"/>
    </row>
    <row r="510" spans="2:53" ht="15.75" customHeight="1"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X510" s="2"/>
      <c r="AY510" s="2"/>
      <c r="AZ510" s="2"/>
      <c r="BA510" s="4"/>
    </row>
    <row r="511" spans="2:53" ht="15.75" customHeight="1"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X511" s="2"/>
      <c r="AY511" s="2"/>
      <c r="AZ511" s="2"/>
      <c r="BA511" s="4"/>
    </row>
    <row r="512" spans="2:53" ht="15.75" customHeight="1"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X512" s="2"/>
      <c r="AY512" s="2"/>
      <c r="AZ512" s="2"/>
      <c r="BA512" s="4"/>
    </row>
    <row r="513" spans="2:53" ht="15.75" customHeight="1"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X513" s="2"/>
      <c r="AY513" s="2"/>
      <c r="AZ513" s="2"/>
      <c r="BA513" s="4"/>
    </row>
    <row r="514" spans="2:53" ht="15.75" customHeight="1"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X514" s="2"/>
      <c r="AY514" s="2"/>
      <c r="AZ514" s="2"/>
      <c r="BA514" s="4"/>
    </row>
    <row r="515" spans="2:53" ht="15.75" customHeight="1"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X515" s="2"/>
      <c r="AY515" s="2"/>
      <c r="AZ515" s="2"/>
      <c r="BA515" s="4"/>
    </row>
    <row r="516" spans="2:53" ht="15.75" customHeight="1"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X516" s="2"/>
      <c r="AY516" s="2"/>
      <c r="AZ516" s="2"/>
      <c r="BA516" s="4"/>
    </row>
    <row r="517" spans="2:53" ht="15.75" customHeight="1"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X517" s="2"/>
      <c r="AY517" s="2"/>
      <c r="AZ517" s="2"/>
      <c r="BA517" s="4"/>
    </row>
    <row r="518" spans="2:53" ht="15.75" customHeight="1"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X518" s="2"/>
      <c r="AY518" s="2"/>
      <c r="AZ518" s="2"/>
      <c r="BA518" s="4"/>
    </row>
    <row r="519" spans="2:53" ht="15.75" customHeight="1"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X519" s="2"/>
      <c r="AY519" s="2"/>
      <c r="AZ519" s="2"/>
      <c r="BA519" s="4"/>
    </row>
    <row r="520" spans="2:53" ht="15.75" customHeight="1"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X520" s="2"/>
      <c r="AY520" s="2"/>
      <c r="AZ520" s="2"/>
      <c r="BA520" s="4"/>
    </row>
    <row r="521" spans="2:53" ht="15.75" customHeight="1"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X521" s="2"/>
      <c r="AY521" s="2"/>
      <c r="AZ521" s="2"/>
      <c r="BA521" s="4"/>
    </row>
    <row r="522" spans="2:53" ht="15.75" customHeight="1"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X522" s="2"/>
      <c r="AY522" s="2"/>
      <c r="AZ522" s="2"/>
      <c r="BA522" s="4"/>
    </row>
    <row r="523" spans="2:53" ht="15.75" customHeight="1"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X523" s="2"/>
      <c r="AY523" s="2"/>
      <c r="AZ523" s="2"/>
      <c r="BA523" s="4"/>
    </row>
    <row r="524" spans="2:53" ht="15.75" customHeight="1"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X524" s="2"/>
      <c r="AY524" s="2"/>
      <c r="AZ524" s="2"/>
      <c r="BA524" s="4"/>
    </row>
    <row r="525" spans="2:53" ht="15.75" customHeight="1"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X525" s="2"/>
      <c r="AY525" s="2"/>
      <c r="AZ525" s="2"/>
      <c r="BA525" s="4"/>
    </row>
    <row r="526" spans="2:53" ht="15.75" customHeight="1"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X526" s="2"/>
      <c r="AY526" s="2"/>
      <c r="AZ526" s="2"/>
      <c r="BA526" s="4"/>
    </row>
    <row r="527" spans="2:53" ht="15.75" customHeight="1"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X527" s="2"/>
      <c r="AY527" s="2"/>
      <c r="AZ527" s="2"/>
      <c r="BA527" s="4"/>
    </row>
    <row r="528" spans="2:53" ht="15.75" customHeight="1"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X528" s="2"/>
      <c r="AY528" s="2"/>
      <c r="AZ528" s="2"/>
      <c r="BA528" s="4"/>
    </row>
    <row r="529" spans="2:53" ht="15.75" customHeight="1"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X529" s="2"/>
      <c r="AY529" s="2"/>
      <c r="AZ529" s="2"/>
      <c r="BA529" s="4"/>
    </row>
    <row r="530" spans="2:53" ht="15.75" customHeight="1"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X530" s="2"/>
      <c r="AY530" s="2"/>
      <c r="AZ530" s="2"/>
      <c r="BA530" s="4"/>
    </row>
    <row r="531" spans="2:53" ht="15.75" customHeight="1"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X531" s="2"/>
      <c r="AY531" s="2"/>
      <c r="AZ531" s="2"/>
      <c r="BA531" s="4"/>
    </row>
    <row r="532" spans="2:53" ht="15.75" customHeight="1"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X532" s="2"/>
      <c r="AY532" s="2"/>
      <c r="AZ532" s="2"/>
      <c r="BA532" s="4"/>
    </row>
    <row r="533" spans="2:53" ht="15.75" customHeight="1"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X533" s="2"/>
      <c r="AY533" s="2"/>
      <c r="AZ533" s="2"/>
      <c r="BA533" s="4"/>
    </row>
    <row r="534" spans="2:53" ht="15.75" customHeight="1"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X534" s="2"/>
      <c r="AY534" s="2"/>
      <c r="AZ534" s="2"/>
      <c r="BA534" s="4"/>
    </row>
    <row r="535" spans="2:53" ht="15.75" customHeight="1"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X535" s="2"/>
      <c r="AY535" s="2"/>
      <c r="AZ535" s="2"/>
      <c r="BA535" s="4"/>
    </row>
    <row r="536" spans="2:53" ht="15.75" customHeight="1"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X536" s="2"/>
      <c r="AY536" s="2"/>
      <c r="AZ536" s="2"/>
      <c r="BA536" s="4"/>
    </row>
    <row r="537" spans="2:53" ht="15.75" customHeight="1"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X537" s="2"/>
      <c r="AY537" s="2"/>
      <c r="AZ537" s="2"/>
      <c r="BA537" s="4"/>
    </row>
    <row r="538" spans="2:53" ht="15.75" customHeight="1"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X538" s="2"/>
      <c r="AY538" s="2"/>
      <c r="AZ538" s="2"/>
      <c r="BA538" s="4"/>
    </row>
    <row r="539" spans="2:53" ht="15.75" customHeight="1"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X539" s="2"/>
      <c r="AY539" s="2"/>
      <c r="AZ539" s="2"/>
      <c r="BA539" s="4"/>
    </row>
    <row r="540" spans="2:53" ht="15.75" customHeight="1"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X540" s="2"/>
      <c r="AY540" s="2"/>
      <c r="AZ540" s="2"/>
      <c r="BA540" s="4"/>
    </row>
    <row r="541" spans="2:53" ht="15.75" customHeight="1"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X541" s="2"/>
      <c r="AY541" s="2"/>
      <c r="AZ541" s="2"/>
      <c r="BA541" s="4"/>
    </row>
    <row r="542" spans="2:53" ht="15.75" customHeight="1"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X542" s="2"/>
      <c r="AY542" s="2"/>
      <c r="AZ542" s="2"/>
      <c r="BA542" s="4"/>
    </row>
    <row r="543" spans="2:53" ht="15.75" customHeight="1"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X543" s="2"/>
      <c r="AY543" s="2"/>
      <c r="AZ543" s="2"/>
      <c r="BA543" s="4"/>
    </row>
    <row r="544" spans="2:53" ht="15.75" customHeight="1"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X544" s="2"/>
      <c r="AY544" s="2"/>
      <c r="AZ544" s="2"/>
      <c r="BA544" s="4"/>
    </row>
    <row r="545" spans="2:53" ht="15.75" customHeight="1"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X545" s="2"/>
      <c r="AY545" s="2"/>
      <c r="AZ545" s="2"/>
      <c r="BA545" s="4"/>
    </row>
    <row r="546" spans="2:53" ht="15.75" customHeight="1"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X546" s="2"/>
      <c r="AY546" s="2"/>
      <c r="AZ546" s="2"/>
      <c r="BA546" s="4"/>
    </row>
    <row r="547" spans="2:53" ht="15.75" customHeight="1"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X547" s="2"/>
      <c r="AY547" s="2"/>
      <c r="AZ547" s="2"/>
      <c r="BA547" s="4"/>
    </row>
    <row r="548" spans="2:53" ht="15.75" customHeight="1"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X548" s="2"/>
      <c r="AY548" s="2"/>
      <c r="AZ548" s="2"/>
      <c r="BA548" s="4"/>
    </row>
    <row r="549" spans="2:53" ht="15.75" customHeight="1"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X549" s="2"/>
      <c r="AY549" s="2"/>
      <c r="AZ549" s="2"/>
      <c r="BA549" s="4"/>
    </row>
    <row r="550" spans="2:53" ht="15.75" customHeight="1"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X550" s="2"/>
      <c r="AY550" s="2"/>
      <c r="AZ550" s="2"/>
      <c r="BA550" s="4"/>
    </row>
    <row r="551" spans="2:53" ht="15.75" customHeight="1"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X551" s="2"/>
      <c r="AY551" s="2"/>
      <c r="AZ551" s="2"/>
      <c r="BA551" s="4"/>
    </row>
    <row r="552" spans="2:53" ht="15.75" customHeight="1"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X552" s="2"/>
      <c r="AY552" s="2"/>
      <c r="AZ552" s="2"/>
      <c r="BA552" s="4"/>
    </row>
    <row r="553" spans="2:53" ht="15.75" customHeight="1"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X553" s="2"/>
      <c r="AY553" s="2"/>
      <c r="AZ553" s="2"/>
      <c r="BA553" s="4"/>
    </row>
    <row r="554" spans="2:53" ht="15.75" customHeight="1"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X554" s="2"/>
      <c r="AY554" s="2"/>
      <c r="AZ554" s="2"/>
      <c r="BA554" s="4"/>
    </row>
    <row r="555" spans="2:53" ht="15.75" customHeight="1"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X555" s="2"/>
      <c r="AY555" s="2"/>
      <c r="AZ555" s="2"/>
      <c r="BA555" s="4"/>
    </row>
    <row r="556" spans="2:53" ht="15.75" customHeight="1"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X556" s="2"/>
      <c r="AY556" s="2"/>
      <c r="AZ556" s="2"/>
      <c r="BA556" s="4"/>
    </row>
    <row r="557" spans="2:53" ht="15.75" customHeight="1"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X557" s="2"/>
      <c r="AY557" s="2"/>
      <c r="AZ557" s="2"/>
      <c r="BA557" s="4"/>
    </row>
    <row r="558" spans="2:53" ht="15.75" customHeight="1"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X558" s="2"/>
      <c r="AY558" s="2"/>
      <c r="AZ558" s="2"/>
      <c r="BA558" s="4"/>
    </row>
    <row r="559" spans="2:53" ht="15.75" customHeight="1"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X559" s="2"/>
      <c r="AY559" s="2"/>
      <c r="AZ559" s="2"/>
      <c r="BA559" s="4"/>
    </row>
    <row r="560" spans="2:53" ht="15.75" customHeight="1"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X560" s="2"/>
      <c r="AY560" s="2"/>
      <c r="AZ560" s="2"/>
      <c r="BA560" s="4"/>
    </row>
    <row r="561" spans="2:53" ht="15.75" customHeight="1"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X561" s="2"/>
      <c r="AY561" s="2"/>
      <c r="AZ561" s="2"/>
      <c r="BA561" s="4"/>
    </row>
    <row r="562" spans="2:53" ht="15.75" customHeight="1"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X562" s="2"/>
      <c r="AY562" s="2"/>
      <c r="AZ562" s="2"/>
      <c r="BA562" s="4"/>
    </row>
    <row r="563" spans="2:53" ht="15.75" customHeight="1"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X563" s="2"/>
      <c r="AY563" s="2"/>
      <c r="AZ563" s="2"/>
      <c r="BA563" s="4"/>
    </row>
    <row r="564" spans="2:53" ht="15.75" customHeight="1"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X564" s="2"/>
      <c r="AY564" s="2"/>
      <c r="AZ564" s="2"/>
      <c r="BA564" s="4"/>
    </row>
    <row r="565" spans="2:53" ht="15.75" customHeight="1"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X565" s="2"/>
      <c r="AY565" s="2"/>
      <c r="AZ565" s="2"/>
      <c r="BA565" s="4"/>
    </row>
    <row r="566" spans="2:53" ht="15.75" customHeight="1"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X566" s="2"/>
      <c r="AY566" s="2"/>
      <c r="AZ566" s="2"/>
      <c r="BA566" s="4"/>
    </row>
    <row r="567" spans="2:53" ht="15.75" customHeight="1"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X567" s="2"/>
      <c r="AY567" s="2"/>
      <c r="AZ567" s="2"/>
      <c r="BA567" s="4"/>
    </row>
    <row r="568" spans="2:53" ht="15.75" customHeight="1"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X568" s="2"/>
      <c r="AY568" s="2"/>
      <c r="AZ568" s="2"/>
      <c r="BA568" s="4"/>
    </row>
    <row r="569" spans="2:53" ht="15.75" customHeight="1"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X569" s="2"/>
      <c r="AY569" s="2"/>
      <c r="AZ569" s="2"/>
      <c r="BA569" s="4"/>
    </row>
    <row r="570" spans="2:53" ht="15.75" customHeight="1"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X570" s="2"/>
      <c r="AY570" s="2"/>
      <c r="AZ570" s="2"/>
      <c r="BA570" s="4"/>
    </row>
    <row r="571" spans="2:53" ht="15.75" customHeight="1"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X571" s="2"/>
      <c r="AY571" s="2"/>
      <c r="AZ571" s="2"/>
      <c r="BA571" s="4"/>
    </row>
    <row r="572" spans="2:53" ht="15.75" customHeight="1"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X572" s="2"/>
      <c r="AY572" s="2"/>
      <c r="AZ572" s="2"/>
      <c r="BA572" s="4"/>
    </row>
    <row r="573" spans="2:53" ht="15.75" customHeight="1"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X573" s="2"/>
      <c r="AY573" s="2"/>
      <c r="AZ573" s="2"/>
      <c r="BA573" s="4"/>
    </row>
    <row r="574" spans="2:53" ht="15.75" customHeight="1"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X574" s="2"/>
      <c r="AY574" s="2"/>
      <c r="AZ574" s="2"/>
      <c r="BA574" s="4"/>
    </row>
    <row r="575" spans="2:53" ht="15.75" customHeight="1"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X575" s="2"/>
      <c r="AY575" s="2"/>
      <c r="AZ575" s="2"/>
      <c r="BA575" s="4"/>
    </row>
    <row r="576" spans="2:53" ht="15.75" customHeight="1"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X576" s="2"/>
      <c r="AY576" s="2"/>
      <c r="AZ576" s="2"/>
      <c r="BA576" s="4"/>
    </row>
    <row r="577" spans="2:53" ht="15.75" customHeight="1"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X577" s="2"/>
      <c r="AY577" s="2"/>
      <c r="AZ577" s="2"/>
      <c r="BA577" s="4"/>
    </row>
    <row r="578" spans="2:53" ht="15.75" customHeight="1"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X578" s="2"/>
      <c r="AY578" s="2"/>
      <c r="AZ578" s="2"/>
      <c r="BA578" s="4"/>
    </row>
    <row r="579" spans="2:53" ht="15.75" customHeight="1"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X579" s="2"/>
      <c r="AY579" s="2"/>
      <c r="AZ579" s="2"/>
      <c r="BA579" s="4"/>
    </row>
    <row r="580" spans="2:53" ht="15.75" customHeight="1"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X580" s="2"/>
      <c r="AY580" s="2"/>
      <c r="AZ580" s="2"/>
      <c r="BA580" s="4"/>
    </row>
    <row r="581" spans="2:53" ht="15.75" customHeight="1"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X581" s="2"/>
      <c r="AY581" s="2"/>
      <c r="AZ581" s="2"/>
      <c r="BA581" s="4"/>
    </row>
    <row r="582" spans="2:53" ht="15.75" customHeight="1"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X582" s="2"/>
      <c r="AY582" s="2"/>
      <c r="AZ582" s="2"/>
      <c r="BA582" s="4"/>
    </row>
    <row r="583" spans="2:53" ht="15.75" customHeight="1"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X583" s="2"/>
      <c r="AY583" s="2"/>
      <c r="AZ583" s="2"/>
      <c r="BA583" s="4"/>
    </row>
    <row r="584" spans="2:53" ht="15.75" customHeight="1"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X584" s="2"/>
      <c r="AY584" s="2"/>
      <c r="AZ584" s="2"/>
      <c r="BA584" s="4"/>
    </row>
    <row r="585" spans="2:53" ht="15.75" customHeight="1"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X585" s="2"/>
      <c r="AY585" s="2"/>
      <c r="AZ585" s="2"/>
      <c r="BA585" s="4"/>
    </row>
    <row r="586" spans="2:53" ht="15.75" customHeight="1"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X586" s="2"/>
      <c r="AY586" s="2"/>
      <c r="AZ586" s="2"/>
      <c r="BA586" s="4"/>
    </row>
    <row r="587" spans="2:53" ht="15.75" customHeight="1"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X587" s="2"/>
      <c r="AY587" s="2"/>
      <c r="AZ587" s="2"/>
      <c r="BA587" s="4"/>
    </row>
    <row r="588" spans="2:53" ht="15.75" customHeight="1"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X588" s="2"/>
      <c r="AY588" s="2"/>
      <c r="AZ588" s="2"/>
      <c r="BA588" s="4"/>
    </row>
    <row r="589" spans="2:53" ht="15.75" customHeight="1"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X589" s="2"/>
      <c r="AY589" s="2"/>
      <c r="AZ589" s="2"/>
      <c r="BA589" s="4"/>
    </row>
    <row r="590" spans="2:53" ht="15.75" customHeight="1"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X590" s="2"/>
      <c r="AY590" s="2"/>
      <c r="AZ590" s="2"/>
      <c r="BA590" s="4"/>
    </row>
    <row r="591" spans="2:53" ht="15.75" customHeight="1"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X591" s="2"/>
      <c r="AY591" s="2"/>
      <c r="AZ591" s="2"/>
      <c r="BA591" s="4"/>
    </row>
    <row r="592" spans="2:53" ht="15.75" customHeight="1"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X592" s="2"/>
      <c r="AY592" s="2"/>
      <c r="AZ592" s="2"/>
      <c r="BA592" s="4"/>
    </row>
    <row r="593" spans="2:53" ht="15.75" customHeight="1"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X593" s="2"/>
      <c r="AY593" s="2"/>
      <c r="AZ593" s="2"/>
      <c r="BA593" s="4"/>
    </row>
    <row r="594" spans="2:53" ht="15.75" customHeight="1"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X594" s="2"/>
      <c r="AY594" s="2"/>
      <c r="AZ594" s="2"/>
      <c r="BA594" s="4"/>
    </row>
    <row r="595" spans="2:53" ht="15.75" customHeight="1"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X595" s="2"/>
      <c r="AY595" s="2"/>
      <c r="AZ595" s="2"/>
      <c r="BA595" s="4"/>
    </row>
    <row r="596" spans="2:53" ht="15.75" customHeight="1"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X596" s="2"/>
      <c r="AY596" s="2"/>
      <c r="AZ596" s="2"/>
      <c r="BA596" s="4"/>
    </row>
    <row r="597" spans="2:53" ht="15.75" customHeight="1"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X597" s="2"/>
      <c r="AY597" s="2"/>
      <c r="AZ597" s="2"/>
      <c r="BA597" s="4"/>
    </row>
    <row r="598" spans="2:53" ht="15.75" customHeight="1"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X598" s="2"/>
      <c r="AY598" s="2"/>
      <c r="AZ598" s="2"/>
      <c r="BA598" s="4"/>
    </row>
    <row r="599" spans="2:53" ht="15.75" customHeight="1"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X599" s="2"/>
      <c r="AY599" s="2"/>
      <c r="AZ599" s="2"/>
      <c r="BA599" s="4"/>
    </row>
    <row r="600" spans="2:53" ht="15.75" customHeight="1"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X600" s="2"/>
      <c r="AY600" s="2"/>
      <c r="AZ600" s="2"/>
      <c r="BA600" s="4"/>
    </row>
    <row r="601" spans="2:53" ht="15.75" customHeight="1"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X601" s="2"/>
      <c r="AY601" s="2"/>
      <c r="AZ601" s="2"/>
      <c r="BA601" s="4"/>
    </row>
    <row r="602" spans="2:53" ht="15.75" customHeight="1"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X602" s="2"/>
      <c r="AY602" s="2"/>
      <c r="AZ602" s="2"/>
      <c r="BA602" s="4"/>
    </row>
    <row r="603" spans="2:53" ht="15.75" customHeight="1"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X603" s="2"/>
      <c r="AY603" s="2"/>
      <c r="AZ603" s="2"/>
      <c r="BA603" s="4"/>
    </row>
    <row r="604" spans="2:53" ht="15.75" customHeight="1"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X604" s="2"/>
      <c r="AY604" s="2"/>
      <c r="AZ604" s="2"/>
      <c r="BA604" s="4"/>
    </row>
    <row r="605" spans="2:53" ht="15.75" customHeight="1"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X605" s="2"/>
      <c r="AY605" s="2"/>
      <c r="AZ605" s="2"/>
      <c r="BA605" s="4"/>
    </row>
    <row r="606" spans="2:53" ht="15.75" customHeight="1"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X606" s="2"/>
      <c r="AY606" s="2"/>
      <c r="AZ606" s="2"/>
      <c r="BA606" s="4"/>
    </row>
    <row r="607" spans="2:53" ht="15.75" customHeight="1"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X607" s="2"/>
      <c r="AY607" s="2"/>
      <c r="AZ607" s="2"/>
      <c r="BA607" s="4"/>
    </row>
    <row r="608" spans="2:53" ht="15.75" customHeight="1"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X608" s="2"/>
      <c r="AY608" s="2"/>
      <c r="AZ608" s="2"/>
      <c r="BA608" s="4"/>
    </row>
    <row r="609" spans="2:53" ht="15.75" customHeight="1"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X609" s="2"/>
      <c r="AY609" s="2"/>
      <c r="AZ609" s="2"/>
      <c r="BA609" s="4"/>
    </row>
    <row r="610" spans="2:53" ht="15.75" customHeight="1"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X610" s="2"/>
      <c r="AY610" s="2"/>
      <c r="AZ610" s="2"/>
      <c r="BA610" s="4"/>
    </row>
    <row r="611" spans="2:53" ht="15.75" customHeight="1"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X611" s="2"/>
      <c r="AY611" s="2"/>
      <c r="AZ611" s="2"/>
      <c r="BA611" s="4"/>
    </row>
    <row r="612" spans="2:53" ht="15.75" customHeight="1"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X612" s="2"/>
      <c r="AY612" s="2"/>
      <c r="AZ612" s="2"/>
      <c r="BA612" s="4"/>
    </row>
    <row r="613" spans="2:53" ht="15.75" customHeight="1"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X613" s="2"/>
      <c r="AY613" s="2"/>
      <c r="AZ613" s="2"/>
      <c r="BA613" s="4"/>
    </row>
    <row r="614" spans="2:53" ht="15.75" customHeight="1"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X614" s="2"/>
      <c r="AY614" s="2"/>
      <c r="AZ614" s="2"/>
      <c r="BA614" s="4"/>
    </row>
    <row r="615" spans="2:53" ht="15.75" customHeight="1"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X615" s="2"/>
      <c r="AY615" s="2"/>
      <c r="AZ615" s="2"/>
      <c r="BA615" s="4"/>
    </row>
    <row r="616" spans="2:53" ht="15.75" customHeight="1"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X616" s="2"/>
      <c r="AY616" s="2"/>
      <c r="AZ616" s="2"/>
      <c r="BA616" s="4"/>
    </row>
    <row r="617" spans="2:53" ht="15.75" customHeight="1"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X617" s="2"/>
      <c r="AY617" s="2"/>
      <c r="AZ617" s="2"/>
      <c r="BA617" s="4"/>
    </row>
    <row r="618" spans="2:53" ht="15.75" customHeight="1"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X618" s="2"/>
      <c r="AY618" s="2"/>
      <c r="AZ618" s="2"/>
      <c r="BA618" s="4"/>
    </row>
    <row r="619" spans="2:53" ht="15.75" customHeight="1"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X619" s="2"/>
      <c r="AY619" s="2"/>
      <c r="AZ619" s="2"/>
      <c r="BA619" s="4"/>
    </row>
    <row r="620" spans="2:53" ht="15.75" customHeight="1"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X620" s="2"/>
      <c r="AY620" s="2"/>
      <c r="AZ620" s="2"/>
      <c r="BA620" s="4"/>
    </row>
    <row r="621" spans="2:53" ht="15.75" customHeight="1"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X621" s="2"/>
      <c r="AY621" s="2"/>
      <c r="AZ621" s="2"/>
      <c r="BA621" s="4"/>
    </row>
    <row r="622" spans="2:53" ht="15.75" customHeight="1"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X622" s="2"/>
      <c r="AY622" s="2"/>
      <c r="AZ622" s="2"/>
      <c r="BA622" s="4"/>
    </row>
    <row r="623" spans="2:53" ht="15.75" customHeight="1"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X623" s="2"/>
      <c r="AY623" s="2"/>
      <c r="AZ623" s="2"/>
      <c r="BA623" s="4"/>
    </row>
    <row r="624" spans="2:53" ht="15.75" customHeight="1"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X624" s="2"/>
      <c r="AY624" s="2"/>
      <c r="AZ624" s="2"/>
      <c r="BA624" s="4"/>
    </row>
    <row r="625" spans="2:53" ht="15.75" customHeight="1"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X625" s="2"/>
      <c r="AY625" s="2"/>
      <c r="AZ625" s="2"/>
      <c r="BA625" s="4"/>
    </row>
    <row r="626" spans="2:53" ht="15.75" customHeight="1"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X626" s="2"/>
      <c r="AY626" s="2"/>
      <c r="AZ626" s="2"/>
      <c r="BA626" s="4"/>
    </row>
    <row r="627" spans="2:53" ht="15.75" customHeight="1"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X627" s="2"/>
      <c r="AY627" s="2"/>
      <c r="AZ627" s="2"/>
      <c r="BA627" s="4"/>
    </row>
    <row r="628" spans="2:53" ht="15.75" customHeight="1"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X628" s="2"/>
      <c r="AY628" s="2"/>
      <c r="AZ628" s="2"/>
      <c r="BA628" s="4"/>
    </row>
    <row r="629" spans="2:53" ht="15.75" customHeight="1"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X629" s="2"/>
      <c r="AY629" s="2"/>
      <c r="AZ629" s="2"/>
      <c r="BA629" s="4"/>
    </row>
    <row r="630" spans="2:53" ht="15.75" customHeight="1"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X630" s="2"/>
      <c r="AY630" s="2"/>
      <c r="AZ630" s="2"/>
      <c r="BA630" s="4"/>
    </row>
    <row r="631" spans="2:53" ht="15.75" customHeight="1"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X631" s="2"/>
      <c r="AY631" s="2"/>
      <c r="AZ631" s="2"/>
      <c r="BA631" s="4"/>
    </row>
    <row r="632" spans="2:53" ht="15.75" customHeight="1"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X632" s="2"/>
      <c r="AY632" s="2"/>
      <c r="AZ632" s="2"/>
      <c r="BA632" s="4"/>
    </row>
    <row r="633" spans="2:53" ht="15.75" customHeight="1"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X633" s="2"/>
      <c r="AY633" s="2"/>
      <c r="AZ633" s="2"/>
      <c r="BA633" s="4"/>
    </row>
    <row r="634" spans="2:53" ht="15.75" customHeight="1"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X634" s="2"/>
      <c r="AY634" s="2"/>
      <c r="AZ634" s="2"/>
      <c r="BA634" s="4"/>
    </row>
    <row r="635" spans="2:53" ht="15.75" customHeight="1"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X635" s="2"/>
      <c r="AY635" s="2"/>
      <c r="AZ635" s="2"/>
      <c r="BA635" s="4"/>
    </row>
    <row r="636" spans="2:53" ht="15.75" customHeight="1"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X636" s="2"/>
      <c r="AY636" s="2"/>
      <c r="AZ636" s="2"/>
      <c r="BA636" s="4"/>
    </row>
    <row r="637" spans="2:53" ht="15.75" customHeight="1"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X637" s="2"/>
      <c r="AY637" s="2"/>
      <c r="AZ637" s="2"/>
      <c r="BA637" s="4"/>
    </row>
    <row r="638" spans="2:53" ht="15.75" customHeight="1"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X638" s="2"/>
      <c r="AY638" s="2"/>
      <c r="AZ638" s="2"/>
      <c r="BA638" s="4"/>
    </row>
    <row r="639" spans="2:53" ht="15.75" customHeight="1"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X639" s="2"/>
      <c r="AY639" s="2"/>
      <c r="AZ639" s="2"/>
      <c r="BA639" s="4"/>
    </row>
    <row r="640" spans="2:53" ht="15.75" customHeight="1"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X640" s="2"/>
      <c r="AY640" s="2"/>
      <c r="AZ640" s="2"/>
      <c r="BA640" s="4"/>
    </row>
    <row r="641" spans="2:53" ht="15.75" customHeight="1"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X641" s="2"/>
      <c r="AY641" s="2"/>
      <c r="AZ641" s="2"/>
      <c r="BA641" s="4"/>
    </row>
    <row r="642" spans="2:53" ht="15.75" customHeight="1"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X642" s="2"/>
      <c r="AY642" s="2"/>
      <c r="AZ642" s="2"/>
      <c r="BA642" s="4"/>
    </row>
    <row r="643" spans="2:53" ht="15.75" customHeight="1"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X643" s="2"/>
      <c r="AY643" s="2"/>
      <c r="AZ643" s="2"/>
      <c r="BA643" s="4"/>
    </row>
    <row r="644" spans="2:53" ht="15.75" customHeight="1"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X644" s="2"/>
      <c r="AY644" s="2"/>
      <c r="AZ644" s="2"/>
      <c r="BA644" s="4"/>
    </row>
    <row r="645" spans="2:53" ht="15.75" customHeight="1"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X645" s="2"/>
      <c r="AY645" s="2"/>
      <c r="AZ645" s="2"/>
      <c r="BA645" s="4"/>
    </row>
    <row r="646" spans="2:53" ht="15.75" customHeight="1"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X646" s="2"/>
      <c r="AY646" s="2"/>
      <c r="AZ646" s="2"/>
      <c r="BA646" s="4"/>
    </row>
    <row r="647" spans="2:53" ht="15.75" customHeight="1"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X647" s="2"/>
      <c r="AY647" s="2"/>
      <c r="AZ647" s="2"/>
      <c r="BA647" s="4"/>
    </row>
    <row r="648" spans="2:53" ht="15.75" customHeight="1"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X648" s="2"/>
      <c r="AY648" s="2"/>
      <c r="AZ648" s="2"/>
      <c r="BA648" s="4"/>
    </row>
    <row r="649" spans="2:53" ht="15.75" customHeight="1"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X649" s="2"/>
      <c r="AY649" s="2"/>
      <c r="AZ649" s="2"/>
      <c r="BA649" s="4"/>
    </row>
    <row r="650" spans="2:53" ht="15.75" customHeight="1"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X650" s="2"/>
      <c r="AY650" s="2"/>
      <c r="AZ650" s="2"/>
      <c r="BA650" s="4"/>
    </row>
    <row r="651" spans="2:53" ht="15.75" customHeight="1"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X651" s="2"/>
      <c r="AY651" s="2"/>
      <c r="AZ651" s="2"/>
      <c r="BA651" s="4"/>
    </row>
    <row r="652" spans="2:53" ht="15.75" customHeight="1"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X652" s="2"/>
      <c r="AY652" s="2"/>
      <c r="AZ652" s="2"/>
      <c r="BA652" s="4"/>
    </row>
    <row r="653" spans="2:53" ht="15.75" customHeight="1"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X653" s="2"/>
      <c r="AY653" s="2"/>
      <c r="AZ653" s="2"/>
      <c r="BA653" s="4"/>
    </row>
    <row r="654" spans="2:53" ht="15.75" customHeight="1"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X654" s="2"/>
      <c r="AY654" s="2"/>
      <c r="AZ654" s="2"/>
      <c r="BA654" s="4"/>
    </row>
    <row r="655" spans="2:53" ht="15.75" customHeight="1"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X655" s="2"/>
      <c r="AY655" s="2"/>
      <c r="AZ655" s="2"/>
      <c r="BA655" s="4"/>
    </row>
    <row r="656" spans="2:53" ht="15.75" customHeight="1"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X656" s="2"/>
      <c r="AY656" s="2"/>
      <c r="AZ656" s="2"/>
      <c r="BA656" s="4"/>
    </row>
    <row r="657" spans="2:53" ht="15.75" customHeight="1"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X657" s="2"/>
      <c r="AY657" s="2"/>
      <c r="AZ657" s="2"/>
      <c r="BA657" s="4"/>
    </row>
    <row r="658" spans="2:53" ht="15.75" customHeight="1"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X658" s="2"/>
      <c r="AY658" s="2"/>
      <c r="AZ658" s="2"/>
      <c r="BA658" s="4"/>
    </row>
    <row r="659" spans="2:53" ht="15.75" customHeight="1"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X659" s="2"/>
      <c r="AY659" s="2"/>
      <c r="AZ659" s="2"/>
      <c r="BA659" s="4"/>
    </row>
    <row r="660" spans="2:53" ht="15.75" customHeight="1"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X660" s="2"/>
      <c r="AY660" s="2"/>
      <c r="AZ660" s="2"/>
      <c r="BA660" s="4"/>
    </row>
    <row r="661" spans="2:53" ht="15.75" customHeight="1"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X661" s="2"/>
      <c r="AY661" s="2"/>
      <c r="AZ661" s="2"/>
      <c r="BA661" s="4"/>
    </row>
    <row r="662" spans="2:53" ht="15.75" customHeight="1"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X662" s="2"/>
      <c r="AY662" s="2"/>
      <c r="AZ662" s="2"/>
      <c r="BA662" s="4"/>
    </row>
    <row r="663" spans="2:53" ht="15.75" customHeight="1"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X663" s="2"/>
      <c r="AY663" s="2"/>
      <c r="AZ663" s="2"/>
      <c r="BA663" s="4"/>
    </row>
    <row r="664" spans="2:53" ht="15.75" customHeight="1"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X664" s="2"/>
      <c r="AY664" s="2"/>
      <c r="AZ664" s="2"/>
      <c r="BA664" s="4"/>
    </row>
    <row r="665" spans="2:53" ht="15.75" customHeight="1"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X665" s="2"/>
      <c r="AY665" s="2"/>
      <c r="AZ665" s="2"/>
      <c r="BA665" s="4"/>
    </row>
    <row r="666" spans="2:53" ht="15.75" customHeight="1"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X666" s="2"/>
      <c r="AY666" s="2"/>
      <c r="AZ666" s="2"/>
      <c r="BA666" s="4"/>
    </row>
    <row r="667" spans="2:53" ht="15.75" customHeight="1"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X667" s="2"/>
      <c r="AY667" s="2"/>
      <c r="AZ667" s="2"/>
      <c r="BA667" s="4"/>
    </row>
    <row r="668" spans="2:53" ht="15.75" customHeight="1"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X668" s="2"/>
      <c r="AY668" s="2"/>
      <c r="AZ668" s="2"/>
      <c r="BA668" s="4"/>
    </row>
    <row r="669" spans="2:53" ht="15.75" customHeight="1"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X669" s="2"/>
      <c r="AY669" s="2"/>
      <c r="AZ669" s="2"/>
      <c r="BA669" s="4"/>
    </row>
    <row r="670" spans="2:53" ht="15.75" customHeight="1"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X670" s="2"/>
      <c r="AY670" s="2"/>
      <c r="AZ670" s="2"/>
      <c r="BA670" s="4"/>
    </row>
    <row r="671" spans="2:53" ht="15.75" customHeight="1"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X671" s="2"/>
      <c r="AY671" s="2"/>
      <c r="AZ671" s="2"/>
      <c r="BA671" s="4"/>
    </row>
    <row r="672" spans="2:53" ht="15.75" customHeight="1"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X672" s="2"/>
      <c r="AY672" s="2"/>
      <c r="AZ672" s="2"/>
      <c r="BA672" s="4"/>
    </row>
    <row r="673" spans="2:53" ht="15.75" customHeight="1"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X673" s="2"/>
      <c r="AY673" s="2"/>
      <c r="AZ673" s="2"/>
      <c r="BA673" s="4"/>
    </row>
    <row r="674" spans="2:53" ht="15.75" customHeight="1"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X674" s="2"/>
      <c r="AY674" s="2"/>
      <c r="AZ674" s="2"/>
      <c r="BA674" s="4"/>
    </row>
    <row r="675" spans="2:53" ht="15.75" customHeight="1"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X675" s="2"/>
      <c r="AY675" s="2"/>
      <c r="AZ675" s="2"/>
      <c r="BA675" s="4"/>
    </row>
    <row r="676" spans="2:53" ht="15.75" customHeight="1"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X676" s="2"/>
      <c r="AY676" s="2"/>
      <c r="AZ676" s="2"/>
      <c r="BA676" s="4"/>
    </row>
    <row r="677" spans="2:53" ht="15.75" customHeight="1"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X677" s="2"/>
      <c r="AY677" s="2"/>
      <c r="AZ677" s="2"/>
      <c r="BA677" s="4"/>
    </row>
    <row r="678" spans="2:53" ht="15.75" customHeight="1"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X678" s="2"/>
      <c r="AY678" s="2"/>
      <c r="AZ678" s="2"/>
      <c r="BA678" s="4"/>
    </row>
    <row r="679" spans="2:53" ht="15.75" customHeight="1"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X679" s="2"/>
      <c r="AY679" s="2"/>
      <c r="AZ679" s="2"/>
      <c r="BA679" s="4"/>
    </row>
    <row r="680" spans="2:53" ht="15.75" customHeight="1"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X680" s="2"/>
      <c r="AY680" s="2"/>
      <c r="AZ680" s="2"/>
      <c r="BA680" s="4"/>
    </row>
    <row r="681" spans="2:53" ht="15.75" customHeight="1"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X681" s="2"/>
      <c r="AY681" s="2"/>
      <c r="AZ681" s="2"/>
      <c r="BA681" s="4"/>
    </row>
    <row r="682" spans="2:53" ht="15.75" customHeight="1"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X682" s="2"/>
      <c r="AY682" s="2"/>
      <c r="AZ682" s="2"/>
      <c r="BA682" s="4"/>
    </row>
    <row r="683" spans="2:53" ht="15.75" customHeight="1"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X683" s="2"/>
      <c r="AY683" s="2"/>
      <c r="AZ683" s="2"/>
      <c r="BA683" s="4"/>
    </row>
    <row r="684" spans="2:53" ht="15.75" customHeight="1"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X684" s="2"/>
      <c r="AY684" s="2"/>
      <c r="AZ684" s="2"/>
      <c r="BA684" s="4"/>
    </row>
    <row r="685" spans="2:53" ht="15.75" customHeight="1"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X685" s="2"/>
      <c r="AY685" s="2"/>
      <c r="AZ685" s="2"/>
      <c r="BA685" s="4"/>
    </row>
    <row r="686" spans="2:53" ht="15.75" customHeight="1"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X686" s="2"/>
      <c r="AY686" s="2"/>
      <c r="AZ686" s="2"/>
      <c r="BA686" s="4"/>
    </row>
    <row r="687" spans="2:53" ht="15.75" customHeight="1"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X687" s="2"/>
      <c r="AY687" s="2"/>
      <c r="AZ687" s="2"/>
      <c r="BA687" s="4"/>
    </row>
    <row r="688" spans="2:53" ht="15.75" customHeight="1"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X688" s="2"/>
      <c r="AY688" s="2"/>
      <c r="AZ688" s="2"/>
      <c r="BA688" s="4"/>
    </row>
    <row r="689" spans="2:53" ht="15.75" customHeight="1"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X689" s="2"/>
      <c r="AY689" s="2"/>
      <c r="AZ689" s="2"/>
      <c r="BA689" s="4"/>
    </row>
    <row r="690" spans="2:53" ht="15.75" customHeight="1"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X690" s="2"/>
      <c r="AY690" s="2"/>
      <c r="AZ690" s="2"/>
      <c r="BA690" s="4"/>
    </row>
    <row r="691" spans="2:53" ht="15.75" customHeight="1"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X691" s="2"/>
      <c r="AY691" s="2"/>
      <c r="AZ691" s="2"/>
      <c r="BA691" s="4"/>
    </row>
    <row r="692" spans="2:53" ht="15.75" customHeight="1"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X692" s="2"/>
      <c r="AY692" s="2"/>
      <c r="AZ692" s="2"/>
      <c r="BA692" s="4"/>
    </row>
    <row r="693" spans="2:53" ht="15.75" customHeight="1"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X693" s="2"/>
      <c r="AY693" s="2"/>
      <c r="AZ693" s="2"/>
      <c r="BA693" s="4"/>
    </row>
    <row r="694" spans="2:53" ht="15.75" customHeight="1"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X694" s="2"/>
      <c r="AY694" s="2"/>
      <c r="AZ694" s="2"/>
      <c r="BA694" s="4"/>
    </row>
    <row r="695" spans="2:53" ht="15.75" customHeight="1"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X695" s="2"/>
      <c r="AY695" s="2"/>
      <c r="AZ695" s="2"/>
      <c r="BA695" s="4"/>
    </row>
    <row r="696" spans="2:53" ht="15.75" customHeight="1"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X696" s="2"/>
      <c r="AY696" s="2"/>
      <c r="AZ696" s="2"/>
      <c r="BA696" s="4"/>
    </row>
    <row r="697" spans="2:53" ht="15.75" customHeight="1"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X697" s="2"/>
      <c r="AY697" s="2"/>
      <c r="AZ697" s="2"/>
      <c r="BA697" s="4"/>
    </row>
    <row r="698" spans="2:53" ht="15.75" customHeight="1"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X698" s="2"/>
      <c r="AY698" s="2"/>
      <c r="AZ698" s="2"/>
      <c r="BA698" s="4"/>
    </row>
    <row r="699" spans="2:53" ht="15.75" customHeight="1"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X699" s="2"/>
      <c r="AY699" s="2"/>
      <c r="AZ699" s="2"/>
      <c r="BA699" s="4"/>
    </row>
    <row r="700" spans="2:53" ht="15.75" customHeight="1"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X700" s="2"/>
      <c r="AY700" s="2"/>
      <c r="AZ700" s="2"/>
      <c r="BA700" s="4"/>
    </row>
    <row r="701" spans="2:53" ht="15.75" customHeight="1"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X701" s="2"/>
      <c r="AY701" s="2"/>
      <c r="AZ701" s="2"/>
      <c r="BA701" s="4"/>
    </row>
    <row r="702" spans="2:53" ht="15.75" customHeight="1"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X702" s="2"/>
      <c r="AY702" s="2"/>
      <c r="AZ702" s="2"/>
      <c r="BA702" s="4"/>
    </row>
    <row r="703" spans="2:53" ht="15.75" customHeight="1"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X703" s="2"/>
      <c r="AY703" s="2"/>
      <c r="AZ703" s="2"/>
      <c r="BA703" s="4"/>
    </row>
    <row r="704" spans="2:53" ht="15.75" customHeight="1"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X704" s="2"/>
      <c r="AY704" s="2"/>
      <c r="AZ704" s="2"/>
      <c r="BA704" s="4"/>
    </row>
    <row r="705" spans="2:53" ht="15.75" customHeight="1"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X705" s="2"/>
      <c r="AY705" s="2"/>
      <c r="AZ705" s="2"/>
      <c r="BA705" s="4"/>
    </row>
    <row r="706" spans="2:53" ht="15.75" customHeight="1"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X706" s="2"/>
      <c r="AY706" s="2"/>
      <c r="AZ706" s="2"/>
      <c r="BA706" s="4"/>
    </row>
    <row r="707" spans="2:53" ht="15.75" customHeight="1"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X707" s="2"/>
      <c r="AY707" s="2"/>
      <c r="AZ707" s="2"/>
      <c r="BA707" s="4"/>
    </row>
    <row r="708" spans="2:53" ht="15.75" customHeight="1"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X708" s="2"/>
      <c r="AY708" s="2"/>
      <c r="AZ708" s="2"/>
      <c r="BA708" s="4"/>
    </row>
    <row r="709" spans="2:53" ht="15.75" customHeight="1"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X709" s="2"/>
      <c r="AY709" s="2"/>
      <c r="AZ709" s="2"/>
      <c r="BA709" s="4"/>
    </row>
    <row r="710" spans="2:53" ht="15.75" customHeight="1"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X710" s="2"/>
      <c r="AY710" s="2"/>
      <c r="AZ710" s="2"/>
      <c r="BA710" s="4"/>
    </row>
    <row r="711" spans="2:53" ht="15.75" customHeight="1"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X711" s="2"/>
      <c r="AY711" s="2"/>
      <c r="AZ711" s="2"/>
      <c r="BA711" s="4"/>
    </row>
    <row r="712" spans="2:53" ht="15.75" customHeight="1"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X712" s="2"/>
      <c r="AY712" s="2"/>
      <c r="AZ712" s="2"/>
      <c r="BA712" s="4"/>
    </row>
    <row r="713" spans="2:53" ht="15.75" customHeight="1"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X713" s="2"/>
      <c r="AY713" s="2"/>
      <c r="AZ713" s="2"/>
      <c r="BA713" s="4"/>
    </row>
    <row r="714" spans="2:53" ht="15.75" customHeight="1"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X714" s="2"/>
      <c r="AY714" s="2"/>
      <c r="AZ714" s="2"/>
      <c r="BA714" s="4"/>
    </row>
    <row r="715" spans="2:53" ht="15.75" customHeight="1"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X715" s="2"/>
      <c r="AY715" s="2"/>
      <c r="AZ715" s="2"/>
      <c r="BA715" s="4"/>
    </row>
    <row r="716" spans="2:53" ht="15.75" customHeight="1"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X716" s="2"/>
      <c r="AY716" s="2"/>
      <c r="AZ716" s="2"/>
      <c r="BA716" s="4"/>
    </row>
    <row r="717" spans="2:53" ht="15.75" customHeight="1"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X717" s="2"/>
      <c r="AY717" s="2"/>
      <c r="AZ717" s="2"/>
      <c r="BA717" s="4"/>
    </row>
    <row r="718" spans="2:53" ht="15.75" customHeight="1"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X718" s="2"/>
      <c r="AY718" s="2"/>
      <c r="AZ718" s="2"/>
      <c r="BA718" s="4"/>
    </row>
    <row r="719" spans="2:53" ht="15.75" customHeight="1"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X719" s="2"/>
      <c r="AY719" s="2"/>
      <c r="AZ719" s="2"/>
      <c r="BA719" s="4"/>
    </row>
    <row r="720" spans="2:53" ht="15.75" customHeight="1"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X720" s="2"/>
      <c r="AY720" s="2"/>
      <c r="AZ720" s="2"/>
      <c r="BA720" s="4"/>
    </row>
    <row r="721" spans="2:53" ht="15.75" customHeight="1"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X721" s="2"/>
      <c r="AY721" s="2"/>
      <c r="AZ721" s="2"/>
      <c r="BA721" s="4"/>
    </row>
    <row r="722" spans="2:53" ht="15.75" customHeight="1"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X722" s="2"/>
      <c r="AY722" s="2"/>
      <c r="AZ722" s="2"/>
      <c r="BA722" s="4"/>
    </row>
    <row r="723" spans="2:53" ht="15.75" customHeight="1"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X723" s="2"/>
      <c r="AY723" s="2"/>
      <c r="AZ723" s="2"/>
      <c r="BA723" s="4"/>
    </row>
    <row r="724" spans="2:53" ht="15.75" customHeight="1"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X724" s="2"/>
      <c r="AY724" s="2"/>
      <c r="AZ724" s="2"/>
      <c r="BA724" s="4"/>
    </row>
    <row r="725" spans="2:53" ht="15.75" customHeight="1"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X725" s="2"/>
      <c r="AY725" s="2"/>
      <c r="AZ725" s="2"/>
      <c r="BA725" s="4"/>
    </row>
    <row r="726" spans="2:53" ht="15.75" customHeight="1"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X726" s="2"/>
      <c r="AY726" s="2"/>
      <c r="AZ726" s="2"/>
      <c r="BA726" s="4"/>
    </row>
    <row r="727" spans="2:53" ht="15.75" customHeight="1"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X727" s="2"/>
      <c r="AY727" s="2"/>
      <c r="AZ727" s="2"/>
      <c r="BA727" s="4"/>
    </row>
    <row r="728" spans="2:53" ht="15.75" customHeight="1"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X728" s="2"/>
      <c r="AY728" s="2"/>
      <c r="AZ728" s="2"/>
      <c r="BA728" s="4"/>
    </row>
    <row r="729" spans="2:53" ht="15.75" customHeight="1"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X729" s="2"/>
      <c r="AY729" s="2"/>
      <c r="AZ729" s="2"/>
      <c r="BA729" s="4"/>
    </row>
    <row r="730" spans="2:53" ht="15.75" customHeight="1"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X730" s="2"/>
      <c r="AY730" s="2"/>
      <c r="AZ730" s="2"/>
      <c r="BA730" s="4"/>
    </row>
    <row r="731" spans="2:53" ht="15.75" customHeight="1"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X731" s="2"/>
      <c r="AY731" s="2"/>
      <c r="AZ731" s="2"/>
      <c r="BA731" s="4"/>
    </row>
    <row r="732" spans="2:53" ht="15.75" customHeight="1"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X732" s="2"/>
      <c r="AY732" s="2"/>
      <c r="AZ732" s="2"/>
      <c r="BA732" s="4"/>
    </row>
    <row r="733" spans="2:53" ht="15.75" customHeight="1"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X733" s="2"/>
      <c r="AY733" s="2"/>
      <c r="AZ733" s="2"/>
      <c r="BA733" s="4"/>
    </row>
    <row r="734" spans="2:53" ht="15.75" customHeight="1"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X734" s="2"/>
      <c r="AY734" s="2"/>
      <c r="AZ734" s="2"/>
      <c r="BA734" s="4"/>
    </row>
    <row r="735" spans="2:53" ht="15.75" customHeight="1"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X735" s="2"/>
      <c r="AY735" s="2"/>
      <c r="AZ735" s="2"/>
      <c r="BA735" s="4"/>
    </row>
    <row r="736" spans="2:53" ht="15.75" customHeight="1"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X736" s="2"/>
      <c r="AY736" s="2"/>
      <c r="AZ736" s="2"/>
      <c r="BA736" s="4"/>
    </row>
    <row r="737" spans="2:53" ht="15.75" customHeight="1"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X737" s="2"/>
      <c r="AY737" s="2"/>
      <c r="AZ737" s="2"/>
      <c r="BA737" s="4"/>
    </row>
    <row r="738" spans="2:53" ht="15.75" customHeight="1"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X738" s="2"/>
      <c r="AY738" s="2"/>
      <c r="AZ738" s="2"/>
      <c r="BA738" s="4"/>
    </row>
    <row r="739" spans="2:53" ht="15.75" customHeight="1"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X739" s="2"/>
      <c r="AY739" s="2"/>
      <c r="AZ739" s="2"/>
      <c r="BA739" s="4"/>
    </row>
    <row r="740" spans="2:53" ht="15.75" customHeight="1"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X740" s="2"/>
      <c r="AY740" s="2"/>
      <c r="AZ740" s="2"/>
      <c r="BA740" s="4"/>
    </row>
    <row r="741" spans="2:53" ht="15.75" customHeight="1"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X741" s="2"/>
      <c r="AY741" s="2"/>
      <c r="AZ741" s="2"/>
      <c r="BA741" s="4"/>
    </row>
    <row r="742" spans="2:53" ht="15.75" customHeight="1"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X742" s="2"/>
      <c r="AY742" s="2"/>
      <c r="AZ742" s="2"/>
      <c r="BA742" s="4"/>
    </row>
    <row r="743" spans="2:53" ht="15.75" customHeight="1"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X743" s="2"/>
      <c r="AY743" s="2"/>
      <c r="AZ743" s="2"/>
      <c r="BA743" s="4"/>
    </row>
    <row r="744" spans="2:53" ht="15.75" customHeight="1"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X744" s="2"/>
      <c r="AY744" s="2"/>
      <c r="AZ744" s="2"/>
      <c r="BA744" s="4"/>
    </row>
    <row r="745" spans="2:53" ht="15.75" customHeight="1"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X745" s="2"/>
      <c r="AY745" s="2"/>
      <c r="AZ745" s="2"/>
      <c r="BA745" s="4"/>
    </row>
    <row r="746" spans="2:53" ht="15.75" customHeight="1"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X746" s="2"/>
      <c r="AY746" s="2"/>
      <c r="AZ746" s="2"/>
      <c r="BA746" s="4"/>
    </row>
    <row r="747" spans="2:53" ht="15.75" customHeight="1"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X747" s="2"/>
      <c r="AY747" s="2"/>
      <c r="AZ747" s="2"/>
      <c r="BA747" s="4"/>
    </row>
    <row r="748" spans="2:53" ht="15.75" customHeight="1"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X748" s="2"/>
      <c r="AY748" s="2"/>
      <c r="AZ748" s="2"/>
      <c r="BA748" s="4"/>
    </row>
    <row r="749" spans="2:53" ht="15.75" customHeight="1"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X749" s="2"/>
      <c r="AY749" s="2"/>
      <c r="AZ749" s="2"/>
      <c r="BA749" s="4"/>
    </row>
    <row r="750" spans="2:53" ht="15.75" customHeight="1"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X750" s="2"/>
      <c r="AY750" s="2"/>
      <c r="AZ750" s="2"/>
      <c r="BA750" s="4"/>
    </row>
    <row r="751" spans="2:53" ht="15.75" customHeight="1"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X751" s="2"/>
      <c r="AY751" s="2"/>
      <c r="AZ751" s="2"/>
      <c r="BA751" s="4"/>
    </row>
    <row r="752" spans="2:53" ht="15.75" customHeight="1"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X752" s="2"/>
      <c r="AY752" s="2"/>
      <c r="AZ752" s="2"/>
      <c r="BA752" s="4"/>
    </row>
    <row r="753" spans="2:53" ht="15.75" customHeight="1"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X753" s="2"/>
      <c r="AY753" s="2"/>
      <c r="AZ753" s="2"/>
      <c r="BA753" s="4"/>
    </row>
    <row r="754" spans="2:53" ht="15.75" customHeight="1"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X754" s="2"/>
      <c r="AY754" s="2"/>
      <c r="AZ754" s="2"/>
      <c r="BA754" s="4"/>
    </row>
    <row r="755" spans="2:53" ht="15.75" customHeight="1"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X755" s="2"/>
      <c r="AY755" s="2"/>
      <c r="AZ755" s="2"/>
      <c r="BA755" s="4"/>
    </row>
    <row r="756" spans="2:53" ht="15.75" customHeight="1"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X756" s="2"/>
      <c r="AY756" s="2"/>
      <c r="AZ756" s="2"/>
      <c r="BA756" s="4"/>
    </row>
    <row r="757" spans="2:53" ht="15.75" customHeight="1"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X757" s="2"/>
      <c r="AY757" s="2"/>
      <c r="AZ757" s="2"/>
      <c r="BA757" s="4"/>
    </row>
    <row r="758" spans="2:53" ht="15.75" customHeight="1"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X758" s="2"/>
      <c r="AY758" s="2"/>
      <c r="AZ758" s="2"/>
      <c r="BA758" s="4"/>
    </row>
    <row r="759" spans="2:53" ht="15.75" customHeight="1"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X759" s="2"/>
      <c r="AY759" s="2"/>
      <c r="AZ759" s="2"/>
      <c r="BA759" s="4"/>
    </row>
    <row r="760" spans="2:53" ht="15.75" customHeight="1"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X760" s="2"/>
      <c r="AY760" s="2"/>
      <c r="AZ760" s="2"/>
      <c r="BA760" s="4"/>
    </row>
    <row r="761" spans="2:53" ht="15.75" customHeight="1"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X761" s="2"/>
      <c r="AY761" s="2"/>
      <c r="AZ761" s="2"/>
      <c r="BA761" s="4"/>
    </row>
    <row r="762" spans="2:53" ht="15.75" customHeight="1"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X762" s="2"/>
      <c r="AY762" s="2"/>
      <c r="AZ762" s="2"/>
      <c r="BA762" s="4"/>
    </row>
    <row r="763" spans="2:53" ht="15.75" customHeight="1"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X763" s="2"/>
      <c r="AY763" s="2"/>
      <c r="AZ763" s="2"/>
      <c r="BA763" s="4"/>
    </row>
    <row r="764" spans="2:53" ht="15.75" customHeight="1"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X764" s="2"/>
      <c r="AY764" s="2"/>
      <c r="AZ764" s="2"/>
      <c r="BA764" s="4"/>
    </row>
    <row r="765" spans="2:53" ht="15.75" customHeight="1"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X765" s="2"/>
      <c r="AY765" s="2"/>
      <c r="AZ765" s="2"/>
      <c r="BA765" s="4"/>
    </row>
    <row r="766" spans="2:53" ht="15.75" customHeight="1"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X766" s="2"/>
      <c r="AY766" s="2"/>
      <c r="AZ766" s="2"/>
      <c r="BA766" s="4"/>
    </row>
    <row r="767" spans="2:53" ht="15.75" customHeight="1"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X767" s="2"/>
      <c r="AY767" s="2"/>
      <c r="AZ767" s="2"/>
      <c r="BA767" s="4"/>
    </row>
    <row r="768" spans="2:53" ht="15.75" customHeight="1"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X768" s="2"/>
      <c r="AY768" s="2"/>
      <c r="AZ768" s="2"/>
      <c r="BA768" s="4"/>
    </row>
    <row r="769" spans="2:53" ht="15.75" customHeight="1"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X769" s="2"/>
      <c r="AY769" s="2"/>
      <c r="AZ769" s="2"/>
      <c r="BA769" s="4"/>
    </row>
    <row r="770" spans="2:53" ht="15.75" customHeight="1"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X770" s="2"/>
      <c r="AY770" s="2"/>
      <c r="AZ770" s="2"/>
      <c r="BA770" s="4"/>
    </row>
    <row r="771" spans="2:53" ht="15.75" customHeight="1"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X771" s="2"/>
      <c r="AY771" s="2"/>
      <c r="AZ771" s="2"/>
      <c r="BA771" s="4"/>
    </row>
    <row r="772" spans="2:53" ht="15.75" customHeight="1"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X772" s="2"/>
      <c r="AY772" s="2"/>
      <c r="AZ772" s="2"/>
      <c r="BA772" s="4"/>
    </row>
    <row r="773" spans="2:53" ht="15.75" customHeight="1"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X773" s="2"/>
      <c r="AY773" s="2"/>
      <c r="AZ773" s="2"/>
      <c r="BA773" s="4"/>
    </row>
    <row r="774" spans="2:53" ht="15.75" customHeight="1"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X774" s="2"/>
      <c r="AY774" s="2"/>
      <c r="AZ774" s="2"/>
      <c r="BA774" s="4"/>
    </row>
    <row r="775" spans="2:53" ht="15.75" customHeight="1"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X775" s="2"/>
      <c r="AY775" s="2"/>
      <c r="AZ775" s="2"/>
      <c r="BA775" s="4"/>
    </row>
    <row r="776" spans="2:53" ht="15.75" customHeight="1"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X776" s="2"/>
      <c r="AY776" s="2"/>
      <c r="AZ776" s="2"/>
      <c r="BA776" s="4"/>
    </row>
    <row r="777" spans="2:53" ht="15.75" customHeight="1"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X777" s="2"/>
      <c r="AY777" s="2"/>
      <c r="AZ777" s="2"/>
      <c r="BA777" s="4"/>
    </row>
    <row r="778" spans="2:53" ht="15.75" customHeight="1"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X778" s="2"/>
      <c r="AY778" s="2"/>
      <c r="AZ778" s="2"/>
      <c r="BA778" s="4"/>
    </row>
    <row r="779" spans="2:53" ht="15.75" customHeight="1"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X779" s="2"/>
      <c r="AY779" s="2"/>
      <c r="AZ779" s="2"/>
      <c r="BA779" s="4"/>
    </row>
    <row r="780" spans="2:53" ht="15.75" customHeight="1"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X780" s="2"/>
      <c r="AY780" s="2"/>
      <c r="AZ780" s="2"/>
      <c r="BA780" s="4"/>
    </row>
    <row r="781" spans="2:53" ht="15.75" customHeight="1"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X781" s="2"/>
      <c r="AY781" s="2"/>
      <c r="AZ781" s="2"/>
      <c r="BA781" s="4"/>
    </row>
    <row r="782" spans="2:53" ht="15.75" customHeight="1"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X782" s="2"/>
      <c r="AY782" s="2"/>
      <c r="AZ782" s="2"/>
      <c r="BA782" s="4"/>
    </row>
    <row r="783" spans="2:53" ht="15.75" customHeight="1"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X783" s="2"/>
      <c r="AY783" s="2"/>
      <c r="AZ783" s="2"/>
      <c r="BA783" s="4"/>
    </row>
    <row r="784" spans="2:53" ht="15.75" customHeight="1"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X784" s="2"/>
      <c r="AY784" s="2"/>
      <c r="AZ784" s="2"/>
      <c r="BA784" s="4"/>
    </row>
    <row r="785" spans="2:53" ht="15.75" customHeight="1"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X785" s="2"/>
      <c r="AY785" s="2"/>
      <c r="AZ785" s="2"/>
      <c r="BA785" s="4"/>
    </row>
    <row r="786" spans="2:53" ht="15.75" customHeight="1"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X786" s="2"/>
      <c r="AY786" s="2"/>
      <c r="AZ786" s="2"/>
      <c r="BA786" s="4"/>
    </row>
    <row r="787" spans="2:53" ht="15.75" customHeight="1"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X787" s="2"/>
      <c r="AY787" s="2"/>
      <c r="AZ787" s="2"/>
      <c r="BA787" s="4"/>
    </row>
    <row r="788" spans="2:53" ht="15.75" customHeight="1"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X788" s="2"/>
      <c r="AY788" s="2"/>
      <c r="AZ788" s="2"/>
      <c r="BA788" s="4"/>
    </row>
    <row r="789" spans="2:53" ht="15.75" customHeight="1"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X789" s="2"/>
      <c r="AY789" s="2"/>
      <c r="AZ789" s="2"/>
      <c r="BA789" s="4"/>
    </row>
    <row r="790" spans="2:53" ht="15.75" customHeight="1"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X790" s="2"/>
      <c r="AY790" s="2"/>
      <c r="AZ790" s="2"/>
      <c r="BA790" s="4"/>
    </row>
    <row r="791" spans="2:53" ht="15.75" customHeight="1"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X791" s="2"/>
      <c r="AY791" s="2"/>
      <c r="AZ791" s="2"/>
      <c r="BA791" s="4"/>
    </row>
    <row r="792" spans="2:53" ht="15.75" customHeight="1"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X792" s="2"/>
      <c r="AY792" s="2"/>
      <c r="AZ792" s="2"/>
      <c r="BA792" s="4"/>
    </row>
    <row r="793" spans="2:53" ht="15.75" customHeight="1"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X793" s="2"/>
      <c r="AY793" s="2"/>
      <c r="AZ793" s="2"/>
      <c r="BA793" s="4"/>
    </row>
    <row r="794" spans="2:53" ht="15.75" customHeight="1"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X794" s="2"/>
      <c r="AY794" s="2"/>
      <c r="AZ794" s="2"/>
      <c r="BA794" s="4"/>
    </row>
    <row r="795" spans="2:53" ht="15.75" customHeight="1"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X795" s="2"/>
      <c r="AY795" s="2"/>
      <c r="AZ795" s="2"/>
      <c r="BA795" s="4"/>
    </row>
    <row r="796" spans="2:53" ht="15.75" customHeight="1"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X796" s="2"/>
      <c r="AY796" s="2"/>
      <c r="AZ796" s="2"/>
      <c r="BA796" s="4"/>
    </row>
    <row r="797" spans="2:53" ht="15.75" customHeight="1"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X797" s="2"/>
      <c r="AY797" s="2"/>
      <c r="AZ797" s="2"/>
      <c r="BA797" s="4"/>
    </row>
    <row r="798" spans="2:53" ht="15.75" customHeight="1"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X798" s="2"/>
      <c r="AY798" s="2"/>
      <c r="AZ798" s="2"/>
      <c r="BA798" s="4"/>
    </row>
    <row r="799" spans="2:53" ht="15.75" customHeight="1"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X799" s="2"/>
      <c r="AY799" s="2"/>
      <c r="AZ799" s="2"/>
      <c r="BA799" s="4"/>
    </row>
    <row r="800" spans="2:53" ht="15.75" customHeight="1"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X800" s="2"/>
      <c r="AY800" s="2"/>
      <c r="AZ800" s="2"/>
      <c r="BA800" s="4"/>
    </row>
    <row r="801" spans="2:53" ht="15.75" customHeight="1"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X801" s="2"/>
      <c r="AY801" s="2"/>
      <c r="AZ801" s="2"/>
      <c r="BA801" s="4"/>
    </row>
    <row r="802" spans="2:53" ht="15.75" customHeight="1"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X802" s="2"/>
      <c r="AY802" s="2"/>
      <c r="AZ802" s="2"/>
      <c r="BA802" s="4"/>
    </row>
    <row r="803" spans="2:53" ht="15.75" customHeight="1"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X803" s="2"/>
      <c r="AY803" s="2"/>
      <c r="AZ803" s="2"/>
      <c r="BA803" s="4"/>
    </row>
    <row r="804" spans="2:53" ht="15.75" customHeight="1"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X804" s="2"/>
      <c r="AY804" s="2"/>
      <c r="AZ804" s="2"/>
      <c r="BA804" s="4"/>
    </row>
    <row r="805" spans="2:53" ht="15.75" customHeight="1"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X805" s="2"/>
      <c r="AY805" s="2"/>
      <c r="AZ805" s="2"/>
      <c r="BA805" s="4"/>
    </row>
    <row r="806" spans="2:53" ht="15.75" customHeight="1"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X806" s="2"/>
      <c r="AY806" s="2"/>
      <c r="AZ806" s="2"/>
      <c r="BA806" s="4"/>
    </row>
    <row r="807" spans="2:53" ht="15.75" customHeight="1"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X807" s="2"/>
      <c r="AY807" s="2"/>
      <c r="AZ807" s="2"/>
      <c r="BA807" s="4"/>
    </row>
    <row r="808" spans="2:53" ht="15.75" customHeight="1"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X808" s="2"/>
      <c r="AY808" s="2"/>
      <c r="AZ808" s="2"/>
      <c r="BA808" s="4"/>
    </row>
    <row r="809" spans="2:53" ht="15.75" customHeight="1"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X809" s="2"/>
      <c r="AY809" s="2"/>
      <c r="AZ809" s="2"/>
      <c r="BA809" s="4"/>
    </row>
    <row r="810" spans="2:53" ht="15.75" customHeight="1"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X810" s="2"/>
      <c r="AY810" s="2"/>
      <c r="AZ810" s="2"/>
      <c r="BA810" s="4"/>
    </row>
    <row r="811" spans="2:53" ht="15.75" customHeight="1"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X811" s="2"/>
      <c r="AY811" s="2"/>
      <c r="AZ811" s="2"/>
      <c r="BA811" s="4"/>
    </row>
    <row r="812" spans="2:53" ht="15.75" customHeight="1"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X812" s="2"/>
      <c r="AY812" s="2"/>
      <c r="AZ812" s="2"/>
      <c r="BA812" s="4"/>
    </row>
    <row r="813" spans="2:53" ht="15.75" customHeight="1"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X813" s="2"/>
      <c r="AY813" s="2"/>
      <c r="AZ813" s="2"/>
      <c r="BA813" s="4"/>
    </row>
    <row r="814" spans="2:53" ht="15.75" customHeight="1"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X814" s="2"/>
      <c r="AY814" s="2"/>
      <c r="AZ814" s="2"/>
      <c r="BA814" s="4"/>
    </row>
    <row r="815" spans="2:53" ht="15.75" customHeight="1"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X815" s="2"/>
      <c r="AY815" s="2"/>
      <c r="AZ815" s="2"/>
      <c r="BA815" s="4"/>
    </row>
    <row r="816" spans="2:53" ht="15.75" customHeight="1"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X816" s="2"/>
      <c r="AY816" s="2"/>
      <c r="AZ816" s="2"/>
      <c r="BA816" s="4"/>
    </row>
    <row r="817" spans="2:53" ht="15.75" customHeight="1"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X817" s="2"/>
      <c r="AY817" s="2"/>
      <c r="AZ817" s="2"/>
      <c r="BA817" s="4"/>
    </row>
    <row r="818" spans="2:53" ht="15.75" customHeight="1"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X818" s="2"/>
      <c r="AY818" s="2"/>
      <c r="AZ818" s="2"/>
      <c r="BA818" s="4"/>
    </row>
    <row r="819" spans="2:53" ht="15.75" customHeight="1"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X819" s="2"/>
      <c r="AY819" s="2"/>
      <c r="AZ819" s="2"/>
      <c r="BA819" s="4"/>
    </row>
    <row r="820" spans="2:53" ht="15.75" customHeight="1"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X820" s="2"/>
      <c r="AY820" s="2"/>
      <c r="AZ820" s="2"/>
      <c r="BA820" s="4"/>
    </row>
    <row r="821" spans="2:53" ht="15.75" customHeight="1"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X821" s="2"/>
      <c r="AY821" s="2"/>
      <c r="AZ821" s="2"/>
      <c r="BA821" s="4"/>
    </row>
    <row r="822" spans="2:53" ht="15.75" customHeight="1"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X822" s="2"/>
      <c r="AY822" s="2"/>
      <c r="AZ822" s="2"/>
      <c r="BA822" s="4"/>
    </row>
    <row r="823" spans="2:53" ht="15.75" customHeight="1"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X823" s="2"/>
      <c r="AY823" s="2"/>
      <c r="AZ823" s="2"/>
      <c r="BA823" s="4"/>
    </row>
    <row r="824" spans="2:53" ht="15.75" customHeight="1"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X824" s="2"/>
      <c r="AY824" s="2"/>
      <c r="AZ824" s="2"/>
      <c r="BA824" s="4"/>
    </row>
    <row r="825" spans="2:53" ht="15.75" customHeight="1"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X825" s="2"/>
      <c r="AY825" s="2"/>
      <c r="AZ825" s="2"/>
      <c r="BA825" s="4"/>
    </row>
    <row r="826" spans="2:53" ht="15.75" customHeight="1"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X826" s="2"/>
      <c r="AY826" s="2"/>
      <c r="AZ826" s="2"/>
      <c r="BA826" s="4"/>
    </row>
    <row r="827" spans="2:53" ht="15.75" customHeight="1"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X827" s="2"/>
      <c r="AY827" s="2"/>
      <c r="AZ827" s="2"/>
      <c r="BA827" s="4"/>
    </row>
    <row r="828" spans="2:53" ht="15.75" customHeight="1"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X828" s="2"/>
      <c r="AY828" s="2"/>
      <c r="AZ828" s="2"/>
      <c r="BA828" s="4"/>
    </row>
    <row r="829" spans="2:53" ht="15.75" customHeight="1"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X829" s="2"/>
      <c r="AY829" s="2"/>
      <c r="AZ829" s="2"/>
      <c r="BA829" s="4"/>
    </row>
    <row r="830" spans="2:53" ht="15.75" customHeight="1"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X830" s="2"/>
      <c r="AY830" s="2"/>
      <c r="AZ830" s="2"/>
      <c r="BA830" s="4"/>
    </row>
    <row r="831" spans="2:53" ht="15.75" customHeight="1"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X831" s="2"/>
      <c r="AY831" s="2"/>
      <c r="AZ831" s="2"/>
      <c r="BA831" s="4"/>
    </row>
    <row r="832" spans="2:53" ht="15.75" customHeight="1"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X832" s="2"/>
      <c r="AY832" s="2"/>
      <c r="AZ832" s="2"/>
      <c r="BA832" s="4"/>
    </row>
    <row r="833" spans="2:53" ht="15.75" customHeight="1"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X833" s="2"/>
      <c r="AY833" s="2"/>
      <c r="AZ833" s="2"/>
      <c r="BA833" s="4"/>
    </row>
    <row r="834" spans="2:53" ht="15.75" customHeight="1"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X834" s="2"/>
      <c r="AY834" s="2"/>
      <c r="AZ834" s="2"/>
      <c r="BA834" s="4"/>
    </row>
    <row r="835" spans="2:53" ht="15.75" customHeight="1"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X835" s="2"/>
      <c r="AY835" s="2"/>
      <c r="AZ835" s="2"/>
      <c r="BA835" s="4"/>
    </row>
    <row r="836" spans="2:53" ht="15.75" customHeight="1"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X836" s="2"/>
      <c r="AY836" s="2"/>
      <c r="AZ836" s="2"/>
      <c r="BA836" s="4"/>
    </row>
    <row r="837" spans="2:53" ht="15.75" customHeight="1"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X837" s="2"/>
      <c r="AY837" s="2"/>
      <c r="AZ837" s="2"/>
      <c r="BA837" s="4"/>
    </row>
    <row r="838" spans="2:53" ht="15.75" customHeight="1"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X838" s="2"/>
      <c r="AY838" s="2"/>
      <c r="AZ838" s="2"/>
      <c r="BA838" s="4"/>
    </row>
    <row r="839" spans="2:53" ht="15.75" customHeight="1"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X839" s="2"/>
      <c r="AY839" s="2"/>
      <c r="AZ839" s="2"/>
      <c r="BA839" s="4"/>
    </row>
    <row r="840" spans="2:53" ht="15.75" customHeight="1"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X840" s="2"/>
      <c r="AY840" s="2"/>
      <c r="AZ840" s="2"/>
      <c r="BA840" s="4"/>
    </row>
    <row r="841" spans="2:53" ht="15.75" customHeight="1"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X841" s="2"/>
      <c r="AY841" s="2"/>
      <c r="AZ841" s="2"/>
      <c r="BA841" s="4"/>
    </row>
    <row r="842" spans="2:53" ht="15.75" customHeight="1"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X842" s="2"/>
      <c r="AY842" s="2"/>
      <c r="AZ842" s="2"/>
      <c r="BA842" s="4"/>
    </row>
    <row r="843" spans="2:53" ht="15.75" customHeight="1"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X843" s="2"/>
      <c r="AY843" s="2"/>
      <c r="AZ843" s="2"/>
      <c r="BA843" s="4"/>
    </row>
    <row r="844" spans="2:53" ht="15.75" customHeight="1"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X844" s="2"/>
      <c r="AY844" s="2"/>
      <c r="AZ844" s="2"/>
      <c r="BA844" s="4"/>
    </row>
    <row r="845" spans="2:53" ht="15.75" customHeight="1"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X845" s="2"/>
      <c r="AY845" s="2"/>
      <c r="AZ845" s="2"/>
      <c r="BA845" s="4"/>
    </row>
    <row r="846" spans="2:53" ht="15.75" customHeight="1"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X846" s="2"/>
      <c r="AY846" s="2"/>
      <c r="AZ846" s="2"/>
      <c r="BA846" s="4"/>
    </row>
    <row r="847" spans="2:53" ht="15.75" customHeight="1"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X847" s="2"/>
      <c r="AY847" s="2"/>
      <c r="AZ847" s="2"/>
      <c r="BA847" s="4"/>
    </row>
    <row r="848" spans="2:53" ht="15.75" customHeight="1"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X848" s="2"/>
      <c r="AY848" s="2"/>
      <c r="AZ848" s="2"/>
      <c r="BA848" s="4"/>
    </row>
    <row r="849" spans="2:53" ht="15.75" customHeight="1"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X849" s="2"/>
      <c r="AY849" s="2"/>
      <c r="AZ849" s="2"/>
      <c r="BA849" s="4"/>
    </row>
    <row r="850" spans="2:53" ht="15.75" customHeight="1"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X850" s="2"/>
      <c r="AY850" s="2"/>
      <c r="AZ850" s="2"/>
      <c r="BA850" s="4"/>
    </row>
    <row r="851" spans="2:53" ht="15.75" customHeight="1"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X851" s="2"/>
      <c r="AY851" s="2"/>
      <c r="AZ851" s="2"/>
      <c r="BA851" s="4"/>
    </row>
    <row r="852" spans="2:53" ht="15.75" customHeight="1"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X852" s="2"/>
      <c r="AY852" s="2"/>
      <c r="AZ852" s="2"/>
      <c r="BA852" s="4"/>
    </row>
    <row r="853" spans="2:53" ht="15.75" customHeight="1"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X853" s="2"/>
      <c r="AY853" s="2"/>
      <c r="AZ853" s="2"/>
      <c r="BA853" s="4"/>
    </row>
    <row r="854" spans="2:53" ht="15.75" customHeight="1"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X854" s="2"/>
      <c r="AY854" s="2"/>
      <c r="AZ854" s="2"/>
      <c r="BA854" s="4"/>
    </row>
    <row r="855" spans="2:53" ht="15.75" customHeight="1"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X855" s="2"/>
      <c r="AY855" s="2"/>
      <c r="AZ855" s="2"/>
      <c r="BA855" s="4"/>
    </row>
    <row r="856" spans="2:53" ht="15.75" customHeight="1"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X856" s="2"/>
      <c r="AY856" s="2"/>
      <c r="AZ856" s="2"/>
      <c r="BA856" s="4"/>
    </row>
    <row r="857" spans="2:53" ht="15.75" customHeight="1"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X857" s="2"/>
      <c r="AY857" s="2"/>
      <c r="AZ857" s="2"/>
      <c r="BA857" s="4"/>
    </row>
    <row r="858" spans="2:53" ht="15.75" customHeight="1"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X858" s="2"/>
      <c r="AY858" s="2"/>
      <c r="AZ858" s="2"/>
      <c r="BA858" s="4"/>
    </row>
    <row r="859" spans="2:53" ht="15.75" customHeight="1"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X859" s="2"/>
      <c r="AY859" s="2"/>
      <c r="AZ859" s="2"/>
      <c r="BA859" s="4"/>
    </row>
    <row r="860" spans="2:53" ht="15.75" customHeight="1"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X860" s="2"/>
      <c r="AY860" s="2"/>
      <c r="AZ860" s="2"/>
      <c r="BA860" s="4"/>
    </row>
    <row r="861" spans="2:53" ht="15.75" customHeight="1"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X861" s="2"/>
      <c r="AY861" s="2"/>
      <c r="AZ861" s="2"/>
      <c r="BA861" s="4"/>
    </row>
    <row r="862" spans="2:53" ht="15.75" customHeight="1"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X862" s="2"/>
      <c r="AY862" s="2"/>
      <c r="AZ862" s="2"/>
      <c r="BA862" s="4"/>
    </row>
    <row r="863" spans="2:53" ht="15.75" customHeight="1"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X863" s="2"/>
      <c r="AY863" s="2"/>
      <c r="AZ863" s="2"/>
      <c r="BA863" s="4"/>
    </row>
    <row r="864" spans="2:53" ht="15.75" customHeight="1"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X864" s="2"/>
      <c r="AY864" s="2"/>
      <c r="AZ864" s="2"/>
      <c r="BA864" s="4"/>
    </row>
    <row r="865" spans="2:53" ht="15.75" customHeight="1"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X865" s="2"/>
      <c r="AY865" s="2"/>
      <c r="AZ865" s="2"/>
      <c r="BA865" s="4"/>
    </row>
    <row r="866" spans="2:53" ht="15.75" customHeight="1"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X866" s="2"/>
      <c r="AY866" s="2"/>
      <c r="AZ866" s="2"/>
      <c r="BA866" s="4"/>
    </row>
    <row r="867" spans="2:53" ht="15.75" customHeight="1"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X867" s="2"/>
      <c r="AY867" s="2"/>
      <c r="AZ867" s="2"/>
      <c r="BA867" s="4"/>
    </row>
    <row r="868" spans="2:53" ht="15.75" customHeight="1"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X868" s="2"/>
      <c r="AY868" s="2"/>
      <c r="AZ868" s="2"/>
      <c r="BA868" s="4"/>
    </row>
    <row r="869" spans="2:53" ht="15.75" customHeight="1"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X869" s="2"/>
      <c r="AY869" s="2"/>
      <c r="AZ869" s="2"/>
      <c r="BA869" s="4"/>
    </row>
    <row r="870" spans="2:53" ht="15.75" customHeight="1"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X870" s="2"/>
      <c r="AY870" s="2"/>
      <c r="AZ870" s="2"/>
      <c r="BA870" s="4"/>
    </row>
    <row r="871" spans="2:53" ht="15.75" customHeight="1"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X871" s="2"/>
      <c r="AY871" s="2"/>
      <c r="AZ871" s="2"/>
      <c r="BA871" s="4"/>
    </row>
    <row r="872" spans="2:53" ht="15.75" customHeight="1"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X872" s="2"/>
      <c r="AY872" s="2"/>
      <c r="AZ872" s="2"/>
      <c r="BA872" s="4"/>
    </row>
    <row r="873" spans="2:53" ht="15.75" customHeight="1"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X873" s="2"/>
      <c r="AY873" s="2"/>
      <c r="AZ873" s="2"/>
      <c r="BA873" s="4"/>
    </row>
    <row r="874" spans="2:53" ht="15.75" customHeight="1"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X874" s="2"/>
      <c r="AY874" s="2"/>
      <c r="AZ874" s="2"/>
      <c r="BA874" s="4"/>
    </row>
    <row r="875" spans="2:53" ht="15.75" customHeight="1"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X875" s="2"/>
      <c r="AY875" s="2"/>
      <c r="AZ875" s="2"/>
      <c r="BA875" s="4"/>
    </row>
    <row r="876" spans="2:53" ht="15.75" customHeight="1"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X876" s="2"/>
      <c r="AY876" s="2"/>
      <c r="AZ876" s="2"/>
      <c r="BA876" s="4"/>
    </row>
    <row r="877" spans="2:53" ht="15.75" customHeight="1"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X877" s="2"/>
      <c r="AY877" s="2"/>
      <c r="AZ877" s="2"/>
      <c r="BA877" s="4"/>
    </row>
    <row r="878" spans="2:53" ht="15.75" customHeight="1"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X878" s="2"/>
      <c r="AY878" s="2"/>
      <c r="AZ878" s="2"/>
      <c r="BA878" s="4"/>
    </row>
    <row r="879" spans="2:53" ht="15.75" customHeight="1"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X879" s="2"/>
      <c r="AY879" s="2"/>
      <c r="AZ879" s="2"/>
      <c r="BA879" s="4"/>
    </row>
    <row r="880" spans="2:53" ht="15.75" customHeight="1"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X880" s="2"/>
      <c r="AY880" s="2"/>
      <c r="AZ880" s="2"/>
      <c r="BA880" s="4"/>
    </row>
    <row r="881" spans="2:53" ht="15.75" customHeight="1"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X881" s="2"/>
      <c r="AY881" s="2"/>
      <c r="AZ881" s="2"/>
      <c r="BA881" s="4"/>
    </row>
    <row r="882" spans="2:53" ht="15.75" customHeight="1"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X882" s="2"/>
      <c r="AY882" s="2"/>
      <c r="AZ882" s="2"/>
      <c r="BA882" s="4"/>
    </row>
    <row r="883" spans="2:53" ht="15.75" customHeight="1"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X883" s="2"/>
      <c r="AY883" s="2"/>
      <c r="AZ883" s="2"/>
      <c r="BA883" s="4"/>
    </row>
    <row r="884" spans="2:53" ht="15.75" customHeight="1"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X884" s="2"/>
      <c r="AY884" s="2"/>
      <c r="AZ884" s="2"/>
      <c r="BA884" s="4"/>
    </row>
    <row r="885" spans="2:53" ht="15.75" customHeight="1"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X885" s="2"/>
      <c r="AY885" s="2"/>
      <c r="AZ885" s="2"/>
      <c r="BA885" s="4"/>
    </row>
    <row r="886" spans="2:53" ht="15.75" customHeight="1"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X886" s="2"/>
      <c r="AY886" s="2"/>
      <c r="AZ886" s="2"/>
      <c r="BA886" s="4"/>
    </row>
    <row r="887" spans="2:53" ht="15.75" customHeight="1"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X887" s="2"/>
      <c r="AY887" s="2"/>
      <c r="AZ887" s="2"/>
      <c r="BA887" s="4"/>
    </row>
    <row r="888" spans="2:53" ht="15.75" customHeight="1"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X888" s="2"/>
      <c r="AY888" s="2"/>
      <c r="AZ888" s="2"/>
      <c r="BA888" s="4"/>
    </row>
    <row r="889" spans="2:53" ht="15.75" customHeight="1"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X889" s="2"/>
      <c r="AY889" s="2"/>
      <c r="AZ889" s="2"/>
      <c r="BA889" s="4"/>
    </row>
    <row r="890" spans="2:53" ht="15.75" customHeight="1"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X890" s="2"/>
      <c r="AY890" s="2"/>
      <c r="AZ890" s="2"/>
      <c r="BA890" s="4"/>
    </row>
    <row r="891" spans="2:53" ht="15.75" customHeight="1"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X891" s="2"/>
      <c r="AY891" s="2"/>
      <c r="AZ891" s="2"/>
      <c r="BA891" s="4"/>
    </row>
    <row r="892" spans="2:53" ht="15.75" customHeight="1"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X892" s="2"/>
      <c r="AY892" s="2"/>
      <c r="AZ892" s="2"/>
      <c r="BA892" s="4"/>
    </row>
    <row r="893" spans="2:53" ht="15.75" customHeight="1"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X893" s="2"/>
      <c r="AY893" s="2"/>
      <c r="AZ893" s="2"/>
      <c r="BA893" s="4"/>
    </row>
    <row r="894" spans="2:53" ht="15.75" customHeight="1"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X894" s="2"/>
      <c r="AY894" s="2"/>
      <c r="AZ894" s="2"/>
      <c r="BA894" s="4"/>
    </row>
    <row r="895" spans="2:53" ht="15.75" customHeight="1"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X895" s="2"/>
      <c r="AY895" s="2"/>
      <c r="AZ895" s="2"/>
      <c r="BA895" s="4"/>
    </row>
    <row r="896" spans="2:53" ht="15.75" customHeight="1"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X896" s="2"/>
      <c r="AY896" s="2"/>
      <c r="AZ896" s="2"/>
      <c r="BA896" s="4"/>
    </row>
    <row r="897" spans="2:53" ht="15.75" customHeight="1"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X897" s="2"/>
      <c r="AY897" s="2"/>
      <c r="AZ897" s="2"/>
      <c r="BA897" s="4"/>
    </row>
    <row r="898" spans="2:53" ht="15.75" customHeight="1"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X898" s="2"/>
      <c r="AY898" s="2"/>
      <c r="AZ898" s="2"/>
      <c r="BA898" s="4"/>
    </row>
    <row r="899" spans="2:53" ht="15.75" customHeight="1"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X899" s="2"/>
      <c r="AY899" s="2"/>
      <c r="AZ899" s="2"/>
      <c r="BA899" s="4"/>
    </row>
    <row r="900" spans="2:53" ht="15.75" customHeight="1"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X900" s="2"/>
      <c r="AY900" s="2"/>
      <c r="AZ900" s="2"/>
      <c r="BA900" s="4"/>
    </row>
    <row r="901" spans="2:53" ht="15.75" customHeight="1"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X901" s="2"/>
      <c r="AY901" s="2"/>
      <c r="AZ901" s="2"/>
      <c r="BA901" s="4"/>
    </row>
    <row r="902" spans="2:53" ht="15.75" customHeight="1"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X902" s="2"/>
      <c r="AY902" s="2"/>
      <c r="AZ902" s="2"/>
      <c r="BA902" s="4"/>
    </row>
    <row r="903" spans="2:53" ht="15.75" customHeight="1"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X903" s="2"/>
      <c r="AY903" s="2"/>
      <c r="AZ903" s="2"/>
      <c r="BA903" s="4"/>
    </row>
    <row r="904" spans="2:53" ht="15.75" customHeight="1"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X904" s="2"/>
      <c r="AY904" s="2"/>
      <c r="AZ904" s="2"/>
      <c r="BA904" s="4"/>
    </row>
    <row r="905" spans="2:53" ht="15.75" customHeight="1"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X905" s="2"/>
      <c r="AY905" s="2"/>
      <c r="AZ905" s="2"/>
      <c r="BA905" s="4"/>
    </row>
    <row r="906" spans="2:53" ht="15.75" customHeight="1"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X906" s="2"/>
      <c r="AY906" s="2"/>
      <c r="AZ906" s="2"/>
      <c r="BA906" s="4"/>
    </row>
    <row r="907" spans="2:53" ht="15.75" customHeight="1"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X907" s="2"/>
      <c r="AY907" s="2"/>
      <c r="AZ907" s="2"/>
      <c r="BA907" s="4"/>
    </row>
    <row r="908" spans="2:53" ht="15.75" customHeight="1"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X908" s="2"/>
      <c r="AY908" s="2"/>
      <c r="AZ908" s="2"/>
      <c r="BA908" s="4"/>
    </row>
    <row r="909" spans="2:53" ht="15.75" customHeight="1"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X909" s="2"/>
      <c r="AY909" s="2"/>
      <c r="AZ909" s="2"/>
      <c r="BA909" s="4"/>
    </row>
    <row r="910" spans="2:53" ht="15.75" customHeight="1"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X910" s="2"/>
      <c r="AY910" s="2"/>
      <c r="AZ910" s="2"/>
      <c r="BA910" s="4"/>
    </row>
    <row r="911" spans="2:53" ht="15.75" customHeight="1"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X911" s="2"/>
      <c r="AY911" s="2"/>
      <c r="AZ911" s="2"/>
      <c r="BA911" s="4"/>
    </row>
    <row r="912" spans="2:53" ht="15.75" customHeight="1"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X912" s="2"/>
      <c r="AY912" s="2"/>
      <c r="AZ912" s="2"/>
      <c r="BA912" s="4"/>
    </row>
    <row r="913" spans="2:53" ht="15.75" customHeight="1"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X913" s="2"/>
      <c r="AY913" s="2"/>
      <c r="AZ913" s="2"/>
      <c r="BA913" s="4"/>
    </row>
    <row r="914" spans="2:53" ht="15.75" customHeight="1"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X914" s="2"/>
      <c r="AY914" s="2"/>
      <c r="AZ914" s="2"/>
      <c r="BA914" s="4"/>
    </row>
    <row r="915" spans="2:53" ht="15.75" customHeight="1"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X915" s="2"/>
      <c r="AY915" s="2"/>
      <c r="AZ915" s="2"/>
      <c r="BA915" s="4"/>
    </row>
    <row r="916" spans="2:53" ht="15.75" customHeight="1"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X916" s="2"/>
      <c r="AY916" s="2"/>
      <c r="AZ916" s="2"/>
      <c r="BA916" s="4"/>
    </row>
    <row r="917" spans="2:53" ht="15.75" customHeight="1"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X917" s="2"/>
      <c r="AY917" s="2"/>
      <c r="AZ917" s="2"/>
      <c r="BA917" s="4"/>
    </row>
    <row r="918" spans="2:53" ht="15.75" customHeight="1"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X918" s="2"/>
      <c r="AY918" s="2"/>
      <c r="AZ918" s="2"/>
      <c r="BA918" s="4"/>
    </row>
    <row r="919" spans="2:53" ht="15.75" customHeight="1"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X919" s="2"/>
      <c r="AY919" s="2"/>
      <c r="AZ919" s="2"/>
      <c r="BA919" s="4"/>
    </row>
    <row r="920" spans="2:53" ht="15.75" customHeight="1"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X920" s="2"/>
      <c r="AY920" s="2"/>
      <c r="AZ920" s="2"/>
      <c r="BA920" s="4"/>
    </row>
    <row r="921" spans="2:53" ht="15.75" customHeight="1"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X921" s="2"/>
      <c r="AY921" s="2"/>
      <c r="AZ921" s="2"/>
      <c r="BA921" s="4"/>
    </row>
    <row r="922" spans="2:53" ht="15.75" customHeight="1"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X922" s="2"/>
      <c r="AY922" s="2"/>
      <c r="AZ922" s="2"/>
      <c r="BA922" s="4"/>
    </row>
    <row r="923" spans="2:53" ht="15.75" customHeight="1"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X923" s="2"/>
      <c r="AY923" s="2"/>
      <c r="AZ923" s="2"/>
      <c r="BA923" s="4"/>
    </row>
    <row r="924" spans="2:53" ht="15.75" customHeight="1"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X924" s="2"/>
      <c r="AY924" s="2"/>
      <c r="AZ924" s="2"/>
      <c r="BA924" s="4"/>
    </row>
    <row r="925" spans="2:53" ht="15.75" customHeight="1"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X925" s="2"/>
      <c r="AY925" s="2"/>
      <c r="AZ925" s="2"/>
      <c r="BA925" s="4"/>
    </row>
    <row r="926" spans="2:53" ht="15.75" customHeight="1"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X926" s="2"/>
      <c r="AY926" s="2"/>
      <c r="AZ926" s="2"/>
      <c r="BA926" s="4"/>
    </row>
    <row r="927" spans="2:53" ht="15.75" customHeight="1"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X927" s="2"/>
      <c r="AY927" s="2"/>
      <c r="AZ927" s="2"/>
      <c r="BA927" s="4"/>
    </row>
    <row r="928" spans="2:53" ht="15.75" customHeight="1"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X928" s="2"/>
      <c r="AY928" s="2"/>
      <c r="AZ928" s="2"/>
      <c r="BA928" s="4"/>
    </row>
    <row r="929" spans="2:53" ht="15.75" customHeight="1"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X929" s="2"/>
      <c r="AY929" s="2"/>
      <c r="AZ929" s="2"/>
      <c r="BA929" s="4"/>
    </row>
    <row r="930" spans="2:53" ht="15.75" customHeight="1"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X930" s="2"/>
      <c r="AY930" s="2"/>
      <c r="AZ930" s="2"/>
      <c r="BA930" s="4"/>
    </row>
    <row r="931" spans="2:53" ht="15.75" customHeight="1"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X931" s="2"/>
      <c r="AY931" s="2"/>
      <c r="AZ931" s="2"/>
      <c r="BA931" s="4"/>
    </row>
    <row r="932" spans="2:53" ht="15.75" customHeight="1"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X932" s="2"/>
      <c r="AY932" s="2"/>
      <c r="AZ932" s="2"/>
      <c r="BA932" s="4"/>
    </row>
    <row r="933" spans="2:53" ht="15.75" customHeight="1"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X933" s="2"/>
      <c r="AY933" s="2"/>
      <c r="AZ933" s="2"/>
      <c r="BA933" s="4"/>
    </row>
    <row r="934" spans="2:53" ht="15.75" customHeight="1"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X934" s="2"/>
      <c r="AY934" s="2"/>
      <c r="AZ934" s="2"/>
      <c r="BA934" s="4"/>
    </row>
    <row r="935" spans="2:53" ht="15.75" customHeight="1"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X935" s="2"/>
      <c r="AY935" s="2"/>
      <c r="AZ935" s="2"/>
      <c r="BA935" s="4"/>
    </row>
    <row r="936" spans="2:53" ht="15.75" customHeight="1"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X936" s="2"/>
      <c r="AY936" s="2"/>
      <c r="AZ936" s="2"/>
      <c r="BA936" s="4"/>
    </row>
    <row r="937" spans="2:53" ht="15.75" customHeight="1"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X937" s="2"/>
      <c r="AY937" s="2"/>
      <c r="AZ937" s="2"/>
      <c r="BA937" s="4"/>
    </row>
    <row r="938" spans="2:53" ht="15.75" customHeight="1"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X938" s="2"/>
      <c r="AY938" s="2"/>
      <c r="AZ938" s="2"/>
      <c r="BA938" s="4"/>
    </row>
    <row r="939" spans="2:53" ht="15.75" customHeight="1"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X939" s="2"/>
      <c r="AY939" s="2"/>
      <c r="AZ939" s="2"/>
      <c r="BA939" s="4"/>
    </row>
    <row r="940" spans="2:53" ht="15.75" customHeight="1"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X940" s="2"/>
      <c r="AY940" s="2"/>
      <c r="AZ940" s="2"/>
      <c r="BA940" s="4"/>
    </row>
    <row r="941" spans="2:53" ht="15.75" customHeight="1"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X941" s="2"/>
      <c r="AY941" s="2"/>
      <c r="AZ941" s="2"/>
      <c r="BA941" s="4"/>
    </row>
    <row r="942" spans="2:53" ht="15.75" customHeight="1"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X942" s="2"/>
      <c r="AY942" s="2"/>
      <c r="AZ942" s="2"/>
      <c r="BA942" s="4"/>
    </row>
    <row r="943" spans="2:53" ht="15.75" customHeight="1"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X943" s="2"/>
      <c r="AY943" s="2"/>
      <c r="AZ943" s="2"/>
      <c r="BA943" s="4"/>
    </row>
    <row r="944" spans="2:53" ht="15.75" customHeight="1"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X944" s="2"/>
      <c r="AY944" s="2"/>
      <c r="AZ944" s="2"/>
      <c r="BA944" s="4"/>
    </row>
    <row r="945" spans="2:53" ht="15.75" customHeight="1"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X945" s="2"/>
      <c r="AY945" s="2"/>
      <c r="AZ945" s="2"/>
      <c r="BA945" s="4"/>
    </row>
    <row r="946" spans="2:53" ht="15.75" customHeight="1"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X946" s="2"/>
      <c r="AY946" s="2"/>
      <c r="AZ946" s="2"/>
      <c r="BA946" s="4"/>
    </row>
    <row r="947" spans="2:53" ht="15.75" customHeight="1"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X947" s="2"/>
      <c r="AY947" s="2"/>
      <c r="AZ947" s="2"/>
      <c r="BA947" s="4"/>
    </row>
    <row r="948" spans="2:53" ht="15.75" customHeight="1"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X948" s="2"/>
      <c r="AY948" s="2"/>
      <c r="AZ948" s="2"/>
      <c r="BA948" s="4"/>
    </row>
    <row r="949" spans="2:53" ht="15.75" customHeight="1"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X949" s="2"/>
      <c r="AY949" s="2"/>
      <c r="AZ949" s="2"/>
      <c r="BA949" s="4"/>
    </row>
    <row r="950" spans="2:53" ht="15.75" customHeight="1"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X950" s="2"/>
      <c r="AY950" s="2"/>
      <c r="AZ950" s="2"/>
      <c r="BA950" s="4"/>
    </row>
    <row r="951" spans="2:53" ht="15.75" customHeight="1"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X951" s="2"/>
      <c r="AY951" s="2"/>
      <c r="AZ951" s="2"/>
      <c r="BA951" s="4"/>
    </row>
    <row r="952" spans="2:53" ht="15.75" customHeight="1"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X952" s="2"/>
      <c r="AY952" s="2"/>
      <c r="AZ952" s="2"/>
      <c r="BA952" s="4"/>
    </row>
    <row r="953" spans="2:53" ht="15.75" customHeight="1"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X953" s="2"/>
      <c r="AY953" s="2"/>
      <c r="AZ953" s="2"/>
      <c r="BA953" s="4"/>
    </row>
    <row r="954" spans="2:53" ht="15.75" customHeight="1"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X954" s="2"/>
      <c r="AY954" s="2"/>
      <c r="AZ954" s="2"/>
      <c r="BA954" s="4"/>
    </row>
    <row r="955" spans="2:53" ht="15.75" customHeight="1"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X955" s="2"/>
      <c r="AY955" s="2"/>
      <c r="AZ955" s="2"/>
      <c r="BA955" s="4"/>
    </row>
    <row r="956" spans="2:53" ht="15.75" customHeight="1"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X956" s="2"/>
      <c r="AY956" s="2"/>
      <c r="AZ956" s="2"/>
      <c r="BA956" s="4"/>
    </row>
    <row r="957" spans="2:53" ht="15.75" customHeight="1"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X957" s="2"/>
      <c r="AY957" s="2"/>
      <c r="AZ957" s="2"/>
      <c r="BA957" s="4"/>
    </row>
    <row r="958" spans="2:53" ht="15.75" customHeight="1"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X958" s="2"/>
      <c r="AY958" s="2"/>
      <c r="AZ958" s="2"/>
      <c r="BA958" s="4"/>
    </row>
    <row r="959" spans="2:53" ht="15.75" customHeight="1"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X959" s="2"/>
      <c r="AY959" s="2"/>
      <c r="AZ959" s="2"/>
      <c r="BA959" s="4"/>
    </row>
    <row r="960" spans="2:53" ht="15.75" customHeight="1"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X960" s="2"/>
      <c r="AY960" s="2"/>
      <c r="AZ960" s="2"/>
      <c r="BA960" s="4"/>
    </row>
    <row r="961" spans="2:53" ht="15.75" customHeight="1"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X961" s="2"/>
      <c r="AY961" s="2"/>
      <c r="AZ961" s="2"/>
      <c r="BA961" s="4"/>
    </row>
    <row r="962" spans="2:53" ht="15.75" customHeight="1"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X962" s="2"/>
      <c r="AY962" s="2"/>
      <c r="AZ962" s="2"/>
      <c r="BA962" s="4"/>
    </row>
    <row r="963" spans="2:53" ht="15.75" customHeight="1"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X963" s="2"/>
      <c r="AY963" s="2"/>
      <c r="AZ963" s="2"/>
      <c r="BA963" s="4"/>
    </row>
    <row r="964" spans="2:53" ht="15.75" customHeight="1"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X964" s="2"/>
      <c r="AY964" s="2"/>
      <c r="AZ964" s="2"/>
      <c r="BA964" s="4"/>
    </row>
    <row r="965" spans="2:53" ht="15.75" customHeight="1"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X965" s="2"/>
      <c r="AY965" s="2"/>
      <c r="AZ965" s="2"/>
      <c r="BA965" s="4"/>
    </row>
    <row r="966" spans="2:53" ht="15.75" customHeight="1"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X966" s="2"/>
      <c r="AY966" s="2"/>
      <c r="AZ966" s="2"/>
      <c r="BA966" s="4"/>
    </row>
    <row r="967" spans="2:53" ht="15.75" customHeight="1"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X967" s="2"/>
      <c r="AY967" s="2"/>
      <c r="AZ967" s="2"/>
      <c r="BA967" s="4"/>
    </row>
    <row r="968" spans="2:53" ht="15.75" customHeight="1"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X968" s="2"/>
      <c r="AY968" s="2"/>
      <c r="AZ968" s="2"/>
      <c r="BA968" s="4"/>
    </row>
    <row r="969" spans="2:53" ht="15.75" customHeight="1"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X969" s="2"/>
      <c r="AY969" s="2"/>
      <c r="AZ969" s="2"/>
      <c r="BA969" s="4"/>
    </row>
    <row r="970" spans="2:53" ht="15.75" customHeight="1"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X970" s="2"/>
      <c r="AY970" s="2"/>
      <c r="AZ970" s="2"/>
      <c r="BA970" s="4"/>
    </row>
    <row r="971" spans="2:53" ht="15.75" customHeight="1"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X971" s="2"/>
      <c r="AY971" s="2"/>
      <c r="AZ971" s="2"/>
      <c r="BA971" s="4"/>
    </row>
    <row r="972" spans="2:53" ht="15.75" customHeight="1"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X972" s="2"/>
      <c r="AY972" s="2"/>
      <c r="AZ972" s="2"/>
      <c r="BA972" s="4"/>
    </row>
    <row r="973" spans="2:53" ht="15.75" customHeight="1"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X973" s="2"/>
      <c r="AY973" s="2"/>
      <c r="AZ973" s="2"/>
      <c r="BA973" s="4"/>
    </row>
    <row r="974" spans="2:53" ht="15.75" customHeight="1"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X974" s="2"/>
      <c r="AY974" s="2"/>
      <c r="AZ974" s="2"/>
      <c r="BA974" s="4"/>
    </row>
    <row r="975" spans="2:53" ht="15.75" customHeight="1"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X975" s="2"/>
      <c r="AY975" s="2"/>
      <c r="AZ975" s="2"/>
      <c r="BA975" s="4"/>
    </row>
    <row r="976" spans="2:53" ht="15.75" customHeight="1"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X976" s="2"/>
      <c r="AY976" s="2"/>
      <c r="AZ976" s="2"/>
      <c r="BA976" s="4"/>
    </row>
    <row r="977" spans="2:53" ht="15.75" customHeight="1"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X977" s="2"/>
      <c r="AY977" s="2"/>
      <c r="AZ977" s="2"/>
      <c r="BA977" s="4"/>
    </row>
    <row r="978" spans="2:53" ht="15.75" customHeight="1"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X978" s="2"/>
      <c r="AY978" s="2"/>
      <c r="AZ978" s="2"/>
      <c r="BA978" s="4"/>
    </row>
    <row r="979" spans="2:53" ht="15.75" customHeight="1"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X979" s="2"/>
      <c r="AY979" s="2"/>
      <c r="AZ979" s="2"/>
      <c r="BA979" s="4"/>
    </row>
    <row r="980" spans="2:53" ht="15.75" customHeight="1"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X980" s="2"/>
      <c r="AY980" s="2"/>
      <c r="AZ980" s="2"/>
      <c r="BA980" s="4"/>
    </row>
    <row r="981" spans="2:53" ht="15.75" customHeight="1"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X981" s="2"/>
      <c r="AY981" s="2"/>
      <c r="AZ981" s="2"/>
      <c r="BA981" s="4"/>
    </row>
    <row r="982" spans="2:53" ht="15.75" customHeight="1"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X982" s="2"/>
      <c r="AY982" s="2"/>
      <c r="AZ982" s="2"/>
      <c r="BA982" s="4"/>
    </row>
    <row r="983" spans="2:53" ht="15.75" customHeight="1"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X983" s="2"/>
      <c r="AY983" s="2"/>
      <c r="AZ983" s="2"/>
      <c r="BA983" s="4"/>
    </row>
    <row r="984" spans="2:53" ht="15.75" customHeight="1"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X984" s="2"/>
      <c r="AY984" s="2"/>
      <c r="AZ984" s="2"/>
      <c r="BA984" s="4"/>
    </row>
    <row r="985" spans="2:53" ht="15.75" customHeight="1"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X985" s="2"/>
      <c r="AY985" s="2"/>
      <c r="AZ985" s="2"/>
      <c r="BA985" s="4"/>
    </row>
    <row r="986" spans="2:53" ht="15.75" customHeight="1"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X986" s="2"/>
      <c r="AY986" s="2"/>
      <c r="AZ986" s="2"/>
      <c r="BA986" s="4"/>
    </row>
    <row r="987" spans="2:53" ht="15.75" customHeight="1"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X987" s="2"/>
      <c r="AY987" s="2"/>
      <c r="AZ987" s="2"/>
      <c r="BA987" s="4"/>
    </row>
    <row r="988" spans="2:53" ht="15.75" customHeight="1"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X988" s="2"/>
      <c r="AY988" s="2"/>
      <c r="AZ988" s="2"/>
      <c r="BA988" s="4"/>
    </row>
    <row r="989" spans="2:53" ht="15.75" customHeight="1"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X989" s="2"/>
      <c r="AY989" s="2"/>
      <c r="AZ989" s="2"/>
      <c r="BA989" s="4"/>
    </row>
    <row r="990" spans="2:53" ht="15.75" customHeight="1"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X990" s="2"/>
      <c r="AY990" s="2"/>
      <c r="AZ990" s="2"/>
      <c r="BA990" s="4"/>
    </row>
    <row r="991" spans="2:53" ht="15.75" customHeight="1"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X991" s="2"/>
      <c r="AY991" s="2"/>
      <c r="AZ991" s="2"/>
      <c r="BA991" s="4"/>
    </row>
    <row r="992" spans="2:53" ht="15.75" customHeight="1"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X992" s="2"/>
      <c r="AY992" s="2"/>
      <c r="AZ992" s="2"/>
      <c r="BA992" s="4"/>
    </row>
    <row r="993" spans="2:53" ht="15.75" customHeight="1"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X993" s="2"/>
      <c r="AY993" s="2"/>
      <c r="AZ993" s="2"/>
      <c r="BA993" s="4"/>
    </row>
    <row r="994" spans="2:53" ht="15.75" customHeight="1"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X994" s="2"/>
      <c r="AY994" s="2"/>
      <c r="AZ994" s="2"/>
      <c r="BA994" s="4"/>
    </row>
    <row r="995" spans="2:53" ht="15.75" customHeight="1"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X995" s="2"/>
      <c r="AY995" s="2"/>
      <c r="AZ995" s="2"/>
      <c r="BA995" s="4"/>
    </row>
    <row r="996" spans="2:53" ht="15.75" customHeight="1"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X996" s="2"/>
      <c r="AY996" s="2"/>
      <c r="AZ996" s="2"/>
      <c r="BA996" s="4"/>
    </row>
    <row r="997" spans="2:53" ht="15.75" customHeight="1"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X997" s="2"/>
      <c r="AY997" s="2"/>
      <c r="AZ997" s="2"/>
      <c r="BA997" s="4"/>
    </row>
    <row r="998" spans="2:53" ht="15.75" customHeight="1"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X998" s="2"/>
      <c r="AY998" s="2"/>
      <c r="AZ998" s="2"/>
      <c r="BA998" s="4"/>
    </row>
    <row r="999" spans="2:53" ht="15.75" customHeight="1"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X999" s="2"/>
      <c r="AY999" s="2"/>
      <c r="AZ999" s="2"/>
      <c r="BA999" s="4"/>
    </row>
    <row r="1000" spans="2:53" ht="15.75" customHeight="1"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X1000" s="2"/>
      <c r="AY1000" s="2"/>
      <c r="AZ1000" s="2"/>
      <c r="BA1000" s="4"/>
    </row>
  </sheetData>
  <mergeCells count="13">
    <mergeCell ref="E9:Q9"/>
    <mergeCell ref="R9:AC9"/>
    <mergeCell ref="AD9:AP9"/>
    <mergeCell ref="AQ9:AW9"/>
    <mergeCell ref="AN10:AP10"/>
    <mergeCell ref="AQ10:AW10"/>
    <mergeCell ref="A6:AZ6"/>
    <mergeCell ref="A7:AZ7"/>
    <mergeCell ref="A1:AZ1"/>
    <mergeCell ref="A2:AZ2"/>
    <mergeCell ref="A3:AZ3"/>
    <mergeCell ref="A4:AZ4"/>
    <mergeCell ref="A5:AZ5"/>
  </mergeCells>
  <conditionalFormatting sqref="D12:AW91">
    <cfRule type="containsText" dxfId="5" priority="1" operator="containsText" text="A">
      <formula>NOT(ISERROR(SEARCH(("A"),(D12))))</formula>
    </cfRule>
    <cfRule type="containsText" dxfId="4" priority="2" operator="containsText" text="P">
      <formula>NOT(ISERROR(SEARCH(("P"),(D12))))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961"/>
  <sheetViews>
    <sheetView topLeftCell="AP1" workbookViewId="0">
      <selection sqref="A1:AZ7"/>
    </sheetView>
  </sheetViews>
  <sheetFormatPr defaultColWidth="14.3984375" defaultRowHeight="15" customHeight="1"/>
  <cols>
    <col min="1" max="1" width="8.73046875" customWidth="1"/>
    <col min="2" max="2" width="18.86328125" customWidth="1"/>
    <col min="3" max="3" width="46.73046875" customWidth="1"/>
    <col min="4" max="14" width="3.86328125" customWidth="1"/>
    <col min="15" max="17" width="4" customWidth="1"/>
    <col min="18" max="24" width="3.3984375" customWidth="1"/>
    <col min="25" max="26" width="4.86328125" customWidth="1"/>
    <col min="27" max="27" width="4.59765625" customWidth="1"/>
    <col min="28" max="30" width="9.1328125" customWidth="1"/>
    <col min="31" max="31" width="13" customWidth="1"/>
    <col min="32" max="33" width="8.73046875" customWidth="1"/>
  </cols>
  <sheetData>
    <row r="1" spans="1:52" ht="15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2"/>
    </row>
    <row r="2" spans="1:52" ht="15" customHeight="1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2"/>
    </row>
    <row r="3" spans="1:52" ht="15" customHeight="1">
      <c r="A3" s="60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2"/>
    </row>
    <row r="4" spans="1:52" ht="15" customHeight="1">
      <c r="A4" s="60" t="s">
        <v>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2"/>
    </row>
    <row r="5" spans="1:52" ht="15" customHeight="1">
      <c r="A5" s="60" t="s">
        <v>183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2"/>
    </row>
    <row r="6" spans="1:52" ht="15" customHeight="1">
      <c r="A6" s="60" t="s">
        <v>5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2"/>
    </row>
    <row r="7" spans="1:52" ht="15" customHeight="1">
      <c r="A7" s="60" t="s">
        <v>6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2"/>
    </row>
    <row r="8" spans="1:52" ht="14.25"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AB8" s="2"/>
      <c r="AC8" s="2"/>
      <c r="AD8" s="2"/>
      <c r="AE8" s="4"/>
    </row>
    <row r="9" spans="1:52" ht="15" customHeight="1">
      <c r="B9" s="2"/>
      <c r="C9" s="3"/>
      <c r="D9" s="51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50"/>
      <c r="Q9" s="51"/>
      <c r="R9" s="49"/>
      <c r="S9" s="50"/>
      <c r="T9" s="33"/>
      <c r="U9" s="55"/>
      <c r="V9" s="49"/>
      <c r="W9" s="49"/>
      <c r="X9" s="50"/>
      <c r="Y9" s="33"/>
      <c r="Z9" s="33"/>
      <c r="AA9" s="33"/>
      <c r="AB9" s="5" t="s">
        <v>12</v>
      </c>
      <c r="AC9" s="5" t="s">
        <v>13</v>
      </c>
      <c r="AD9" s="5" t="s">
        <v>14</v>
      </c>
      <c r="AE9" s="5" t="s">
        <v>15</v>
      </c>
    </row>
    <row r="10" spans="1:52" ht="15" customHeight="1">
      <c r="B10" s="2"/>
      <c r="C10" s="3"/>
      <c r="D10" s="51" t="s">
        <v>8</v>
      </c>
      <c r="E10" s="49"/>
      <c r="F10" s="49"/>
      <c r="G10" s="50"/>
      <c r="H10" s="51" t="s">
        <v>9</v>
      </c>
      <c r="I10" s="49"/>
      <c r="J10" s="49"/>
      <c r="K10" s="50"/>
      <c r="L10" s="51" t="s">
        <v>10</v>
      </c>
      <c r="M10" s="49"/>
      <c r="N10" s="49"/>
      <c r="O10" s="49"/>
      <c r="P10" s="50"/>
      <c r="Q10" s="51" t="s">
        <v>11</v>
      </c>
      <c r="R10" s="49"/>
      <c r="S10" s="50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52" ht="14.25">
      <c r="A11" s="7" t="s">
        <v>16</v>
      </c>
      <c r="B11" s="8" t="s">
        <v>17</v>
      </c>
      <c r="C11" s="9" t="s">
        <v>18</v>
      </c>
      <c r="D11" s="8">
        <v>6</v>
      </c>
      <c r="E11" s="8">
        <v>13</v>
      </c>
      <c r="F11" s="8">
        <v>20</v>
      </c>
      <c r="G11" s="8">
        <v>27</v>
      </c>
      <c r="H11" s="8">
        <v>3</v>
      </c>
      <c r="I11" s="8">
        <v>10</v>
      </c>
      <c r="J11" s="8">
        <v>17</v>
      </c>
      <c r="K11" s="8">
        <v>24</v>
      </c>
      <c r="L11" s="8">
        <v>1</v>
      </c>
      <c r="M11" s="8">
        <v>8</v>
      </c>
      <c r="N11" s="8">
        <v>15</v>
      </c>
      <c r="O11" s="7">
        <v>22</v>
      </c>
      <c r="P11" s="7">
        <v>29</v>
      </c>
      <c r="Q11" s="7">
        <v>12</v>
      </c>
      <c r="R11" s="7">
        <v>19</v>
      </c>
      <c r="S11" s="7"/>
      <c r="T11" s="7"/>
      <c r="U11" s="7"/>
      <c r="V11" s="7"/>
      <c r="W11" s="7"/>
      <c r="X11" s="7"/>
      <c r="Y11" s="7"/>
      <c r="Z11" s="7"/>
      <c r="AA11" s="7"/>
      <c r="AB11" s="8"/>
      <c r="AC11" s="8"/>
      <c r="AD11" s="8"/>
      <c r="AE11" s="10"/>
    </row>
    <row r="12" spans="1:52" ht="14.25">
      <c r="A12" s="11">
        <v>1</v>
      </c>
      <c r="B12" s="12" t="s">
        <v>19</v>
      </c>
      <c r="C12" s="34" t="s">
        <v>20</v>
      </c>
      <c r="D12" s="11" t="s">
        <v>21</v>
      </c>
      <c r="E12" s="11" t="s">
        <v>21</v>
      </c>
      <c r="F12" s="11" t="s">
        <v>21</v>
      </c>
      <c r="G12" s="11" t="s">
        <v>21</v>
      </c>
      <c r="H12" s="11" t="s">
        <v>21</v>
      </c>
      <c r="I12" s="11" t="s">
        <v>21</v>
      </c>
      <c r="J12" s="11" t="s">
        <v>21</v>
      </c>
      <c r="K12" s="11" t="s">
        <v>21</v>
      </c>
      <c r="L12" s="11" t="s">
        <v>21</v>
      </c>
      <c r="M12" s="11" t="s">
        <v>21</v>
      </c>
      <c r="N12" s="11" t="s">
        <v>21</v>
      </c>
      <c r="O12" s="11" t="s">
        <v>21</v>
      </c>
      <c r="P12" s="11" t="s">
        <v>21</v>
      </c>
      <c r="Q12" s="16" t="s">
        <v>21</v>
      </c>
      <c r="R12" s="16" t="s">
        <v>22</v>
      </c>
      <c r="S12" s="16"/>
      <c r="T12" s="16"/>
      <c r="U12" s="16"/>
      <c r="V12" s="16"/>
      <c r="W12" s="16"/>
      <c r="X12" s="16"/>
      <c r="Y12" s="16"/>
      <c r="Z12" s="16"/>
      <c r="AA12" s="16"/>
      <c r="AB12" s="17">
        <f t="shared" ref="AB12:AB51" si="0">COUNTIF(D12:AA12, "*P*")</f>
        <v>14</v>
      </c>
      <c r="AC12" s="17">
        <f t="shared" ref="AC12:AC51" si="1">COUNTIF(D12:AA12, "*A*")</f>
        <v>1</v>
      </c>
      <c r="AD12" s="17">
        <f t="shared" ref="AD12:AD51" si="2">SUM(AB12,AC12)</f>
        <v>15</v>
      </c>
      <c r="AE12" s="18">
        <f t="shared" ref="AE12:AE51" si="3">(AB12/AD12)*100</f>
        <v>93.333333333333329</v>
      </c>
    </row>
    <row r="13" spans="1:52" ht="14.25">
      <c r="A13" s="11">
        <v>2</v>
      </c>
      <c r="B13" s="19" t="s">
        <v>23</v>
      </c>
      <c r="C13" s="35" t="s">
        <v>24</v>
      </c>
      <c r="D13" s="11" t="s">
        <v>21</v>
      </c>
      <c r="E13" s="11" t="s">
        <v>21</v>
      </c>
      <c r="F13" s="11" t="s">
        <v>21</v>
      </c>
      <c r="G13" s="14" t="s">
        <v>22</v>
      </c>
      <c r="H13" s="11" t="s">
        <v>21</v>
      </c>
      <c r="I13" s="11" t="s">
        <v>21</v>
      </c>
      <c r="J13" s="11" t="s">
        <v>21</v>
      </c>
      <c r="K13" s="11" t="s">
        <v>21</v>
      </c>
      <c r="L13" s="11" t="s">
        <v>21</v>
      </c>
      <c r="M13" s="11" t="s">
        <v>21</v>
      </c>
      <c r="N13" s="11" t="s">
        <v>21</v>
      </c>
      <c r="O13" s="14" t="s">
        <v>22</v>
      </c>
      <c r="P13" s="11" t="s">
        <v>21</v>
      </c>
      <c r="Q13" s="16" t="s">
        <v>21</v>
      </c>
      <c r="R13" s="16" t="s">
        <v>21</v>
      </c>
      <c r="S13" s="21"/>
      <c r="T13" s="16"/>
      <c r="U13" s="21"/>
      <c r="V13" s="16"/>
      <c r="W13" s="16"/>
      <c r="X13" s="16"/>
      <c r="Y13" s="16"/>
      <c r="Z13" s="16"/>
      <c r="AA13" s="16"/>
      <c r="AB13" s="17">
        <f t="shared" si="0"/>
        <v>13</v>
      </c>
      <c r="AC13" s="17">
        <f t="shared" si="1"/>
        <v>2</v>
      </c>
      <c r="AD13" s="17">
        <f t="shared" si="2"/>
        <v>15</v>
      </c>
      <c r="AE13" s="18">
        <f t="shared" si="3"/>
        <v>86.666666666666671</v>
      </c>
    </row>
    <row r="14" spans="1:52" ht="14.25">
      <c r="A14" s="11">
        <v>3</v>
      </c>
      <c r="B14" s="19" t="s">
        <v>25</v>
      </c>
      <c r="C14" s="35" t="s">
        <v>26</v>
      </c>
      <c r="D14" s="11" t="s">
        <v>21</v>
      </c>
      <c r="E14" s="11" t="s">
        <v>21</v>
      </c>
      <c r="F14" s="11" t="s">
        <v>21</v>
      </c>
      <c r="G14" s="11" t="s">
        <v>21</v>
      </c>
      <c r="H14" s="11" t="s">
        <v>21</v>
      </c>
      <c r="I14" s="11" t="s">
        <v>21</v>
      </c>
      <c r="J14" s="11" t="s">
        <v>21</v>
      </c>
      <c r="K14" s="11" t="s">
        <v>21</v>
      </c>
      <c r="L14" s="14" t="s">
        <v>22</v>
      </c>
      <c r="M14" s="11" t="s">
        <v>21</v>
      </c>
      <c r="N14" s="11" t="s">
        <v>21</v>
      </c>
      <c r="O14" s="11" t="s">
        <v>21</v>
      </c>
      <c r="P14" s="11" t="s">
        <v>21</v>
      </c>
      <c r="Q14" s="16" t="s">
        <v>21</v>
      </c>
      <c r="R14" s="16" t="s">
        <v>21</v>
      </c>
      <c r="S14" s="16"/>
      <c r="T14" s="16"/>
      <c r="U14" s="21"/>
      <c r="V14" s="16"/>
      <c r="W14" s="16"/>
      <c r="X14" s="16"/>
      <c r="Y14" s="16"/>
      <c r="Z14" s="16"/>
      <c r="AA14" s="16"/>
      <c r="AB14" s="17">
        <f t="shared" si="0"/>
        <v>14</v>
      </c>
      <c r="AC14" s="17">
        <f t="shared" si="1"/>
        <v>1</v>
      </c>
      <c r="AD14" s="17">
        <f t="shared" si="2"/>
        <v>15</v>
      </c>
      <c r="AE14" s="18">
        <f t="shared" si="3"/>
        <v>93.333333333333329</v>
      </c>
    </row>
    <row r="15" spans="1:52" ht="14.25">
      <c r="A15" s="11">
        <v>4</v>
      </c>
      <c r="B15" s="19" t="s">
        <v>27</v>
      </c>
      <c r="C15" s="35" t="s">
        <v>28</v>
      </c>
      <c r="D15" s="11" t="s">
        <v>21</v>
      </c>
      <c r="E15" s="11" t="s">
        <v>21</v>
      </c>
      <c r="F15" s="11" t="s">
        <v>21</v>
      </c>
      <c r="G15" s="14" t="s">
        <v>22</v>
      </c>
      <c r="H15" s="11" t="s">
        <v>21</v>
      </c>
      <c r="I15" s="11" t="s">
        <v>21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6" t="s">
        <v>21</v>
      </c>
      <c r="R15" s="16" t="s">
        <v>22</v>
      </c>
      <c r="S15" s="21"/>
      <c r="T15" s="16"/>
      <c r="U15" s="21"/>
      <c r="V15" s="16"/>
      <c r="W15" s="16"/>
      <c r="X15" s="16"/>
      <c r="Y15" s="16"/>
      <c r="Z15" s="16"/>
      <c r="AA15" s="16"/>
      <c r="AB15" s="17">
        <f t="shared" si="0"/>
        <v>13</v>
      </c>
      <c r="AC15" s="17">
        <f t="shared" si="1"/>
        <v>2</v>
      </c>
      <c r="AD15" s="17">
        <f t="shared" si="2"/>
        <v>15</v>
      </c>
      <c r="AE15" s="18">
        <f t="shared" si="3"/>
        <v>86.666666666666671</v>
      </c>
    </row>
    <row r="16" spans="1:52" ht="14.25">
      <c r="A16" s="11">
        <v>5</v>
      </c>
      <c r="B16" s="19" t="s">
        <v>29</v>
      </c>
      <c r="C16" s="35" t="s">
        <v>30</v>
      </c>
      <c r="D16" s="11" t="s">
        <v>21</v>
      </c>
      <c r="E16" s="11" t="s">
        <v>21</v>
      </c>
      <c r="F16" s="11" t="s">
        <v>21</v>
      </c>
      <c r="G16" s="11" t="s">
        <v>21</v>
      </c>
      <c r="H16" s="11" t="s">
        <v>21</v>
      </c>
      <c r="I16" s="11" t="s">
        <v>21</v>
      </c>
      <c r="J16" s="11" t="s">
        <v>21</v>
      </c>
      <c r="K16" s="14" t="s">
        <v>22</v>
      </c>
      <c r="L16" s="11" t="s">
        <v>21</v>
      </c>
      <c r="M16" s="11" t="s">
        <v>21</v>
      </c>
      <c r="N16" s="11" t="s">
        <v>21</v>
      </c>
      <c r="O16" s="14" t="s">
        <v>22</v>
      </c>
      <c r="P16" s="11" t="s">
        <v>21</v>
      </c>
      <c r="Q16" s="16" t="s">
        <v>21</v>
      </c>
      <c r="R16" s="16" t="s">
        <v>22</v>
      </c>
      <c r="S16" s="21"/>
      <c r="T16" s="16"/>
      <c r="U16" s="16"/>
      <c r="V16" s="16"/>
      <c r="W16" s="16"/>
      <c r="X16" s="16"/>
      <c r="Y16" s="16"/>
      <c r="Z16" s="16"/>
      <c r="AA16" s="16"/>
      <c r="AB16" s="17">
        <f t="shared" si="0"/>
        <v>12</v>
      </c>
      <c r="AC16" s="17">
        <f t="shared" si="1"/>
        <v>3</v>
      </c>
      <c r="AD16" s="17">
        <f t="shared" si="2"/>
        <v>15</v>
      </c>
      <c r="AE16" s="18">
        <f t="shared" si="3"/>
        <v>80</v>
      </c>
    </row>
    <row r="17" spans="1:31" ht="14.25">
      <c r="A17" s="11">
        <v>6</v>
      </c>
      <c r="B17" s="19" t="s">
        <v>31</v>
      </c>
      <c r="C17" s="35" t="s">
        <v>32</v>
      </c>
      <c r="D17" s="11" t="s">
        <v>21</v>
      </c>
      <c r="E17" s="11" t="s">
        <v>21</v>
      </c>
      <c r="F17" s="11" t="s">
        <v>21</v>
      </c>
      <c r="G17" s="11" t="s">
        <v>21</v>
      </c>
      <c r="H17" s="11" t="s">
        <v>21</v>
      </c>
      <c r="I17" s="11" t="s">
        <v>21</v>
      </c>
      <c r="J17" s="11" t="s">
        <v>21</v>
      </c>
      <c r="K17" s="14" t="s">
        <v>22</v>
      </c>
      <c r="L17" s="11" t="s">
        <v>21</v>
      </c>
      <c r="M17" s="11" t="s">
        <v>21</v>
      </c>
      <c r="N17" s="11" t="s">
        <v>21</v>
      </c>
      <c r="O17" s="11" t="s">
        <v>21</v>
      </c>
      <c r="P17" s="11" t="s">
        <v>21</v>
      </c>
      <c r="Q17" s="16" t="s">
        <v>21</v>
      </c>
      <c r="R17" s="16" t="s">
        <v>21</v>
      </c>
      <c r="S17" s="16"/>
      <c r="T17" s="16"/>
      <c r="U17" s="21"/>
      <c r="V17" s="16"/>
      <c r="W17" s="16"/>
      <c r="X17" s="16"/>
      <c r="Y17" s="16"/>
      <c r="Z17" s="16"/>
      <c r="AA17" s="16"/>
      <c r="AB17" s="17">
        <f t="shared" si="0"/>
        <v>14</v>
      </c>
      <c r="AC17" s="17">
        <f t="shared" si="1"/>
        <v>1</v>
      </c>
      <c r="AD17" s="17">
        <f t="shared" si="2"/>
        <v>15</v>
      </c>
      <c r="AE17" s="18">
        <f t="shared" si="3"/>
        <v>93.333333333333329</v>
      </c>
    </row>
    <row r="18" spans="1:31" ht="14.25">
      <c r="A18" s="11">
        <v>7</v>
      </c>
      <c r="B18" s="19" t="s">
        <v>33</v>
      </c>
      <c r="C18" s="35" t="s">
        <v>34</v>
      </c>
      <c r="D18" s="11" t="s">
        <v>21</v>
      </c>
      <c r="E18" s="11" t="s">
        <v>21</v>
      </c>
      <c r="F18" s="11" t="s">
        <v>21</v>
      </c>
      <c r="G18" s="11" t="s">
        <v>21</v>
      </c>
      <c r="H18" s="11" t="s">
        <v>21</v>
      </c>
      <c r="I18" s="14" t="s">
        <v>22</v>
      </c>
      <c r="J18" s="11" t="s">
        <v>21</v>
      </c>
      <c r="K18" s="11" t="s">
        <v>21</v>
      </c>
      <c r="L18" s="11" t="s">
        <v>21</v>
      </c>
      <c r="M18" s="11" t="s">
        <v>21</v>
      </c>
      <c r="N18" s="11" t="s">
        <v>21</v>
      </c>
      <c r="O18" s="11" t="s">
        <v>21</v>
      </c>
      <c r="P18" s="11" t="s">
        <v>21</v>
      </c>
      <c r="Q18" s="16" t="s">
        <v>21</v>
      </c>
      <c r="R18" s="16" t="s">
        <v>21</v>
      </c>
      <c r="S18" s="16"/>
      <c r="T18" s="16"/>
      <c r="U18" s="16"/>
      <c r="V18" s="16"/>
      <c r="W18" s="16"/>
      <c r="X18" s="16"/>
      <c r="Y18" s="16"/>
      <c r="Z18" s="16"/>
      <c r="AA18" s="16"/>
      <c r="AB18" s="17">
        <f t="shared" si="0"/>
        <v>14</v>
      </c>
      <c r="AC18" s="17">
        <f t="shared" si="1"/>
        <v>1</v>
      </c>
      <c r="AD18" s="17">
        <f t="shared" si="2"/>
        <v>15</v>
      </c>
      <c r="AE18" s="18">
        <f t="shared" si="3"/>
        <v>93.333333333333329</v>
      </c>
    </row>
    <row r="19" spans="1:31" ht="14.25">
      <c r="A19" s="11">
        <v>8</v>
      </c>
      <c r="B19" s="19" t="s">
        <v>35</v>
      </c>
      <c r="C19" s="35" t="s">
        <v>36</v>
      </c>
      <c r="D19" s="11" t="s">
        <v>21</v>
      </c>
      <c r="E19" s="11" t="s">
        <v>21</v>
      </c>
      <c r="F19" s="11" t="s">
        <v>21</v>
      </c>
      <c r="G19" s="11" t="s">
        <v>21</v>
      </c>
      <c r="H19" s="11" t="s">
        <v>21</v>
      </c>
      <c r="I19" s="11" t="s">
        <v>21</v>
      </c>
      <c r="J19" s="11" t="s">
        <v>21</v>
      </c>
      <c r="K19" s="11" t="s">
        <v>21</v>
      </c>
      <c r="L19" s="11" t="s">
        <v>21</v>
      </c>
      <c r="M19" s="11" t="s">
        <v>21</v>
      </c>
      <c r="N19" s="11" t="s">
        <v>21</v>
      </c>
      <c r="O19" s="14" t="s">
        <v>22</v>
      </c>
      <c r="P19" s="11" t="s">
        <v>21</v>
      </c>
      <c r="Q19" s="16" t="s">
        <v>21</v>
      </c>
      <c r="R19" s="16" t="s">
        <v>21</v>
      </c>
      <c r="S19" s="16"/>
      <c r="T19" s="16"/>
      <c r="U19" s="16"/>
      <c r="V19" s="16"/>
      <c r="W19" s="16"/>
      <c r="X19" s="16"/>
      <c r="Y19" s="16"/>
      <c r="Z19" s="16"/>
      <c r="AA19" s="16"/>
      <c r="AB19" s="17">
        <f t="shared" si="0"/>
        <v>14</v>
      </c>
      <c r="AC19" s="17">
        <f t="shared" si="1"/>
        <v>1</v>
      </c>
      <c r="AD19" s="17">
        <f t="shared" si="2"/>
        <v>15</v>
      </c>
      <c r="AE19" s="18">
        <f t="shared" si="3"/>
        <v>93.333333333333329</v>
      </c>
    </row>
    <row r="20" spans="1:31" ht="14.25">
      <c r="A20" s="11">
        <v>9</v>
      </c>
      <c r="B20" s="19" t="s">
        <v>37</v>
      </c>
      <c r="C20" s="35" t="s">
        <v>38</v>
      </c>
      <c r="D20" s="11" t="s">
        <v>21</v>
      </c>
      <c r="E20" s="11" t="s">
        <v>21</v>
      </c>
      <c r="F20" s="11" t="s">
        <v>21</v>
      </c>
      <c r="G20" s="14" t="s">
        <v>22</v>
      </c>
      <c r="H20" s="11" t="s">
        <v>21</v>
      </c>
      <c r="I20" s="11" t="s">
        <v>21</v>
      </c>
      <c r="J20" s="11" t="s">
        <v>21</v>
      </c>
      <c r="K20" s="11" t="s">
        <v>21</v>
      </c>
      <c r="L20" s="11" t="s">
        <v>21</v>
      </c>
      <c r="M20" s="11" t="s">
        <v>21</v>
      </c>
      <c r="N20" s="11" t="s">
        <v>21</v>
      </c>
      <c r="O20" s="11" t="s">
        <v>21</v>
      </c>
      <c r="P20" s="11" t="s">
        <v>21</v>
      </c>
      <c r="Q20" s="16" t="s">
        <v>21</v>
      </c>
      <c r="R20" s="16" t="s">
        <v>21</v>
      </c>
      <c r="S20" s="16"/>
      <c r="T20" s="16"/>
      <c r="U20" s="21"/>
      <c r="V20" s="16"/>
      <c r="W20" s="16"/>
      <c r="X20" s="16"/>
      <c r="Y20" s="16"/>
      <c r="Z20" s="16"/>
      <c r="AA20" s="16"/>
      <c r="AB20" s="17">
        <f t="shared" si="0"/>
        <v>14</v>
      </c>
      <c r="AC20" s="17">
        <f t="shared" si="1"/>
        <v>1</v>
      </c>
      <c r="AD20" s="17">
        <f t="shared" si="2"/>
        <v>15</v>
      </c>
      <c r="AE20" s="18">
        <f t="shared" si="3"/>
        <v>93.333333333333329</v>
      </c>
    </row>
    <row r="21" spans="1:31" ht="15.75" customHeight="1">
      <c r="A21" s="11">
        <v>10</v>
      </c>
      <c r="B21" s="19" t="s">
        <v>39</v>
      </c>
      <c r="C21" s="35" t="s">
        <v>40</v>
      </c>
      <c r="D21" s="11" t="s">
        <v>21</v>
      </c>
      <c r="E21" s="11" t="s">
        <v>21</v>
      </c>
      <c r="F21" s="11" t="s">
        <v>21</v>
      </c>
      <c r="G21" s="11" t="s">
        <v>21</v>
      </c>
      <c r="H21" s="11" t="s">
        <v>21</v>
      </c>
      <c r="I21" s="11" t="s">
        <v>21</v>
      </c>
      <c r="J21" s="11" t="s">
        <v>21</v>
      </c>
      <c r="K21" s="14" t="s">
        <v>22</v>
      </c>
      <c r="L21" s="11" t="s">
        <v>21</v>
      </c>
      <c r="M21" s="11" t="s">
        <v>21</v>
      </c>
      <c r="N21" s="11" t="s">
        <v>21</v>
      </c>
      <c r="O21" s="11" t="s">
        <v>21</v>
      </c>
      <c r="P21" s="11" t="s">
        <v>21</v>
      </c>
      <c r="Q21" s="16" t="s">
        <v>21</v>
      </c>
      <c r="R21" s="16" t="s">
        <v>21</v>
      </c>
      <c r="S21" s="16"/>
      <c r="T21" s="16"/>
      <c r="U21" s="16"/>
      <c r="V21" s="16"/>
      <c r="W21" s="16"/>
      <c r="X21" s="16"/>
      <c r="Y21" s="16"/>
      <c r="Z21" s="16"/>
      <c r="AA21" s="16"/>
      <c r="AB21" s="17">
        <f t="shared" si="0"/>
        <v>14</v>
      </c>
      <c r="AC21" s="17">
        <f t="shared" si="1"/>
        <v>1</v>
      </c>
      <c r="AD21" s="17">
        <f t="shared" si="2"/>
        <v>15</v>
      </c>
      <c r="AE21" s="18">
        <f t="shared" si="3"/>
        <v>93.333333333333329</v>
      </c>
    </row>
    <row r="22" spans="1:31" ht="15.75" customHeight="1">
      <c r="A22" s="11">
        <v>11</v>
      </c>
      <c r="B22" s="19" t="s">
        <v>41</v>
      </c>
      <c r="C22" s="35" t="s">
        <v>42</v>
      </c>
      <c r="D22" s="11" t="s">
        <v>21</v>
      </c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4" t="s">
        <v>22</v>
      </c>
      <c r="O22" s="11" t="s">
        <v>21</v>
      </c>
      <c r="P22" s="11" t="s">
        <v>21</v>
      </c>
      <c r="Q22" s="21" t="s">
        <v>21</v>
      </c>
      <c r="R22" s="16" t="s">
        <v>22</v>
      </c>
      <c r="S22" s="16"/>
      <c r="T22" s="16"/>
      <c r="U22" s="16"/>
      <c r="V22" s="16"/>
      <c r="W22" s="16"/>
      <c r="X22" s="16"/>
      <c r="Y22" s="16"/>
      <c r="Z22" s="16"/>
      <c r="AA22" s="16"/>
      <c r="AB22" s="17">
        <f t="shared" si="0"/>
        <v>13</v>
      </c>
      <c r="AC22" s="17">
        <f t="shared" si="1"/>
        <v>2</v>
      </c>
      <c r="AD22" s="17">
        <f t="shared" si="2"/>
        <v>15</v>
      </c>
      <c r="AE22" s="18">
        <f t="shared" si="3"/>
        <v>86.666666666666671</v>
      </c>
    </row>
    <row r="23" spans="1:31" ht="15.75" customHeight="1">
      <c r="A23" s="11">
        <v>12</v>
      </c>
      <c r="B23" s="19" t="s">
        <v>43</v>
      </c>
      <c r="C23" s="35" t="s">
        <v>44</v>
      </c>
      <c r="D23" s="11" t="s">
        <v>21</v>
      </c>
      <c r="E23" s="11" t="s">
        <v>21</v>
      </c>
      <c r="F23" s="11" t="s">
        <v>21</v>
      </c>
      <c r="G23" s="14" t="s">
        <v>22</v>
      </c>
      <c r="H23" s="11" t="s">
        <v>21</v>
      </c>
      <c r="I23" s="11" t="s">
        <v>21</v>
      </c>
      <c r="J23" s="11" t="s">
        <v>21</v>
      </c>
      <c r="K23" s="11" t="s">
        <v>21</v>
      </c>
      <c r="L23" s="11" t="s">
        <v>21</v>
      </c>
      <c r="M23" s="11" t="s">
        <v>21</v>
      </c>
      <c r="N23" s="11" t="s">
        <v>21</v>
      </c>
      <c r="O23" s="11" t="s">
        <v>21</v>
      </c>
      <c r="P23" s="11" t="s">
        <v>21</v>
      </c>
      <c r="Q23" s="16" t="s">
        <v>21</v>
      </c>
      <c r="R23" s="16" t="s">
        <v>21</v>
      </c>
      <c r="S23" s="16"/>
      <c r="T23" s="21"/>
      <c r="U23" s="16"/>
      <c r="V23" s="16"/>
      <c r="W23" s="16"/>
      <c r="X23" s="16"/>
      <c r="Y23" s="16"/>
      <c r="Z23" s="16"/>
      <c r="AA23" s="16"/>
      <c r="AB23" s="17">
        <f t="shared" si="0"/>
        <v>14</v>
      </c>
      <c r="AC23" s="17">
        <f t="shared" si="1"/>
        <v>1</v>
      </c>
      <c r="AD23" s="17">
        <f t="shared" si="2"/>
        <v>15</v>
      </c>
      <c r="AE23" s="18">
        <f t="shared" si="3"/>
        <v>93.333333333333329</v>
      </c>
    </row>
    <row r="24" spans="1:31" ht="15.75" customHeight="1">
      <c r="A24" s="11">
        <v>13</v>
      </c>
      <c r="B24" s="19" t="s">
        <v>45</v>
      </c>
      <c r="C24" s="35" t="s">
        <v>46</v>
      </c>
      <c r="D24" s="11" t="s">
        <v>21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 t="s">
        <v>21</v>
      </c>
      <c r="K24" s="14" t="s">
        <v>22</v>
      </c>
      <c r="L24" s="11" t="s">
        <v>21</v>
      </c>
      <c r="M24" s="11" t="s">
        <v>21</v>
      </c>
      <c r="N24" s="11" t="s">
        <v>21</v>
      </c>
      <c r="O24" s="11" t="s">
        <v>21</v>
      </c>
      <c r="P24" s="11" t="s">
        <v>21</v>
      </c>
      <c r="Q24" s="16" t="s">
        <v>21</v>
      </c>
      <c r="R24" s="16" t="s">
        <v>21</v>
      </c>
      <c r="S24" s="16"/>
      <c r="T24" s="16"/>
      <c r="U24" s="16"/>
      <c r="V24" s="16"/>
      <c r="W24" s="16"/>
      <c r="X24" s="16"/>
      <c r="Y24" s="16"/>
      <c r="Z24" s="16"/>
      <c r="AA24" s="16"/>
      <c r="AB24" s="17">
        <f t="shared" si="0"/>
        <v>14</v>
      </c>
      <c r="AC24" s="17">
        <f t="shared" si="1"/>
        <v>1</v>
      </c>
      <c r="AD24" s="17">
        <f t="shared" si="2"/>
        <v>15</v>
      </c>
      <c r="AE24" s="18">
        <f t="shared" si="3"/>
        <v>93.333333333333329</v>
      </c>
    </row>
    <row r="25" spans="1:31" ht="15.75" customHeight="1">
      <c r="A25" s="11">
        <v>14</v>
      </c>
      <c r="B25" s="19" t="s">
        <v>47</v>
      </c>
      <c r="C25" s="35" t="s">
        <v>48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21</v>
      </c>
      <c r="I25" s="11" t="s">
        <v>21</v>
      </c>
      <c r="J25" s="11" t="s">
        <v>21</v>
      </c>
      <c r="K25" s="11" t="s">
        <v>21</v>
      </c>
      <c r="L25" s="11" t="s">
        <v>21</v>
      </c>
      <c r="M25" s="11" t="s">
        <v>21</v>
      </c>
      <c r="N25" s="11" t="s">
        <v>21</v>
      </c>
      <c r="O25" s="11" t="s">
        <v>21</v>
      </c>
      <c r="P25" s="11" t="s">
        <v>21</v>
      </c>
      <c r="Q25" s="16" t="s">
        <v>21</v>
      </c>
      <c r="R25" s="16" t="s">
        <v>21</v>
      </c>
      <c r="S25" s="16"/>
      <c r="T25" s="16"/>
      <c r="U25" s="16"/>
      <c r="V25" s="16"/>
      <c r="W25" s="16"/>
      <c r="X25" s="16"/>
      <c r="Y25" s="16"/>
      <c r="Z25" s="16"/>
      <c r="AA25" s="16"/>
      <c r="AB25" s="17">
        <f t="shared" si="0"/>
        <v>15</v>
      </c>
      <c r="AC25" s="17">
        <f t="shared" si="1"/>
        <v>0</v>
      </c>
      <c r="AD25" s="17">
        <f t="shared" si="2"/>
        <v>15</v>
      </c>
      <c r="AE25" s="18">
        <f t="shared" si="3"/>
        <v>100</v>
      </c>
    </row>
    <row r="26" spans="1:31" ht="15.75" customHeight="1">
      <c r="A26" s="11">
        <v>15</v>
      </c>
      <c r="B26" s="19" t="s">
        <v>49</v>
      </c>
      <c r="C26" s="35" t="s">
        <v>50</v>
      </c>
      <c r="D26" s="11" t="s">
        <v>21</v>
      </c>
      <c r="E26" s="11" t="s">
        <v>21</v>
      </c>
      <c r="F26" s="11" t="s">
        <v>21</v>
      </c>
      <c r="G26" s="14" t="s">
        <v>22</v>
      </c>
      <c r="H26" s="11" t="s">
        <v>21</v>
      </c>
      <c r="I26" s="11" t="s">
        <v>21</v>
      </c>
      <c r="J26" s="11" t="s">
        <v>21</v>
      </c>
      <c r="K26" s="11" t="s">
        <v>21</v>
      </c>
      <c r="L26" s="11" t="s">
        <v>21</v>
      </c>
      <c r="M26" s="11" t="s">
        <v>21</v>
      </c>
      <c r="N26" s="11" t="s">
        <v>21</v>
      </c>
      <c r="O26" s="11" t="s">
        <v>21</v>
      </c>
      <c r="P26" s="11" t="s">
        <v>21</v>
      </c>
      <c r="Q26" s="16" t="s">
        <v>21</v>
      </c>
      <c r="R26" s="16" t="s">
        <v>21</v>
      </c>
      <c r="S26" s="21"/>
      <c r="T26" s="16"/>
      <c r="U26" s="16"/>
      <c r="V26" s="16"/>
      <c r="W26" s="16"/>
      <c r="X26" s="16"/>
      <c r="Y26" s="16"/>
      <c r="Z26" s="16"/>
      <c r="AA26" s="16"/>
      <c r="AB26" s="17">
        <f t="shared" si="0"/>
        <v>14</v>
      </c>
      <c r="AC26" s="17">
        <f t="shared" si="1"/>
        <v>1</v>
      </c>
      <c r="AD26" s="17">
        <f t="shared" si="2"/>
        <v>15</v>
      </c>
      <c r="AE26" s="18">
        <f t="shared" si="3"/>
        <v>93.333333333333329</v>
      </c>
    </row>
    <row r="27" spans="1:31" ht="15.75" customHeight="1">
      <c r="A27" s="11">
        <v>16</v>
      </c>
      <c r="B27" s="19" t="s">
        <v>51</v>
      </c>
      <c r="C27" s="35" t="s">
        <v>52</v>
      </c>
      <c r="D27" s="11" t="s">
        <v>21</v>
      </c>
      <c r="E27" s="11" t="s">
        <v>21</v>
      </c>
      <c r="F27" s="11" t="s">
        <v>21</v>
      </c>
      <c r="G27" s="11" t="s">
        <v>21</v>
      </c>
      <c r="H27" s="11" t="s">
        <v>21</v>
      </c>
      <c r="I27" s="11" t="s">
        <v>21</v>
      </c>
      <c r="J27" s="11" t="s">
        <v>21</v>
      </c>
      <c r="K27" s="11" t="s">
        <v>21</v>
      </c>
      <c r="L27" s="11" t="s">
        <v>21</v>
      </c>
      <c r="M27" s="11" t="s">
        <v>21</v>
      </c>
      <c r="N27" s="11" t="s">
        <v>21</v>
      </c>
      <c r="O27" s="11" t="s">
        <v>21</v>
      </c>
      <c r="P27" s="11" t="s">
        <v>21</v>
      </c>
      <c r="Q27" s="16" t="s">
        <v>21</v>
      </c>
      <c r="R27" s="16" t="s">
        <v>21</v>
      </c>
      <c r="S27" s="21"/>
      <c r="T27" s="16"/>
      <c r="U27" s="21"/>
      <c r="V27" s="16"/>
      <c r="W27" s="16"/>
      <c r="X27" s="16"/>
      <c r="Y27" s="16"/>
      <c r="Z27" s="16"/>
      <c r="AA27" s="16"/>
      <c r="AB27" s="17">
        <f t="shared" si="0"/>
        <v>15</v>
      </c>
      <c r="AC27" s="17">
        <f t="shared" si="1"/>
        <v>0</v>
      </c>
      <c r="AD27" s="17">
        <f t="shared" si="2"/>
        <v>15</v>
      </c>
      <c r="AE27" s="18">
        <f t="shared" si="3"/>
        <v>100</v>
      </c>
    </row>
    <row r="28" spans="1:31" ht="15.75" customHeight="1">
      <c r="A28" s="11">
        <v>17</v>
      </c>
      <c r="B28" s="19" t="s">
        <v>53</v>
      </c>
      <c r="C28" s="35" t="s">
        <v>54</v>
      </c>
      <c r="D28" s="11" t="s">
        <v>21</v>
      </c>
      <c r="E28" s="11" t="s">
        <v>21</v>
      </c>
      <c r="F28" s="11" t="s">
        <v>21</v>
      </c>
      <c r="G28" s="11" t="s">
        <v>21</v>
      </c>
      <c r="H28" s="11" t="s">
        <v>21</v>
      </c>
      <c r="I28" s="11" t="s">
        <v>21</v>
      </c>
      <c r="J28" s="11" t="s">
        <v>21</v>
      </c>
      <c r="K28" s="11" t="s">
        <v>21</v>
      </c>
      <c r="L28" s="11" t="s">
        <v>21</v>
      </c>
      <c r="M28" s="11" t="s">
        <v>21</v>
      </c>
      <c r="N28" s="11" t="s">
        <v>21</v>
      </c>
      <c r="O28" s="14" t="s">
        <v>22</v>
      </c>
      <c r="P28" s="11" t="s">
        <v>21</v>
      </c>
      <c r="Q28" s="16" t="s">
        <v>21</v>
      </c>
      <c r="R28" s="16" t="s">
        <v>21</v>
      </c>
      <c r="S28" s="21"/>
      <c r="T28" s="16"/>
      <c r="U28" s="16"/>
      <c r="V28" s="16"/>
      <c r="W28" s="16"/>
      <c r="X28" s="16"/>
      <c r="Y28" s="16"/>
      <c r="Z28" s="16"/>
      <c r="AA28" s="16"/>
      <c r="AB28" s="17">
        <f t="shared" si="0"/>
        <v>14</v>
      </c>
      <c r="AC28" s="17">
        <f t="shared" si="1"/>
        <v>1</v>
      </c>
      <c r="AD28" s="17">
        <f t="shared" si="2"/>
        <v>15</v>
      </c>
      <c r="AE28" s="18">
        <f t="shared" si="3"/>
        <v>93.333333333333329</v>
      </c>
    </row>
    <row r="29" spans="1:31" ht="15.75" customHeight="1">
      <c r="A29" s="11">
        <v>18</v>
      </c>
      <c r="B29" s="19" t="s">
        <v>55</v>
      </c>
      <c r="C29" s="35" t="s">
        <v>56</v>
      </c>
      <c r="D29" s="11" t="s">
        <v>21</v>
      </c>
      <c r="E29" s="11" t="s">
        <v>21</v>
      </c>
      <c r="F29" s="11" t="s">
        <v>21</v>
      </c>
      <c r="G29" s="11" t="s">
        <v>21</v>
      </c>
      <c r="H29" s="11" t="s">
        <v>21</v>
      </c>
      <c r="I29" s="11" t="s">
        <v>21</v>
      </c>
      <c r="J29" s="11" t="s">
        <v>21</v>
      </c>
      <c r="K29" s="11" t="s">
        <v>21</v>
      </c>
      <c r="L29" s="11" t="s">
        <v>21</v>
      </c>
      <c r="M29" s="11" t="s">
        <v>21</v>
      </c>
      <c r="N29" s="11" t="s">
        <v>21</v>
      </c>
      <c r="O29" s="11" t="s">
        <v>21</v>
      </c>
      <c r="P29" s="11" t="s">
        <v>21</v>
      </c>
      <c r="Q29" s="16" t="s">
        <v>21</v>
      </c>
      <c r="R29" s="16" t="s">
        <v>21</v>
      </c>
      <c r="S29" s="21"/>
      <c r="T29" s="16"/>
      <c r="U29" s="21"/>
      <c r="V29" s="16"/>
      <c r="W29" s="16"/>
      <c r="X29" s="16"/>
      <c r="Y29" s="16"/>
      <c r="Z29" s="16"/>
      <c r="AA29" s="16"/>
      <c r="AB29" s="17">
        <f t="shared" si="0"/>
        <v>15</v>
      </c>
      <c r="AC29" s="17">
        <f t="shared" si="1"/>
        <v>0</v>
      </c>
      <c r="AD29" s="17">
        <f t="shared" si="2"/>
        <v>15</v>
      </c>
      <c r="AE29" s="18">
        <f t="shared" si="3"/>
        <v>100</v>
      </c>
    </row>
    <row r="30" spans="1:31" ht="15.75" customHeight="1">
      <c r="A30" s="11">
        <v>19</v>
      </c>
      <c r="B30" s="19" t="s">
        <v>57</v>
      </c>
      <c r="C30" s="35" t="s">
        <v>58</v>
      </c>
      <c r="D30" s="11" t="s">
        <v>21</v>
      </c>
      <c r="E30" s="11" t="s">
        <v>21</v>
      </c>
      <c r="F30" s="11" t="s">
        <v>21</v>
      </c>
      <c r="G30" s="11" t="s">
        <v>21</v>
      </c>
      <c r="H30" s="11" t="s">
        <v>21</v>
      </c>
      <c r="I30" s="14" t="s">
        <v>22</v>
      </c>
      <c r="J30" s="11" t="s">
        <v>21</v>
      </c>
      <c r="K30" s="11" t="s">
        <v>21</v>
      </c>
      <c r="L30" s="11" t="s">
        <v>21</v>
      </c>
      <c r="M30" s="11" t="s">
        <v>21</v>
      </c>
      <c r="N30" s="11" t="s">
        <v>21</v>
      </c>
      <c r="O30" s="11" t="s">
        <v>21</v>
      </c>
      <c r="P30" s="11" t="s">
        <v>21</v>
      </c>
      <c r="Q30" s="16" t="s">
        <v>21</v>
      </c>
      <c r="R30" s="16" t="s">
        <v>21</v>
      </c>
      <c r="S30" s="21"/>
      <c r="T30" s="16"/>
      <c r="U30" s="21"/>
      <c r="V30" s="16"/>
      <c r="W30" s="16"/>
      <c r="X30" s="16"/>
      <c r="Y30" s="16"/>
      <c r="Z30" s="16"/>
      <c r="AA30" s="16"/>
      <c r="AB30" s="17">
        <f t="shared" si="0"/>
        <v>14</v>
      </c>
      <c r="AC30" s="17">
        <f t="shared" si="1"/>
        <v>1</v>
      </c>
      <c r="AD30" s="17">
        <f t="shared" si="2"/>
        <v>15</v>
      </c>
      <c r="AE30" s="18">
        <f t="shared" si="3"/>
        <v>93.333333333333329</v>
      </c>
    </row>
    <row r="31" spans="1:31" ht="15.75" customHeight="1">
      <c r="A31" s="11">
        <v>20</v>
      </c>
      <c r="B31" s="19" t="s">
        <v>59</v>
      </c>
      <c r="C31" s="35" t="s">
        <v>60</v>
      </c>
      <c r="D31" s="11" t="s">
        <v>21</v>
      </c>
      <c r="E31" s="11" t="s">
        <v>21</v>
      </c>
      <c r="F31" s="11" t="s">
        <v>21</v>
      </c>
      <c r="G31" s="11" t="s">
        <v>21</v>
      </c>
      <c r="H31" s="11" t="s">
        <v>21</v>
      </c>
      <c r="I31" s="11" t="s">
        <v>21</v>
      </c>
      <c r="J31" s="11" t="s">
        <v>21</v>
      </c>
      <c r="K31" s="11" t="s">
        <v>21</v>
      </c>
      <c r="L31" s="11" t="s">
        <v>21</v>
      </c>
      <c r="M31" s="11" t="s">
        <v>21</v>
      </c>
      <c r="N31" s="11" t="s">
        <v>21</v>
      </c>
      <c r="O31" s="11" t="s">
        <v>21</v>
      </c>
      <c r="P31" s="11" t="s">
        <v>21</v>
      </c>
      <c r="Q31" s="21" t="s">
        <v>21</v>
      </c>
      <c r="R31" s="16" t="s">
        <v>21</v>
      </c>
      <c r="S31" s="21"/>
      <c r="T31" s="16"/>
      <c r="U31" s="21"/>
      <c r="V31" s="16"/>
      <c r="W31" s="16"/>
      <c r="X31" s="16"/>
      <c r="Y31" s="16"/>
      <c r="Z31" s="16"/>
      <c r="AA31" s="16"/>
      <c r="AB31" s="17">
        <f t="shared" si="0"/>
        <v>15</v>
      </c>
      <c r="AC31" s="17">
        <f t="shared" si="1"/>
        <v>0</v>
      </c>
      <c r="AD31" s="17">
        <f t="shared" si="2"/>
        <v>15</v>
      </c>
      <c r="AE31" s="18">
        <f t="shared" si="3"/>
        <v>100</v>
      </c>
    </row>
    <row r="32" spans="1:31" ht="15.75" customHeight="1">
      <c r="A32" s="11">
        <v>21</v>
      </c>
      <c r="B32" s="19" t="s">
        <v>61</v>
      </c>
      <c r="C32" s="35" t="s">
        <v>62</v>
      </c>
      <c r="D32" s="11" t="s">
        <v>21</v>
      </c>
      <c r="E32" s="11" t="s">
        <v>21</v>
      </c>
      <c r="F32" s="11" t="s">
        <v>21</v>
      </c>
      <c r="G32" s="11" t="s">
        <v>21</v>
      </c>
      <c r="H32" s="11" t="s">
        <v>21</v>
      </c>
      <c r="I32" s="11" t="s">
        <v>21</v>
      </c>
      <c r="J32" s="11" t="s">
        <v>21</v>
      </c>
      <c r="K32" s="11" t="s">
        <v>21</v>
      </c>
      <c r="L32" s="11" t="s">
        <v>21</v>
      </c>
      <c r="M32" s="11" t="s">
        <v>21</v>
      </c>
      <c r="N32" s="11" t="s">
        <v>21</v>
      </c>
      <c r="O32" s="11" t="s">
        <v>21</v>
      </c>
      <c r="P32" s="11" t="s">
        <v>21</v>
      </c>
      <c r="Q32" s="16" t="s">
        <v>21</v>
      </c>
      <c r="R32" s="16" t="s">
        <v>21</v>
      </c>
      <c r="S32" s="16"/>
      <c r="T32" s="16"/>
      <c r="U32" s="16"/>
      <c r="V32" s="16"/>
      <c r="W32" s="16"/>
      <c r="X32" s="16"/>
      <c r="Y32" s="16"/>
      <c r="Z32" s="16"/>
      <c r="AA32" s="16"/>
      <c r="AB32" s="17">
        <f t="shared" si="0"/>
        <v>15</v>
      </c>
      <c r="AC32" s="17">
        <f t="shared" si="1"/>
        <v>0</v>
      </c>
      <c r="AD32" s="17">
        <f t="shared" si="2"/>
        <v>15</v>
      </c>
      <c r="AE32" s="18">
        <f t="shared" si="3"/>
        <v>100</v>
      </c>
    </row>
    <row r="33" spans="1:31" ht="15.75" customHeight="1">
      <c r="A33" s="11">
        <v>22</v>
      </c>
      <c r="B33" s="19" t="s">
        <v>63</v>
      </c>
      <c r="C33" s="35" t="s">
        <v>64</v>
      </c>
      <c r="D33" s="11" t="s">
        <v>21</v>
      </c>
      <c r="E33" s="11" t="s">
        <v>21</v>
      </c>
      <c r="F33" s="11" t="s">
        <v>21</v>
      </c>
      <c r="G33" s="11" t="s">
        <v>21</v>
      </c>
      <c r="H33" s="11" t="s">
        <v>21</v>
      </c>
      <c r="I33" s="11" t="s">
        <v>21</v>
      </c>
      <c r="J33" s="11" t="s">
        <v>21</v>
      </c>
      <c r="K33" s="11" t="s">
        <v>21</v>
      </c>
      <c r="L33" s="11" t="s">
        <v>21</v>
      </c>
      <c r="M33" s="11" t="s">
        <v>21</v>
      </c>
      <c r="N33" s="11" t="s">
        <v>21</v>
      </c>
      <c r="O33" s="11" t="s">
        <v>21</v>
      </c>
      <c r="P33" s="11" t="s">
        <v>21</v>
      </c>
      <c r="Q33" s="16" t="s">
        <v>21</v>
      </c>
      <c r="R33" s="16" t="s">
        <v>21</v>
      </c>
      <c r="S33" s="21"/>
      <c r="T33" s="16"/>
      <c r="U33" s="16"/>
      <c r="V33" s="16"/>
      <c r="W33" s="16"/>
      <c r="X33" s="16"/>
      <c r="Y33" s="16"/>
      <c r="Z33" s="16"/>
      <c r="AA33" s="16"/>
      <c r="AB33" s="17">
        <f t="shared" si="0"/>
        <v>15</v>
      </c>
      <c r="AC33" s="17">
        <f t="shared" si="1"/>
        <v>0</v>
      </c>
      <c r="AD33" s="17">
        <f t="shared" si="2"/>
        <v>15</v>
      </c>
      <c r="AE33" s="18">
        <f t="shared" si="3"/>
        <v>100</v>
      </c>
    </row>
    <row r="34" spans="1:31" ht="15.75" customHeight="1">
      <c r="A34" s="11">
        <v>23</v>
      </c>
      <c r="B34" s="19" t="s">
        <v>65</v>
      </c>
      <c r="C34" s="35" t="s">
        <v>66</v>
      </c>
      <c r="D34" s="11" t="s">
        <v>21</v>
      </c>
      <c r="E34" s="11" t="s">
        <v>21</v>
      </c>
      <c r="F34" s="11" t="s">
        <v>21</v>
      </c>
      <c r="G34" s="11" t="s">
        <v>21</v>
      </c>
      <c r="H34" s="11" t="s">
        <v>21</v>
      </c>
      <c r="I34" s="11" t="s">
        <v>21</v>
      </c>
      <c r="J34" s="11" t="s">
        <v>21</v>
      </c>
      <c r="K34" s="11" t="s">
        <v>21</v>
      </c>
      <c r="L34" s="11" t="s">
        <v>21</v>
      </c>
      <c r="M34" s="11" t="s">
        <v>21</v>
      </c>
      <c r="N34" s="11" t="s">
        <v>21</v>
      </c>
      <c r="O34" s="11" t="s">
        <v>21</v>
      </c>
      <c r="P34" s="11" t="s">
        <v>21</v>
      </c>
      <c r="Q34" s="16" t="s">
        <v>21</v>
      </c>
      <c r="R34" s="16" t="s">
        <v>22</v>
      </c>
      <c r="S34" s="16"/>
      <c r="T34" s="16"/>
      <c r="U34" s="16"/>
      <c r="V34" s="21"/>
      <c r="W34" s="16"/>
      <c r="X34" s="16"/>
      <c r="Y34" s="16"/>
      <c r="Z34" s="16"/>
      <c r="AA34" s="16"/>
      <c r="AB34" s="17">
        <f t="shared" si="0"/>
        <v>14</v>
      </c>
      <c r="AC34" s="17">
        <f t="shared" si="1"/>
        <v>1</v>
      </c>
      <c r="AD34" s="17">
        <f t="shared" si="2"/>
        <v>15</v>
      </c>
      <c r="AE34" s="18">
        <f t="shared" si="3"/>
        <v>93.333333333333329</v>
      </c>
    </row>
    <row r="35" spans="1:31" ht="15.75" customHeight="1">
      <c r="A35" s="11">
        <v>24</v>
      </c>
      <c r="B35" s="19" t="s">
        <v>67</v>
      </c>
      <c r="C35" s="35" t="s">
        <v>68</v>
      </c>
      <c r="D35" s="11" t="s">
        <v>21</v>
      </c>
      <c r="E35" s="11" t="s">
        <v>21</v>
      </c>
      <c r="F35" s="11" t="s">
        <v>21</v>
      </c>
      <c r="G35" s="11" t="s">
        <v>21</v>
      </c>
      <c r="H35" s="11" t="s">
        <v>21</v>
      </c>
      <c r="I35" s="11" t="s">
        <v>21</v>
      </c>
      <c r="J35" s="11" t="s">
        <v>21</v>
      </c>
      <c r="K35" s="14" t="s">
        <v>22</v>
      </c>
      <c r="L35" s="11" t="s">
        <v>21</v>
      </c>
      <c r="M35" s="11" t="s">
        <v>21</v>
      </c>
      <c r="N35" s="11" t="s">
        <v>21</v>
      </c>
      <c r="O35" s="11" t="s">
        <v>21</v>
      </c>
      <c r="P35" s="11" t="s">
        <v>21</v>
      </c>
      <c r="Q35" s="16" t="s">
        <v>21</v>
      </c>
      <c r="R35" s="16" t="s">
        <v>21</v>
      </c>
      <c r="S35" s="16"/>
      <c r="T35" s="16"/>
      <c r="U35" s="16"/>
      <c r="V35" s="16"/>
      <c r="W35" s="16"/>
      <c r="X35" s="16"/>
      <c r="Y35" s="16"/>
      <c r="Z35" s="16"/>
      <c r="AA35" s="16"/>
      <c r="AB35" s="17">
        <f t="shared" si="0"/>
        <v>14</v>
      </c>
      <c r="AC35" s="17">
        <f t="shared" si="1"/>
        <v>1</v>
      </c>
      <c r="AD35" s="17">
        <f t="shared" si="2"/>
        <v>15</v>
      </c>
      <c r="AE35" s="18">
        <f t="shared" si="3"/>
        <v>93.333333333333329</v>
      </c>
    </row>
    <row r="36" spans="1:31" ht="15.75" customHeight="1">
      <c r="A36" s="11">
        <v>25</v>
      </c>
      <c r="B36" s="19" t="s">
        <v>69</v>
      </c>
      <c r="C36" s="35" t="s">
        <v>70</v>
      </c>
      <c r="D36" s="11" t="s">
        <v>21</v>
      </c>
      <c r="E36" s="11" t="s">
        <v>21</v>
      </c>
      <c r="F36" s="14" t="s">
        <v>22</v>
      </c>
      <c r="G36" s="11" t="s">
        <v>21</v>
      </c>
      <c r="H36" s="11" t="s">
        <v>21</v>
      </c>
      <c r="I36" s="11" t="s">
        <v>21</v>
      </c>
      <c r="J36" s="11" t="s">
        <v>21</v>
      </c>
      <c r="K36" s="11" t="s">
        <v>21</v>
      </c>
      <c r="L36" s="11" t="s">
        <v>21</v>
      </c>
      <c r="M36" s="11" t="s">
        <v>21</v>
      </c>
      <c r="N36" s="11" t="s">
        <v>21</v>
      </c>
      <c r="O36" s="11" t="s">
        <v>21</v>
      </c>
      <c r="P36" s="11" t="s">
        <v>21</v>
      </c>
      <c r="Q36" s="16" t="s">
        <v>21</v>
      </c>
      <c r="R36" s="16" t="s">
        <v>21</v>
      </c>
      <c r="S36" s="16"/>
      <c r="T36" s="16"/>
      <c r="U36" s="16"/>
      <c r="V36" s="16"/>
      <c r="W36" s="16"/>
      <c r="X36" s="16"/>
      <c r="Y36" s="16"/>
      <c r="Z36" s="16"/>
      <c r="AA36" s="16"/>
      <c r="AB36" s="17">
        <f t="shared" si="0"/>
        <v>14</v>
      </c>
      <c r="AC36" s="17">
        <f t="shared" si="1"/>
        <v>1</v>
      </c>
      <c r="AD36" s="17">
        <f t="shared" si="2"/>
        <v>15</v>
      </c>
      <c r="AE36" s="18">
        <f t="shared" si="3"/>
        <v>93.333333333333329</v>
      </c>
    </row>
    <row r="37" spans="1:31" ht="15.75" customHeight="1">
      <c r="A37" s="11">
        <v>26</v>
      </c>
      <c r="B37" s="19" t="s">
        <v>71</v>
      </c>
      <c r="C37" s="35" t="s">
        <v>72</v>
      </c>
      <c r="D37" s="11" t="s">
        <v>21</v>
      </c>
      <c r="E37" s="11" t="s">
        <v>21</v>
      </c>
      <c r="F37" s="11" t="s">
        <v>21</v>
      </c>
      <c r="G37" s="11" t="s">
        <v>21</v>
      </c>
      <c r="H37" s="14" t="s">
        <v>22</v>
      </c>
      <c r="I37" s="11" t="s">
        <v>21</v>
      </c>
      <c r="J37" s="11" t="s">
        <v>21</v>
      </c>
      <c r="K37" s="11" t="s">
        <v>21</v>
      </c>
      <c r="L37" s="11" t="s">
        <v>21</v>
      </c>
      <c r="M37" s="11" t="s">
        <v>21</v>
      </c>
      <c r="N37" s="11" t="s">
        <v>21</v>
      </c>
      <c r="O37" s="11" t="s">
        <v>21</v>
      </c>
      <c r="P37" s="11" t="s">
        <v>21</v>
      </c>
      <c r="Q37" s="16" t="s">
        <v>21</v>
      </c>
      <c r="R37" s="16" t="s">
        <v>21</v>
      </c>
      <c r="S37" s="16"/>
      <c r="T37" s="16"/>
      <c r="U37" s="16"/>
      <c r="V37" s="16"/>
      <c r="W37" s="16"/>
      <c r="X37" s="16"/>
      <c r="Y37" s="16"/>
      <c r="Z37" s="16"/>
      <c r="AA37" s="16"/>
      <c r="AB37" s="17">
        <f t="shared" si="0"/>
        <v>14</v>
      </c>
      <c r="AC37" s="17">
        <f t="shared" si="1"/>
        <v>1</v>
      </c>
      <c r="AD37" s="17">
        <f t="shared" si="2"/>
        <v>15</v>
      </c>
      <c r="AE37" s="18">
        <f t="shared" si="3"/>
        <v>93.333333333333329</v>
      </c>
    </row>
    <row r="38" spans="1:31" ht="15.75" customHeight="1">
      <c r="A38" s="11">
        <v>27</v>
      </c>
      <c r="B38" s="19" t="s">
        <v>73</v>
      </c>
      <c r="C38" s="35" t="s">
        <v>74</v>
      </c>
      <c r="D38" s="11" t="s">
        <v>21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11" t="s">
        <v>21</v>
      </c>
      <c r="L38" s="11" t="s">
        <v>21</v>
      </c>
      <c r="M38" s="11" t="s">
        <v>21</v>
      </c>
      <c r="N38" s="14" t="s">
        <v>22</v>
      </c>
      <c r="O38" s="11" t="s">
        <v>21</v>
      </c>
      <c r="P38" s="11" t="s">
        <v>21</v>
      </c>
      <c r="Q38" s="16" t="s">
        <v>21</v>
      </c>
      <c r="R38" s="16" t="s">
        <v>21</v>
      </c>
      <c r="S38" s="16"/>
      <c r="T38" s="16"/>
      <c r="U38" s="21"/>
      <c r="V38" s="16"/>
      <c r="W38" s="16"/>
      <c r="X38" s="16"/>
      <c r="Y38" s="16"/>
      <c r="Z38" s="16"/>
      <c r="AA38" s="16"/>
      <c r="AB38" s="17">
        <f t="shared" si="0"/>
        <v>14</v>
      </c>
      <c r="AC38" s="17">
        <f t="shared" si="1"/>
        <v>1</v>
      </c>
      <c r="AD38" s="17">
        <f t="shared" si="2"/>
        <v>15</v>
      </c>
      <c r="AE38" s="18">
        <f t="shared" si="3"/>
        <v>93.333333333333329</v>
      </c>
    </row>
    <row r="39" spans="1:31" ht="15.75" customHeight="1">
      <c r="A39" s="11">
        <v>28</v>
      </c>
      <c r="B39" s="19" t="s">
        <v>75</v>
      </c>
      <c r="C39" s="35" t="s">
        <v>76</v>
      </c>
      <c r="D39" s="11" t="s">
        <v>21</v>
      </c>
      <c r="E39" s="11" t="s">
        <v>21</v>
      </c>
      <c r="F39" s="11" t="s">
        <v>21</v>
      </c>
      <c r="G39" s="11" t="s">
        <v>21</v>
      </c>
      <c r="H39" s="11" t="s">
        <v>21</v>
      </c>
      <c r="I39" s="11" t="s">
        <v>21</v>
      </c>
      <c r="J39" s="11" t="s">
        <v>21</v>
      </c>
      <c r="K39" s="11" t="s">
        <v>21</v>
      </c>
      <c r="L39" s="11" t="s">
        <v>21</v>
      </c>
      <c r="M39" s="11" t="s">
        <v>21</v>
      </c>
      <c r="N39" s="11" t="s">
        <v>21</v>
      </c>
      <c r="O39" s="11" t="s">
        <v>21</v>
      </c>
      <c r="P39" s="11" t="s">
        <v>21</v>
      </c>
      <c r="Q39" s="16" t="s">
        <v>21</v>
      </c>
      <c r="R39" s="16" t="s">
        <v>21</v>
      </c>
      <c r="S39" s="16"/>
      <c r="T39" s="16"/>
      <c r="U39" s="16"/>
      <c r="V39" s="16"/>
      <c r="W39" s="16"/>
      <c r="X39" s="16"/>
      <c r="Y39" s="16"/>
      <c r="Z39" s="16"/>
      <c r="AA39" s="16"/>
      <c r="AB39" s="17">
        <f t="shared" si="0"/>
        <v>15</v>
      </c>
      <c r="AC39" s="17">
        <f t="shared" si="1"/>
        <v>0</v>
      </c>
      <c r="AD39" s="17">
        <f t="shared" si="2"/>
        <v>15</v>
      </c>
      <c r="AE39" s="18">
        <f t="shared" si="3"/>
        <v>100</v>
      </c>
    </row>
    <row r="40" spans="1:31" ht="15.75" customHeight="1">
      <c r="A40" s="11">
        <v>29</v>
      </c>
      <c r="B40" s="19" t="s">
        <v>77</v>
      </c>
      <c r="C40" s="35" t="s">
        <v>78</v>
      </c>
      <c r="D40" s="11" t="s">
        <v>21</v>
      </c>
      <c r="E40" s="11" t="s">
        <v>21</v>
      </c>
      <c r="F40" s="14" t="s">
        <v>22</v>
      </c>
      <c r="G40" s="11" t="s">
        <v>21</v>
      </c>
      <c r="H40" s="11" t="s">
        <v>21</v>
      </c>
      <c r="I40" s="11" t="s">
        <v>21</v>
      </c>
      <c r="J40" s="11" t="s">
        <v>21</v>
      </c>
      <c r="K40" s="11" t="s">
        <v>21</v>
      </c>
      <c r="L40" s="11" t="s">
        <v>21</v>
      </c>
      <c r="M40" s="11" t="s">
        <v>21</v>
      </c>
      <c r="N40" s="11" t="s">
        <v>21</v>
      </c>
      <c r="O40" s="11" t="s">
        <v>21</v>
      </c>
      <c r="P40" s="11" t="s">
        <v>21</v>
      </c>
      <c r="Q40" s="16" t="s">
        <v>21</v>
      </c>
      <c r="R40" s="16" t="s">
        <v>21</v>
      </c>
      <c r="S40" s="16"/>
      <c r="T40" s="16"/>
      <c r="U40" s="16"/>
      <c r="V40" s="16"/>
      <c r="W40" s="16"/>
      <c r="X40" s="16"/>
      <c r="Y40" s="16"/>
      <c r="Z40" s="16"/>
      <c r="AA40" s="16"/>
      <c r="AB40" s="17">
        <f t="shared" si="0"/>
        <v>14</v>
      </c>
      <c r="AC40" s="17">
        <f t="shared" si="1"/>
        <v>1</v>
      </c>
      <c r="AD40" s="17">
        <f t="shared" si="2"/>
        <v>15</v>
      </c>
      <c r="AE40" s="18">
        <f t="shared" si="3"/>
        <v>93.333333333333329</v>
      </c>
    </row>
    <row r="41" spans="1:31" ht="15.75" customHeight="1">
      <c r="A41" s="11">
        <v>30</v>
      </c>
      <c r="B41" s="19" t="s">
        <v>79</v>
      </c>
      <c r="C41" s="35" t="s">
        <v>80</v>
      </c>
      <c r="D41" s="11" t="s">
        <v>21</v>
      </c>
      <c r="E41" s="11" t="s">
        <v>21</v>
      </c>
      <c r="F41" s="11" t="s">
        <v>21</v>
      </c>
      <c r="G41" s="11" t="s">
        <v>21</v>
      </c>
      <c r="H41" s="14" t="s">
        <v>22</v>
      </c>
      <c r="I41" s="11" t="s">
        <v>21</v>
      </c>
      <c r="J41" s="11" t="s">
        <v>21</v>
      </c>
      <c r="K41" s="11" t="s">
        <v>21</v>
      </c>
      <c r="L41" s="11" t="s">
        <v>21</v>
      </c>
      <c r="M41" s="11" t="s">
        <v>21</v>
      </c>
      <c r="N41" s="11" t="s">
        <v>21</v>
      </c>
      <c r="O41" s="11" t="s">
        <v>21</v>
      </c>
      <c r="P41" s="11" t="s">
        <v>21</v>
      </c>
      <c r="Q41" s="16" t="s">
        <v>21</v>
      </c>
      <c r="R41" s="16" t="s">
        <v>21</v>
      </c>
      <c r="S41" s="21"/>
      <c r="T41" s="16"/>
      <c r="U41" s="21"/>
      <c r="V41" s="16"/>
      <c r="W41" s="16"/>
      <c r="X41" s="16"/>
      <c r="Y41" s="16"/>
      <c r="Z41" s="16"/>
      <c r="AA41" s="16"/>
      <c r="AB41" s="17">
        <f t="shared" si="0"/>
        <v>14</v>
      </c>
      <c r="AC41" s="17">
        <f t="shared" si="1"/>
        <v>1</v>
      </c>
      <c r="AD41" s="17">
        <f t="shared" si="2"/>
        <v>15</v>
      </c>
      <c r="AE41" s="18">
        <f t="shared" si="3"/>
        <v>93.333333333333329</v>
      </c>
    </row>
    <row r="42" spans="1:31" ht="15.75" customHeight="1">
      <c r="A42" s="11">
        <v>31</v>
      </c>
      <c r="B42" s="19" t="s">
        <v>81</v>
      </c>
      <c r="C42" s="35" t="s">
        <v>82</v>
      </c>
      <c r="D42" s="11" t="s">
        <v>21</v>
      </c>
      <c r="E42" s="11" t="s">
        <v>21</v>
      </c>
      <c r="F42" s="11" t="s">
        <v>21</v>
      </c>
      <c r="G42" s="11" t="s">
        <v>21</v>
      </c>
      <c r="H42" s="11" t="s">
        <v>21</v>
      </c>
      <c r="I42" s="11" t="s">
        <v>21</v>
      </c>
      <c r="J42" s="11" t="s">
        <v>21</v>
      </c>
      <c r="K42" s="11" t="s">
        <v>21</v>
      </c>
      <c r="L42" s="11" t="s">
        <v>21</v>
      </c>
      <c r="M42" s="11" t="s">
        <v>21</v>
      </c>
      <c r="N42" s="11" t="s">
        <v>21</v>
      </c>
      <c r="O42" s="11" t="s">
        <v>21</v>
      </c>
      <c r="P42" s="11" t="s">
        <v>21</v>
      </c>
      <c r="Q42" s="16" t="s">
        <v>21</v>
      </c>
      <c r="R42" s="16" t="s">
        <v>21</v>
      </c>
      <c r="S42" s="16"/>
      <c r="T42" s="16"/>
      <c r="U42" s="16"/>
      <c r="V42" s="16"/>
      <c r="W42" s="16"/>
      <c r="X42" s="16"/>
      <c r="Y42" s="16"/>
      <c r="Z42" s="16"/>
      <c r="AA42" s="16"/>
      <c r="AB42" s="17">
        <f t="shared" si="0"/>
        <v>15</v>
      </c>
      <c r="AC42" s="17">
        <f t="shared" si="1"/>
        <v>0</v>
      </c>
      <c r="AD42" s="17">
        <f t="shared" si="2"/>
        <v>15</v>
      </c>
      <c r="AE42" s="18">
        <f t="shared" si="3"/>
        <v>100</v>
      </c>
    </row>
    <row r="43" spans="1:31" ht="15.75" customHeight="1">
      <c r="A43" s="11">
        <v>32</v>
      </c>
      <c r="B43" s="19" t="s">
        <v>83</v>
      </c>
      <c r="C43" s="35" t="s">
        <v>84</v>
      </c>
      <c r="D43" s="11" t="s">
        <v>21</v>
      </c>
      <c r="E43" s="11" t="s">
        <v>21</v>
      </c>
      <c r="F43" s="11" t="s">
        <v>21</v>
      </c>
      <c r="G43" s="11" t="s">
        <v>21</v>
      </c>
      <c r="H43" s="11" t="s">
        <v>21</v>
      </c>
      <c r="I43" s="11" t="s">
        <v>21</v>
      </c>
      <c r="J43" s="11" t="s">
        <v>21</v>
      </c>
      <c r="K43" s="14" t="s">
        <v>22</v>
      </c>
      <c r="L43" s="11" t="s">
        <v>21</v>
      </c>
      <c r="M43" s="11" t="s">
        <v>21</v>
      </c>
      <c r="N43" s="14" t="s">
        <v>22</v>
      </c>
      <c r="O43" s="11" t="s">
        <v>21</v>
      </c>
      <c r="P43" s="11" t="s">
        <v>21</v>
      </c>
      <c r="Q43" s="16" t="s">
        <v>21</v>
      </c>
      <c r="R43" s="16" t="s">
        <v>21</v>
      </c>
      <c r="S43" s="16"/>
      <c r="T43" s="16"/>
      <c r="U43" s="16"/>
      <c r="V43" s="16"/>
      <c r="W43" s="16"/>
      <c r="X43" s="16"/>
      <c r="Y43" s="16"/>
      <c r="Z43" s="16"/>
      <c r="AA43" s="16"/>
      <c r="AB43" s="17">
        <f t="shared" si="0"/>
        <v>13</v>
      </c>
      <c r="AC43" s="17">
        <f t="shared" si="1"/>
        <v>2</v>
      </c>
      <c r="AD43" s="17">
        <f t="shared" si="2"/>
        <v>15</v>
      </c>
      <c r="AE43" s="18">
        <f t="shared" si="3"/>
        <v>86.666666666666671</v>
      </c>
    </row>
    <row r="44" spans="1:31" ht="15.75" customHeight="1">
      <c r="A44" s="11">
        <v>33</v>
      </c>
      <c r="B44" s="19" t="s">
        <v>85</v>
      </c>
      <c r="C44" s="35" t="s">
        <v>86</v>
      </c>
      <c r="D44" s="11" t="s">
        <v>21</v>
      </c>
      <c r="E44" s="11" t="s">
        <v>21</v>
      </c>
      <c r="F44" s="11" t="s">
        <v>21</v>
      </c>
      <c r="G44" s="11" t="s">
        <v>21</v>
      </c>
      <c r="H44" s="11" t="s">
        <v>21</v>
      </c>
      <c r="I44" s="11" t="s">
        <v>21</v>
      </c>
      <c r="J44" s="11" t="s">
        <v>21</v>
      </c>
      <c r="K44" s="11" t="s">
        <v>21</v>
      </c>
      <c r="L44" s="11" t="s">
        <v>21</v>
      </c>
      <c r="M44" s="11" t="s">
        <v>21</v>
      </c>
      <c r="N44" s="11" t="s">
        <v>21</v>
      </c>
      <c r="O44" s="11" t="s">
        <v>21</v>
      </c>
      <c r="P44" s="11" t="s">
        <v>21</v>
      </c>
      <c r="Q44" s="16" t="s">
        <v>21</v>
      </c>
      <c r="R44" s="16" t="s">
        <v>21</v>
      </c>
      <c r="S44" s="21"/>
      <c r="T44" s="16"/>
      <c r="U44" s="21"/>
      <c r="V44" s="16"/>
      <c r="W44" s="16"/>
      <c r="X44" s="16"/>
      <c r="Y44" s="16"/>
      <c r="Z44" s="16"/>
      <c r="AA44" s="16"/>
      <c r="AB44" s="17">
        <f t="shared" si="0"/>
        <v>15</v>
      </c>
      <c r="AC44" s="17">
        <f t="shared" si="1"/>
        <v>0</v>
      </c>
      <c r="AD44" s="17">
        <f t="shared" si="2"/>
        <v>15</v>
      </c>
      <c r="AE44" s="18">
        <f t="shared" si="3"/>
        <v>100</v>
      </c>
    </row>
    <row r="45" spans="1:31" ht="15.75" customHeight="1">
      <c r="A45" s="11">
        <v>34</v>
      </c>
      <c r="B45" s="19" t="s">
        <v>87</v>
      </c>
      <c r="C45" s="35" t="s">
        <v>88</v>
      </c>
      <c r="D45" s="11" t="s">
        <v>21</v>
      </c>
      <c r="E45" s="11" t="s">
        <v>21</v>
      </c>
      <c r="F45" s="11" t="s">
        <v>21</v>
      </c>
      <c r="G45" s="11" t="s">
        <v>21</v>
      </c>
      <c r="H45" s="11" t="s">
        <v>21</v>
      </c>
      <c r="I45" s="11" t="s">
        <v>21</v>
      </c>
      <c r="J45" s="11" t="s">
        <v>21</v>
      </c>
      <c r="K45" s="11" t="s">
        <v>21</v>
      </c>
      <c r="L45" s="11" t="s">
        <v>21</v>
      </c>
      <c r="M45" s="11" t="s">
        <v>21</v>
      </c>
      <c r="N45" s="11" t="s">
        <v>21</v>
      </c>
      <c r="O45" s="11" t="s">
        <v>21</v>
      </c>
      <c r="P45" s="11" t="s">
        <v>21</v>
      </c>
      <c r="Q45" s="16" t="s">
        <v>21</v>
      </c>
      <c r="R45" s="16" t="s">
        <v>21</v>
      </c>
      <c r="S45" s="21"/>
      <c r="T45" s="16"/>
      <c r="U45" s="21"/>
      <c r="V45" s="16"/>
      <c r="W45" s="16"/>
      <c r="X45" s="16"/>
      <c r="Y45" s="16"/>
      <c r="Z45" s="16"/>
      <c r="AA45" s="16"/>
      <c r="AB45" s="17">
        <f t="shared" si="0"/>
        <v>15</v>
      </c>
      <c r="AC45" s="17">
        <f t="shared" si="1"/>
        <v>0</v>
      </c>
      <c r="AD45" s="17">
        <f t="shared" si="2"/>
        <v>15</v>
      </c>
      <c r="AE45" s="18">
        <f t="shared" si="3"/>
        <v>100</v>
      </c>
    </row>
    <row r="46" spans="1:31" ht="15.75" customHeight="1">
      <c r="A46" s="11">
        <v>35</v>
      </c>
      <c r="B46" s="19" t="s">
        <v>89</v>
      </c>
      <c r="C46" s="35" t="s">
        <v>90</v>
      </c>
      <c r="D46" s="11" t="s">
        <v>21</v>
      </c>
      <c r="E46" s="11" t="s">
        <v>21</v>
      </c>
      <c r="F46" s="11" t="s">
        <v>21</v>
      </c>
      <c r="G46" s="11" t="s">
        <v>21</v>
      </c>
      <c r="H46" s="11" t="s">
        <v>21</v>
      </c>
      <c r="I46" s="14" t="s">
        <v>22</v>
      </c>
      <c r="J46" s="11" t="s">
        <v>21</v>
      </c>
      <c r="K46" s="11" t="s">
        <v>21</v>
      </c>
      <c r="L46" s="11" t="s">
        <v>21</v>
      </c>
      <c r="M46" s="11" t="s">
        <v>21</v>
      </c>
      <c r="N46" s="11" t="s">
        <v>21</v>
      </c>
      <c r="O46" s="11" t="s">
        <v>21</v>
      </c>
      <c r="P46" s="11" t="s">
        <v>21</v>
      </c>
      <c r="Q46" s="11" t="s">
        <v>22</v>
      </c>
      <c r="R46" s="16" t="s">
        <v>22</v>
      </c>
      <c r="S46" s="16"/>
      <c r="T46" s="16"/>
      <c r="U46" s="21"/>
      <c r="V46" s="16"/>
      <c r="W46" s="16"/>
      <c r="X46" s="16"/>
      <c r="Y46" s="16"/>
      <c r="Z46" s="16"/>
      <c r="AA46" s="16"/>
      <c r="AB46" s="17">
        <f t="shared" si="0"/>
        <v>12</v>
      </c>
      <c r="AC46" s="17">
        <f t="shared" si="1"/>
        <v>3</v>
      </c>
      <c r="AD46" s="17">
        <f t="shared" si="2"/>
        <v>15</v>
      </c>
      <c r="AE46" s="18">
        <f t="shared" si="3"/>
        <v>80</v>
      </c>
    </row>
    <row r="47" spans="1:31" ht="15.75" customHeight="1">
      <c r="A47" s="11">
        <v>36</v>
      </c>
      <c r="B47" s="19" t="s">
        <v>91</v>
      </c>
      <c r="C47" s="35" t="s">
        <v>92</v>
      </c>
      <c r="D47" s="11" t="s">
        <v>21</v>
      </c>
      <c r="E47" s="11" t="s">
        <v>21</v>
      </c>
      <c r="F47" s="11" t="s">
        <v>21</v>
      </c>
      <c r="G47" s="11" t="s">
        <v>21</v>
      </c>
      <c r="H47" s="11" t="s">
        <v>21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 t="s">
        <v>21</v>
      </c>
      <c r="O47" s="11" t="s">
        <v>21</v>
      </c>
      <c r="P47" s="11" t="s">
        <v>21</v>
      </c>
      <c r="Q47" s="16" t="s">
        <v>21</v>
      </c>
      <c r="R47" s="16" t="s">
        <v>21</v>
      </c>
      <c r="S47" s="21"/>
      <c r="T47" s="16"/>
      <c r="U47" s="16"/>
      <c r="V47" s="16"/>
      <c r="W47" s="16"/>
      <c r="X47" s="16"/>
      <c r="Y47" s="16"/>
      <c r="Z47" s="16"/>
      <c r="AA47" s="16"/>
      <c r="AB47" s="17">
        <f t="shared" si="0"/>
        <v>15</v>
      </c>
      <c r="AC47" s="17">
        <f t="shared" si="1"/>
        <v>0</v>
      </c>
      <c r="AD47" s="17">
        <f t="shared" si="2"/>
        <v>15</v>
      </c>
      <c r="AE47" s="18">
        <f t="shared" si="3"/>
        <v>100</v>
      </c>
    </row>
    <row r="48" spans="1:31" ht="15.75" customHeight="1">
      <c r="A48" s="11">
        <v>37</v>
      </c>
      <c r="B48" s="19" t="s">
        <v>93</v>
      </c>
      <c r="C48" s="35" t="s">
        <v>94</v>
      </c>
      <c r="D48" s="11" t="s">
        <v>21</v>
      </c>
      <c r="E48" s="11" t="s">
        <v>21</v>
      </c>
      <c r="F48" s="11" t="s">
        <v>21</v>
      </c>
      <c r="G48" s="11" t="s">
        <v>21</v>
      </c>
      <c r="H48" s="11" t="s">
        <v>21</v>
      </c>
      <c r="I48" s="11" t="s">
        <v>21</v>
      </c>
      <c r="J48" s="11" t="s">
        <v>21</v>
      </c>
      <c r="K48" s="11" t="s">
        <v>21</v>
      </c>
      <c r="L48" s="14" t="s">
        <v>22</v>
      </c>
      <c r="M48" s="11" t="s">
        <v>21</v>
      </c>
      <c r="N48" s="11" t="s">
        <v>21</v>
      </c>
      <c r="O48" s="11" t="s">
        <v>21</v>
      </c>
      <c r="P48" s="11" t="s">
        <v>21</v>
      </c>
      <c r="Q48" s="16" t="s">
        <v>21</v>
      </c>
      <c r="R48" s="16" t="s">
        <v>21</v>
      </c>
      <c r="S48" s="16"/>
      <c r="T48" s="16"/>
      <c r="U48" s="16"/>
      <c r="V48" s="16"/>
      <c r="W48" s="16"/>
      <c r="X48" s="16"/>
      <c r="Y48" s="16"/>
      <c r="Z48" s="16"/>
      <c r="AA48" s="16"/>
      <c r="AB48" s="17">
        <f t="shared" si="0"/>
        <v>14</v>
      </c>
      <c r="AC48" s="17">
        <f t="shared" si="1"/>
        <v>1</v>
      </c>
      <c r="AD48" s="17">
        <f t="shared" si="2"/>
        <v>15</v>
      </c>
      <c r="AE48" s="18">
        <f t="shared" si="3"/>
        <v>93.333333333333329</v>
      </c>
    </row>
    <row r="49" spans="1:31" ht="15.75" customHeight="1">
      <c r="A49" s="26">
        <v>38</v>
      </c>
      <c r="B49" s="31" t="s">
        <v>95</v>
      </c>
      <c r="C49" s="36" t="s">
        <v>96</v>
      </c>
      <c r="D49" s="11" t="s">
        <v>21</v>
      </c>
      <c r="E49" s="14" t="s">
        <v>22</v>
      </c>
      <c r="F49" s="14" t="s">
        <v>22</v>
      </c>
      <c r="G49" s="11" t="s">
        <v>21</v>
      </c>
      <c r="H49" s="11" t="s">
        <v>21</v>
      </c>
      <c r="I49" s="11" t="s">
        <v>21</v>
      </c>
      <c r="J49" s="11" t="s">
        <v>21</v>
      </c>
      <c r="K49" s="11" t="s">
        <v>21</v>
      </c>
      <c r="L49" s="11" t="s">
        <v>21</v>
      </c>
      <c r="M49" s="11" t="s">
        <v>21</v>
      </c>
      <c r="N49" s="11" t="s">
        <v>21</v>
      </c>
      <c r="O49" s="11" t="s">
        <v>21</v>
      </c>
      <c r="P49" s="11" t="s">
        <v>21</v>
      </c>
      <c r="Q49" s="16" t="s">
        <v>21</v>
      </c>
      <c r="R49" s="16" t="s">
        <v>21</v>
      </c>
      <c r="S49" s="16"/>
      <c r="T49" s="16"/>
      <c r="U49" s="16"/>
      <c r="V49" s="37"/>
      <c r="W49" s="37"/>
      <c r="X49" s="37"/>
      <c r="Y49" s="37"/>
      <c r="Z49" s="37"/>
      <c r="AA49" s="37"/>
      <c r="AB49" s="17">
        <f t="shared" si="0"/>
        <v>13</v>
      </c>
      <c r="AC49" s="17">
        <f t="shared" si="1"/>
        <v>2</v>
      </c>
      <c r="AD49" s="17">
        <f t="shared" si="2"/>
        <v>15</v>
      </c>
      <c r="AE49" s="27">
        <f t="shared" si="3"/>
        <v>86.666666666666671</v>
      </c>
    </row>
    <row r="50" spans="1:31" ht="15.75" customHeight="1">
      <c r="A50" s="11">
        <v>39</v>
      </c>
      <c r="B50" s="24" t="s">
        <v>97</v>
      </c>
      <c r="C50" s="25" t="s">
        <v>98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 t="s">
        <v>21</v>
      </c>
      <c r="M50" s="11" t="s">
        <v>21</v>
      </c>
      <c r="N50" s="11" t="s">
        <v>21</v>
      </c>
      <c r="O50" s="14" t="s">
        <v>22</v>
      </c>
      <c r="P50" s="11" t="s">
        <v>21</v>
      </c>
      <c r="Q50" s="16" t="s">
        <v>21</v>
      </c>
      <c r="R50" s="16" t="s">
        <v>21</v>
      </c>
      <c r="S50" s="16"/>
      <c r="T50" s="16"/>
      <c r="U50" s="21"/>
      <c r="V50" s="16"/>
      <c r="W50" s="16"/>
      <c r="X50" s="16"/>
      <c r="Y50" s="16"/>
      <c r="Z50" s="16"/>
      <c r="AA50" s="16"/>
      <c r="AB50" s="17">
        <f t="shared" si="0"/>
        <v>14</v>
      </c>
      <c r="AC50" s="17">
        <f t="shared" si="1"/>
        <v>1</v>
      </c>
      <c r="AD50" s="17">
        <f t="shared" si="2"/>
        <v>15</v>
      </c>
      <c r="AE50" s="18">
        <f t="shared" si="3"/>
        <v>93.333333333333329</v>
      </c>
    </row>
    <row r="51" spans="1:31" ht="15.75" customHeight="1">
      <c r="A51" s="11">
        <v>40</v>
      </c>
      <c r="B51" s="24" t="s">
        <v>99</v>
      </c>
      <c r="C51" s="25" t="s">
        <v>100</v>
      </c>
      <c r="D51" s="11" t="s">
        <v>21</v>
      </c>
      <c r="E51" s="11" t="s">
        <v>21</v>
      </c>
      <c r="F51" s="11" t="s">
        <v>21</v>
      </c>
      <c r="G51" s="11" t="s">
        <v>21</v>
      </c>
      <c r="H51" s="11" t="s">
        <v>21</v>
      </c>
      <c r="I51" s="14" t="s">
        <v>22</v>
      </c>
      <c r="J51" s="11" t="s">
        <v>21</v>
      </c>
      <c r="K51" s="11" t="s">
        <v>21</v>
      </c>
      <c r="L51" s="11" t="s">
        <v>21</v>
      </c>
      <c r="M51" s="11" t="s">
        <v>21</v>
      </c>
      <c r="N51" s="11" t="s">
        <v>21</v>
      </c>
      <c r="O51" s="11" t="s">
        <v>21</v>
      </c>
      <c r="P51" s="11" t="s">
        <v>21</v>
      </c>
      <c r="Q51" s="16" t="s">
        <v>21</v>
      </c>
      <c r="R51" s="16" t="s">
        <v>21</v>
      </c>
      <c r="S51" s="21"/>
      <c r="T51" s="16"/>
      <c r="U51" s="16"/>
      <c r="V51" s="16"/>
      <c r="W51" s="21"/>
      <c r="X51" s="16"/>
      <c r="Y51" s="16"/>
      <c r="Z51" s="16"/>
      <c r="AA51" s="16"/>
      <c r="AB51" s="17">
        <f t="shared" si="0"/>
        <v>14</v>
      </c>
      <c r="AC51" s="17">
        <f t="shared" si="1"/>
        <v>1</v>
      </c>
      <c r="AD51" s="17">
        <f t="shared" si="2"/>
        <v>15</v>
      </c>
      <c r="AE51" s="18">
        <f t="shared" si="3"/>
        <v>93.333333333333329</v>
      </c>
    </row>
    <row r="52" spans="1:31" ht="15.75" customHeight="1"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f t="shared" ref="N52:AA52" si="4">COUNTIF(N49:N51,"P")</f>
        <v>3</v>
      </c>
      <c r="O52" s="2">
        <f t="shared" si="4"/>
        <v>2</v>
      </c>
      <c r="P52" s="2">
        <f t="shared" si="4"/>
        <v>3</v>
      </c>
      <c r="Q52" s="2">
        <f t="shared" si="4"/>
        <v>3</v>
      </c>
      <c r="R52" s="2">
        <f t="shared" si="4"/>
        <v>3</v>
      </c>
      <c r="S52" s="2">
        <f t="shared" si="4"/>
        <v>0</v>
      </c>
      <c r="T52" s="2">
        <f t="shared" si="4"/>
        <v>0</v>
      </c>
      <c r="U52" s="2">
        <f t="shared" si="4"/>
        <v>0</v>
      </c>
      <c r="V52" s="2">
        <f t="shared" si="4"/>
        <v>0</v>
      </c>
      <c r="W52" s="2">
        <f t="shared" si="4"/>
        <v>0</v>
      </c>
      <c r="X52" s="2">
        <f t="shared" si="4"/>
        <v>0</v>
      </c>
      <c r="Y52" s="2">
        <f t="shared" si="4"/>
        <v>0</v>
      </c>
      <c r="Z52" s="2">
        <f t="shared" si="4"/>
        <v>0</v>
      </c>
      <c r="AA52" s="2">
        <f t="shared" si="4"/>
        <v>0</v>
      </c>
      <c r="AB52" s="2"/>
      <c r="AC52" s="2"/>
      <c r="AD52" s="2"/>
      <c r="AE52" s="4"/>
    </row>
    <row r="53" spans="1:31" ht="15.75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AB53" s="2"/>
      <c r="AC53" s="2"/>
      <c r="AD53" s="2"/>
      <c r="AE53" s="4"/>
    </row>
    <row r="54" spans="1:31" ht="15.75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AB54" s="2"/>
      <c r="AC54" s="2"/>
      <c r="AD54" s="2"/>
      <c r="AE54" s="4"/>
    </row>
    <row r="55" spans="1:31" ht="15.75" customHeight="1"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AB55" s="2"/>
      <c r="AC55" s="2"/>
      <c r="AD55" s="2"/>
      <c r="AE55" s="4"/>
    </row>
    <row r="56" spans="1:31" ht="15.75" customHeight="1"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AB56" s="2"/>
      <c r="AC56" s="2"/>
      <c r="AD56" s="2"/>
      <c r="AE56" s="4"/>
    </row>
    <row r="57" spans="1:31" ht="15.75" customHeight="1"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AB57" s="2"/>
      <c r="AC57" s="2"/>
      <c r="AD57" s="2"/>
      <c r="AE57" s="4"/>
    </row>
    <row r="58" spans="1:31" ht="15.75" customHeight="1"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AB58" s="2"/>
      <c r="AC58" s="2"/>
      <c r="AD58" s="2"/>
      <c r="AE58" s="4"/>
    </row>
    <row r="59" spans="1:31" ht="15.75" customHeight="1"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AB59" s="2"/>
      <c r="AC59" s="2"/>
      <c r="AD59" s="2"/>
      <c r="AE59" s="4"/>
    </row>
    <row r="60" spans="1:31" ht="15.75" customHeight="1"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AB60" s="2"/>
      <c r="AC60" s="2"/>
      <c r="AD60" s="2"/>
      <c r="AE60" s="4"/>
    </row>
    <row r="61" spans="1:31" ht="15.75" customHeight="1"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AB61" s="2"/>
      <c r="AC61" s="2"/>
      <c r="AD61" s="2"/>
      <c r="AE61" s="4"/>
    </row>
    <row r="62" spans="1:31" ht="15.75" customHeight="1"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AB62" s="2"/>
      <c r="AC62" s="2"/>
      <c r="AD62" s="2"/>
      <c r="AE62" s="4"/>
    </row>
    <row r="63" spans="1:31" ht="15.75" customHeight="1"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AB63" s="2"/>
      <c r="AC63" s="2"/>
      <c r="AD63" s="2"/>
      <c r="AE63" s="4"/>
    </row>
    <row r="64" spans="1:31" ht="15.75" customHeight="1"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AB64" s="2"/>
      <c r="AC64" s="2"/>
      <c r="AD64" s="2"/>
      <c r="AE64" s="4"/>
    </row>
    <row r="65" spans="2:31" ht="15.75" customHeight="1"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AB65" s="2"/>
      <c r="AC65" s="2"/>
      <c r="AD65" s="2"/>
      <c r="AE65" s="4"/>
    </row>
    <row r="66" spans="2:31" ht="15.75" customHeight="1"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AB66" s="2"/>
      <c r="AC66" s="2"/>
      <c r="AD66" s="2"/>
      <c r="AE66" s="4"/>
    </row>
    <row r="67" spans="2:31" ht="15.75" customHeight="1"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AB67" s="2"/>
      <c r="AC67" s="2"/>
      <c r="AD67" s="2"/>
      <c r="AE67" s="4"/>
    </row>
    <row r="68" spans="2:31" ht="15.75" customHeight="1"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AB68" s="2"/>
      <c r="AC68" s="2"/>
      <c r="AD68" s="2"/>
      <c r="AE68" s="4"/>
    </row>
    <row r="69" spans="2:31" ht="15.75" customHeight="1"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AB69" s="2"/>
      <c r="AC69" s="2"/>
      <c r="AD69" s="2"/>
      <c r="AE69" s="4"/>
    </row>
    <row r="70" spans="2:31" ht="15.75" customHeight="1"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AB70" s="2"/>
      <c r="AC70" s="2"/>
      <c r="AD70" s="2"/>
      <c r="AE70" s="4"/>
    </row>
    <row r="71" spans="2:31" ht="15.75" customHeight="1"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AB71" s="2"/>
      <c r="AC71" s="2"/>
      <c r="AD71" s="2"/>
      <c r="AE71" s="4"/>
    </row>
    <row r="72" spans="2:31" ht="15.75" customHeight="1"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AB72" s="2"/>
      <c r="AC72" s="2"/>
      <c r="AD72" s="2"/>
      <c r="AE72" s="4"/>
    </row>
    <row r="73" spans="2:31" ht="15.75" customHeight="1"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AB73" s="2"/>
      <c r="AC73" s="2"/>
      <c r="AD73" s="2"/>
      <c r="AE73" s="4"/>
    </row>
    <row r="74" spans="2:31" ht="15.75" customHeight="1"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AB74" s="2"/>
      <c r="AC74" s="2"/>
      <c r="AD74" s="2"/>
      <c r="AE74" s="4"/>
    </row>
    <row r="75" spans="2:31" ht="15.75" customHeight="1"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AB75" s="2"/>
      <c r="AC75" s="2"/>
      <c r="AD75" s="2"/>
      <c r="AE75" s="4"/>
    </row>
    <row r="76" spans="2:31" ht="15.75" customHeight="1"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AB76" s="2"/>
      <c r="AC76" s="2"/>
      <c r="AD76" s="2"/>
      <c r="AE76" s="4"/>
    </row>
    <row r="77" spans="2:31" ht="15.75" customHeight="1"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AB77" s="2"/>
      <c r="AC77" s="2"/>
      <c r="AD77" s="2"/>
      <c r="AE77" s="4"/>
    </row>
    <row r="78" spans="2:31" ht="15.75" customHeight="1"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AB78" s="2"/>
      <c r="AC78" s="2"/>
      <c r="AD78" s="2"/>
      <c r="AE78" s="4"/>
    </row>
    <row r="79" spans="2:31" ht="15.75" customHeight="1"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AB79" s="2"/>
      <c r="AC79" s="2"/>
      <c r="AD79" s="2"/>
      <c r="AE79" s="4"/>
    </row>
    <row r="80" spans="2:31" ht="15.75" customHeight="1"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AB80" s="2"/>
      <c r="AC80" s="2"/>
      <c r="AD80" s="2"/>
      <c r="AE80" s="4"/>
    </row>
    <row r="81" spans="2:31" ht="15.75" customHeight="1"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AB81" s="2"/>
      <c r="AC81" s="2"/>
      <c r="AD81" s="2"/>
      <c r="AE81" s="4"/>
    </row>
    <row r="82" spans="2:31" ht="15.75" customHeight="1"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AB82" s="2"/>
      <c r="AC82" s="2"/>
      <c r="AD82" s="2"/>
      <c r="AE82" s="4"/>
    </row>
    <row r="83" spans="2:31" ht="15.75" customHeight="1"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AB83" s="2"/>
      <c r="AC83" s="2"/>
      <c r="AD83" s="2"/>
      <c r="AE83" s="4"/>
    </row>
    <row r="84" spans="2:31" ht="15.75" customHeight="1"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AB84" s="2"/>
      <c r="AC84" s="2"/>
      <c r="AD84" s="2"/>
      <c r="AE84" s="4"/>
    </row>
    <row r="85" spans="2:31" ht="15.75" customHeight="1"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AB85" s="2"/>
      <c r="AC85" s="2"/>
      <c r="AD85" s="2"/>
      <c r="AE85" s="4"/>
    </row>
    <row r="86" spans="2:31" ht="15.75" customHeight="1"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AB86" s="2"/>
      <c r="AC86" s="2"/>
      <c r="AD86" s="2"/>
      <c r="AE86" s="4"/>
    </row>
    <row r="87" spans="2:31" ht="15.75" customHeight="1"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AB87" s="2"/>
      <c r="AC87" s="2"/>
      <c r="AD87" s="2"/>
      <c r="AE87" s="4"/>
    </row>
    <row r="88" spans="2:31" ht="15.75" customHeight="1"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AB88" s="2"/>
      <c r="AC88" s="2"/>
      <c r="AD88" s="2"/>
      <c r="AE88" s="4"/>
    </row>
    <row r="89" spans="2:31" ht="15.75" customHeight="1"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AB89" s="2"/>
      <c r="AC89" s="2"/>
      <c r="AD89" s="2"/>
      <c r="AE89" s="4"/>
    </row>
    <row r="90" spans="2:31" ht="15.75" customHeight="1"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AB90" s="2"/>
      <c r="AC90" s="2"/>
      <c r="AD90" s="2"/>
      <c r="AE90" s="4"/>
    </row>
    <row r="91" spans="2:31" ht="15.7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AB91" s="2"/>
      <c r="AC91" s="2"/>
      <c r="AD91" s="2"/>
      <c r="AE91" s="4"/>
    </row>
    <row r="92" spans="2:31" ht="15.75" customHeight="1"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AB92" s="2"/>
      <c r="AC92" s="2"/>
      <c r="AD92" s="2"/>
      <c r="AE92" s="4"/>
    </row>
    <row r="93" spans="2:31" ht="15.75" customHeight="1"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AB93" s="2"/>
      <c r="AC93" s="2"/>
      <c r="AD93" s="2"/>
      <c r="AE93" s="4"/>
    </row>
    <row r="94" spans="2:31" ht="15.75" customHeight="1"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AB94" s="2"/>
      <c r="AC94" s="2"/>
      <c r="AD94" s="2"/>
      <c r="AE94" s="4"/>
    </row>
    <row r="95" spans="2:31" ht="15.75" customHeight="1"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AB95" s="2"/>
      <c r="AC95" s="2"/>
      <c r="AD95" s="2"/>
      <c r="AE95" s="4"/>
    </row>
    <row r="96" spans="2:31" ht="15.75" customHeight="1"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AB96" s="2"/>
      <c r="AC96" s="2"/>
      <c r="AD96" s="2"/>
      <c r="AE96" s="4"/>
    </row>
    <row r="97" spans="2:31" ht="15.75" customHeight="1"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AB97" s="2"/>
      <c r="AC97" s="2"/>
      <c r="AD97" s="2"/>
      <c r="AE97" s="4"/>
    </row>
    <row r="98" spans="2:31" ht="15.75" customHeight="1"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AB98" s="2"/>
      <c r="AC98" s="2"/>
      <c r="AD98" s="2"/>
      <c r="AE98" s="4"/>
    </row>
    <row r="99" spans="2:31" ht="15.75" customHeight="1"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AB99" s="2"/>
      <c r="AC99" s="2"/>
      <c r="AD99" s="2"/>
      <c r="AE99" s="4"/>
    </row>
    <row r="100" spans="2:31" ht="15.75" customHeight="1"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AB100" s="2"/>
      <c r="AC100" s="2"/>
      <c r="AD100" s="2"/>
      <c r="AE100" s="4"/>
    </row>
    <row r="101" spans="2:31" ht="15.75" customHeight="1"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AB101" s="2"/>
      <c r="AC101" s="2"/>
      <c r="AD101" s="2"/>
      <c r="AE101" s="4"/>
    </row>
    <row r="102" spans="2:31" ht="15.75" customHeight="1"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AB102" s="2"/>
      <c r="AC102" s="2"/>
      <c r="AD102" s="2"/>
      <c r="AE102" s="4"/>
    </row>
    <row r="103" spans="2:31" ht="15.75" customHeight="1"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AB103" s="2"/>
      <c r="AC103" s="2"/>
      <c r="AD103" s="2"/>
      <c r="AE103" s="4"/>
    </row>
    <row r="104" spans="2:31" ht="15.75" customHeight="1"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AB104" s="2"/>
      <c r="AC104" s="2"/>
      <c r="AD104" s="2"/>
      <c r="AE104" s="4"/>
    </row>
    <row r="105" spans="2:31" ht="15.75" customHeight="1"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AB105" s="2"/>
      <c r="AC105" s="2"/>
      <c r="AD105" s="2"/>
      <c r="AE105" s="4"/>
    </row>
    <row r="106" spans="2:31" ht="15.75" customHeight="1"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AB106" s="2"/>
      <c r="AC106" s="2"/>
      <c r="AD106" s="2"/>
      <c r="AE106" s="4"/>
    </row>
    <row r="107" spans="2:31" ht="15.75" customHeight="1"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AB107" s="2"/>
      <c r="AC107" s="2"/>
      <c r="AD107" s="2"/>
      <c r="AE107" s="4"/>
    </row>
    <row r="108" spans="2:31" ht="15.75" customHeight="1"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AB108" s="2"/>
      <c r="AC108" s="2"/>
      <c r="AD108" s="2"/>
      <c r="AE108" s="4"/>
    </row>
    <row r="109" spans="2:31" ht="15.75" customHeight="1"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AB109" s="2"/>
      <c r="AC109" s="2"/>
      <c r="AD109" s="2"/>
      <c r="AE109" s="4"/>
    </row>
    <row r="110" spans="2:31" ht="15.75" customHeight="1"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AB110" s="2"/>
      <c r="AC110" s="2"/>
      <c r="AD110" s="2"/>
      <c r="AE110" s="4"/>
    </row>
    <row r="111" spans="2:31" ht="15.75" customHeight="1"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AB111" s="2"/>
      <c r="AC111" s="2"/>
      <c r="AD111" s="2"/>
      <c r="AE111" s="4"/>
    </row>
    <row r="112" spans="2:31" ht="15.75" customHeight="1"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AB112" s="2"/>
      <c r="AC112" s="2"/>
      <c r="AD112" s="2"/>
      <c r="AE112" s="4"/>
    </row>
    <row r="113" spans="2:31" ht="15.75" customHeight="1"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AB113" s="2"/>
      <c r="AC113" s="2"/>
      <c r="AD113" s="2"/>
      <c r="AE113" s="4"/>
    </row>
    <row r="114" spans="2:31" ht="15.75" customHeight="1"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AB114" s="2"/>
      <c r="AC114" s="2"/>
      <c r="AD114" s="2"/>
      <c r="AE114" s="4"/>
    </row>
    <row r="115" spans="2:31" ht="15.75" customHeight="1"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AB115" s="2"/>
      <c r="AC115" s="2"/>
      <c r="AD115" s="2"/>
      <c r="AE115" s="4"/>
    </row>
    <row r="116" spans="2:31" ht="15.75" customHeight="1"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AB116" s="2"/>
      <c r="AC116" s="2"/>
      <c r="AD116" s="2"/>
      <c r="AE116" s="4"/>
    </row>
    <row r="117" spans="2:31" ht="15.75" customHeight="1"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AB117" s="2"/>
      <c r="AC117" s="2"/>
      <c r="AD117" s="2"/>
      <c r="AE117" s="4"/>
    </row>
    <row r="118" spans="2:31" ht="15.75" customHeight="1"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AB118" s="2"/>
      <c r="AC118" s="2"/>
      <c r="AD118" s="2"/>
      <c r="AE118" s="4"/>
    </row>
    <row r="119" spans="2:31" ht="15.75" customHeight="1"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AB119" s="2"/>
      <c r="AC119" s="2"/>
      <c r="AD119" s="2"/>
      <c r="AE119" s="4"/>
    </row>
    <row r="120" spans="2:31" ht="15.75" customHeight="1"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AB120" s="2"/>
      <c r="AC120" s="2"/>
      <c r="AD120" s="2"/>
      <c r="AE120" s="4"/>
    </row>
    <row r="121" spans="2:31" ht="15.75" customHeight="1"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AB121" s="2"/>
      <c r="AC121" s="2"/>
      <c r="AD121" s="2"/>
      <c r="AE121" s="4"/>
    </row>
    <row r="122" spans="2:31" ht="15.75" customHeight="1"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AB122" s="2"/>
      <c r="AC122" s="2"/>
      <c r="AD122" s="2"/>
      <c r="AE122" s="4"/>
    </row>
    <row r="123" spans="2:31" ht="15.75" customHeight="1"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AB123" s="2"/>
      <c r="AC123" s="2"/>
      <c r="AD123" s="2"/>
      <c r="AE123" s="4"/>
    </row>
    <row r="124" spans="2:31" ht="15.75" customHeight="1"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AB124" s="2"/>
      <c r="AC124" s="2"/>
      <c r="AD124" s="2"/>
      <c r="AE124" s="4"/>
    </row>
    <row r="125" spans="2:31" ht="15.75" customHeight="1"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AB125" s="2"/>
      <c r="AC125" s="2"/>
      <c r="AD125" s="2"/>
      <c r="AE125" s="4"/>
    </row>
    <row r="126" spans="2:31" ht="15.75" customHeight="1"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AB126" s="2"/>
      <c r="AC126" s="2"/>
      <c r="AD126" s="2"/>
      <c r="AE126" s="4"/>
    </row>
    <row r="127" spans="2:31" ht="15.75" customHeight="1"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AB127" s="2"/>
      <c r="AC127" s="2"/>
      <c r="AD127" s="2"/>
      <c r="AE127" s="4"/>
    </row>
    <row r="128" spans="2:31" ht="15.75" customHeight="1"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AB128" s="2"/>
      <c r="AC128" s="2"/>
      <c r="AD128" s="2"/>
      <c r="AE128" s="4"/>
    </row>
    <row r="129" spans="2:31" ht="15.75" customHeight="1"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AB129" s="2"/>
      <c r="AC129" s="2"/>
      <c r="AD129" s="2"/>
      <c r="AE129" s="4"/>
    </row>
    <row r="130" spans="2:31" ht="15.75" customHeight="1"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AB130" s="2"/>
      <c r="AC130" s="2"/>
      <c r="AD130" s="2"/>
      <c r="AE130" s="4"/>
    </row>
    <row r="131" spans="2:31" ht="15.75" customHeight="1"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AB131" s="2"/>
      <c r="AC131" s="2"/>
      <c r="AD131" s="2"/>
      <c r="AE131" s="4"/>
    </row>
    <row r="132" spans="2:31" ht="15.75" customHeight="1"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AB132" s="2"/>
      <c r="AC132" s="2"/>
      <c r="AD132" s="2"/>
      <c r="AE132" s="4"/>
    </row>
    <row r="133" spans="2:31" ht="15.75" customHeight="1"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AB133" s="2"/>
      <c r="AC133" s="2"/>
      <c r="AD133" s="2"/>
      <c r="AE133" s="4"/>
    </row>
    <row r="134" spans="2:31" ht="15.75" customHeight="1"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AB134" s="2"/>
      <c r="AC134" s="2"/>
      <c r="AD134" s="2"/>
      <c r="AE134" s="4"/>
    </row>
    <row r="135" spans="2:31" ht="15.75" customHeight="1"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AB135" s="2"/>
      <c r="AC135" s="2"/>
      <c r="AD135" s="2"/>
      <c r="AE135" s="4"/>
    </row>
    <row r="136" spans="2:31" ht="15.75" customHeight="1"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AB136" s="2"/>
      <c r="AC136" s="2"/>
      <c r="AD136" s="2"/>
      <c r="AE136" s="4"/>
    </row>
    <row r="137" spans="2:31" ht="15.75" customHeight="1"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AB137" s="2"/>
      <c r="AC137" s="2"/>
      <c r="AD137" s="2"/>
      <c r="AE137" s="4"/>
    </row>
    <row r="138" spans="2:31" ht="15.75" customHeight="1"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AB138" s="2"/>
      <c r="AC138" s="2"/>
      <c r="AD138" s="2"/>
      <c r="AE138" s="4"/>
    </row>
    <row r="139" spans="2:31" ht="15.75" customHeight="1"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AB139" s="2"/>
      <c r="AC139" s="2"/>
      <c r="AD139" s="2"/>
      <c r="AE139" s="4"/>
    </row>
    <row r="140" spans="2:31" ht="15.75" customHeight="1"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AB140" s="2"/>
      <c r="AC140" s="2"/>
      <c r="AD140" s="2"/>
      <c r="AE140" s="4"/>
    </row>
    <row r="141" spans="2:31" ht="15.75" customHeight="1"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AB141" s="2"/>
      <c r="AC141" s="2"/>
      <c r="AD141" s="2"/>
      <c r="AE141" s="4"/>
    </row>
    <row r="142" spans="2:31" ht="15.75" customHeight="1"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AB142" s="2"/>
      <c r="AC142" s="2"/>
      <c r="AD142" s="2"/>
      <c r="AE142" s="4"/>
    </row>
    <row r="143" spans="2:31" ht="15.75" customHeight="1"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AB143" s="2"/>
      <c r="AC143" s="2"/>
      <c r="AD143" s="2"/>
      <c r="AE143" s="4"/>
    </row>
    <row r="144" spans="2:31" ht="15.75" customHeight="1"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AB144" s="2"/>
      <c r="AC144" s="2"/>
      <c r="AD144" s="2"/>
      <c r="AE144" s="4"/>
    </row>
    <row r="145" spans="2:31" ht="15.75" customHeight="1"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AB145" s="2"/>
      <c r="AC145" s="2"/>
      <c r="AD145" s="2"/>
      <c r="AE145" s="4"/>
    </row>
    <row r="146" spans="2:31" ht="15.75" customHeight="1"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AB146" s="2"/>
      <c r="AC146" s="2"/>
      <c r="AD146" s="2"/>
      <c r="AE146" s="4"/>
    </row>
    <row r="147" spans="2:31" ht="15.75" customHeight="1"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AB147" s="2"/>
      <c r="AC147" s="2"/>
      <c r="AD147" s="2"/>
      <c r="AE147" s="4"/>
    </row>
    <row r="148" spans="2:31" ht="15.75" customHeight="1"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AB148" s="2"/>
      <c r="AC148" s="2"/>
      <c r="AD148" s="2"/>
      <c r="AE148" s="4"/>
    </row>
    <row r="149" spans="2:31" ht="15.75" customHeight="1"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AB149" s="2"/>
      <c r="AC149" s="2"/>
      <c r="AD149" s="2"/>
      <c r="AE149" s="4"/>
    </row>
    <row r="150" spans="2:31" ht="15.75" customHeight="1"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AB150" s="2"/>
      <c r="AC150" s="2"/>
      <c r="AD150" s="2"/>
      <c r="AE150" s="4"/>
    </row>
    <row r="151" spans="2:31" ht="15.75" customHeight="1"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AB151" s="2"/>
      <c r="AC151" s="2"/>
      <c r="AD151" s="2"/>
      <c r="AE151" s="4"/>
    </row>
    <row r="152" spans="2:31" ht="15.75" customHeight="1"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AB152" s="2"/>
      <c r="AC152" s="2"/>
      <c r="AD152" s="2"/>
      <c r="AE152" s="4"/>
    </row>
    <row r="153" spans="2:31" ht="15.75" customHeight="1"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AB153" s="2"/>
      <c r="AC153" s="2"/>
      <c r="AD153" s="2"/>
      <c r="AE153" s="4"/>
    </row>
    <row r="154" spans="2:31" ht="15.75" customHeight="1"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AB154" s="2"/>
      <c r="AC154" s="2"/>
      <c r="AD154" s="2"/>
      <c r="AE154" s="4"/>
    </row>
    <row r="155" spans="2:31" ht="15.75" customHeight="1"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AB155" s="2"/>
      <c r="AC155" s="2"/>
      <c r="AD155" s="2"/>
      <c r="AE155" s="4"/>
    </row>
    <row r="156" spans="2:31" ht="15.75" customHeight="1"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AB156" s="2"/>
      <c r="AC156" s="2"/>
      <c r="AD156" s="2"/>
      <c r="AE156" s="4"/>
    </row>
    <row r="157" spans="2:31" ht="15.75" customHeight="1"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AB157" s="2"/>
      <c r="AC157" s="2"/>
      <c r="AD157" s="2"/>
      <c r="AE157" s="4"/>
    </row>
    <row r="158" spans="2:31" ht="15.75" customHeight="1"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AB158" s="2"/>
      <c r="AC158" s="2"/>
      <c r="AD158" s="2"/>
      <c r="AE158" s="4"/>
    </row>
    <row r="159" spans="2:31" ht="15.75" customHeight="1"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AB159" s="2"/>
      <c r="AC159" s="2"/>
      <c r="AD159" s="2"/>
      <c r="AE159" s="4"/>
    </row>
    <row r="160" spans="2:31" ht="15.75" customHeight="1"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AB160" s="2"/>
      <c r="AC160" s="2"/>
      <c r="AD160" s="2"/>
      <c r="AE160" s="4"/>
    </row>
    <row r="161" spans="2:31" ht="15.75" customHeight="1"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AB161" s="2"/>
      <c r="AC161" s="2"/>
      <c r="AD161" s="2"/>
      <c r="AE161" s="4"/>
    </row>
    <row r="162" spans="2:31" ht="15.75" customHeight="1"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AB162" s="2"/>
      <c r="AC162" s="2"/>
      <c r="AD162" s="2"/>
      <c r="AE162" s="4"/>
    </row>
    <row r="163" spans="2:31" ht="15.75" customHeight="1"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AB163" s="2"/>
      <c r="AC163" s="2"/>
      <c r="AD163" s="2"/>
      <c r="AE163" s="4"/>
    </row>
    <row r="164" spans="2:31" ht="15.75" customHeight="1"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AB164" s="2"/>
      <c r="AC164" s="2"/>
      <c r="AD164" s="2"/>
      <c r="AE164" s="4"/>
    </row>
    <row r="165" spans="2:31" ht="15.75" customHeight="1"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AB165" s="2"/>
      <c r="AC165" s="2"/>
      <c r="AD165" s="2"/>
      <c r="AE165" s="4"/>
    </row>
    <row r="166" spans="2:31" ht="15.75" customHeight="1"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AB166" s="2"/>
      <c r="AC166" s="2"/>
      <c r="AD166" s="2"/>
      <c r="AE166" s="4"/>
    </row>
    <row r="167" spans="2:31" ht="15.75" customHeight="1"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AB167" s="2"/>
      <c r="AC167" s="2"/>
      <c r="AD167" s="2"/>
      <c r="AE167" s="4"/>
    </row>
    <row r="168" spans="2:31" ht="15.75" customHeight="1"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AB168" s="2"/>
      <c r="AC168" s="2"/>
      <c r="AD168" s="2"/>
      <c r="AE168" s="4"/>
    </row>
    <row r="169" spans="2:31" ht="15.75" customHeight="1"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AB169" s="2"/>
      <c r="AC169" s="2"/>
      <c r="AD169" s="2"/>
      <c r="AE169" s="4"/>
    </row>
    <row r="170" spans="2:31" ht="15.75" customHeight="1"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AB170" s="2"/>
      <c r="AC170" s="2"/>
      <c r="AD170" s="2"/>
      <c r="AE170" s="4"/>
    </row>
    <row r="171" spans="2:31" ht="15.75" customHeight="1"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AB171" s="2"/>
      <c r="AC171" s="2"/>
      <c r="AD171" s="2"/>
      <c r="AE171" s="4"/>
    </row>
    <row r="172" spans="2:31" ht="15.75" customHeight="1"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AB172" s="2"/>
      <c r="AC172" s="2"/>
      <c r="AD172" s="2"/>
      <c r="AE172" s="4"/>
    </row>
    <row r="173" spans="2:31" ht="15.75" customHeight="1"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AB173" s="2"/>
      <c r="AC173" s="2"/>
      <c r="AD173" s="2"/>
      <c r="AE173" s="4"/>
    </row>
    <row r="174" spans="2:31" ht="15.75" customHeight="1"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AB174" s="2"/>
      <c r="AC174" s="2"/>
      <c r="AD174" s="2"/>
      <c r="AE174" s="4"/>
    </row>
    <row r="175" spans="2:31" ht="15.75" customHeight="1"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AB175" s="2"/>
      <c r="AC175" s="2"/>
      <c r="AD175" s="2"/>
      <c r="AE175" s="4"/>
    </row>
    <row r="176" spans="2:31" ht="15.75" customHeight="1"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AB176" s="2"/>
      <c r="AC176" s="2"/>
      <c r="AD176" s="2"/>
      <c r="AE176" s="4"/>
    </row>
    <row r="177" spans="2:31" ht="15.75" customHeight="1"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AB177" s="2"/>
      <c r="AC177" s="2"/>
      <c r="AD177" s="2"/>
      <c r="AE177" s="4"/>
    </row>
    <row r="178" spans="2:31" ht="15.75" customHeight="1"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AB178" s="2"/>
      <c r="AC178" s="2"/>
      <c r="AD178" s="2"/>
      <c r="AE178" s="4"/>
    </row>
    <row r="179" spans="2:31" ht="15.75" customHeight="1"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AB179" s="2"/>
      <c r="AC179" s="2"/>
      <c r="AD179" s="2"/>
      <c r="AE179" s="4"/>
    </row>
    <row r="180" spans="2:31" ht="15.75" customHeight="1"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AB180" s="2"/>
      <c r="AC180" s="2"/>
      <c r="AD180" s="2"/>
      <c r="AE180" s="4"/>
    </row>
    <row r="181" spans="2:31" ht="15.75" customHeight="1"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AB181" s="2"/>
      <c r="AC181" s="2"/>
      <c r="AD181" s="2"/>
      <c r="AE181" s="4"/>
    </row>
    <row r="182" spans="2:31" ht="15.75" customHeight="1"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AB182" s="2"/>
      <c r="AC182" s="2"/>
      <c r="AD182" s="2"/>
      <c r="AE182" s="4"/>
    </row>
    <row r="183" spans="2:31" ht="15.75" customHeight="1"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AB183" s="2"/>
      <c r="AC183" s="2"/>
      <c r="AD183" s="2"/>
      <c r="AE183" s="4"/>
    </row>
    <row r="184" spans="2:31" ht="15.75" customHeight="1"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AB184" s="2"/>
      <c r="AC184" s="2"/>
      <c r="AD184" s="2"/>
      <c r="AE184" s="4"/>
    </row>
    <row r="185" spans="2:31" ht="15.75" customHeight="1"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AB185" s="2"/>
      <c r="AC185" s="2"/>
      <c r="AD185" s="2"/>
      <c r="AE185" s="4"/>
    </row>
    <row r="186" spans="2:31" ht="15.75" customHeight="1"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AB186" s="2"/>
      <c r="AC186" s="2"/>
      <c r="AD186" s="2"/>
      <c r="AE186" s="4"/>
    </row>
    <row r="187" spans="2:31" ht="15.75" customHeight="1"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AB187" s="2"/>
      <c r="AC187" s="2"/>
      <c r="AD187" s="2"/>
      <c r="AE187" s="4"/>
    </row>
    <row r="188" spans="2:31" ht="15.75" customHeight="1"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AB188" s="2"/>
      <c r="AC188" s="2"/>
      <c r="AD188" s="2"/>
      <c r="AE188" s="4"/>
    </row>
    <row r="189" spans="2:31" ht="15.75" customHeight="1"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AB189" s="2"/>
      <c r="AC189" s="2"/>
      <c r="AD189" s="2"/>
      <c r="AE189" s="4"/>
    </row>
    <row r="190" spans="2:31" ht="15.75" customHeight="1"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AB190" s="2"/>
      <c r="AC190" s="2"/>
      <c r="AD190" s="2"/>
      <c r="AE190" s="4"/>
    </row>
    <row r="191" spans="2:31" ht="15.75" customHeight="1"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AB191" s="2"/>
      <c r="AC191" s="2"/>
      <c r="AD191" s="2"/>
      <c r="AE191" s="4"/>
    </row>
    <row r="192" spans="2:31" ht="15.75" customHeight="1"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AB192" s="2"/>
      <c r="AC192" s="2"/>
      <c r="AD192" s="2"/>
      <c r="AE192" s="4"/>
    </row>
    <row r="193" spans="2:31" ht="15.75" customHeight="1"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AB193" s="2"/>
      <c r="AC193" s="2"/>
      <c r="AD193" s="2"/>
      <c r="AE193" s="4"/>
    </row>
    <row r="194" spans="2:31" ht="15.75" customHeight="1"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AB194" s="2"/>
      <c r="AC194" s="2"/>
      <c r="AD194" s="2"/>
      <c r="AE194" s="4"/>
    </row>
    <row r="195" spans="2:31" ht="15.75" customHeight="1"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AB195" s="2"/>
      <c r="AC195" s="2"/>
      <c r="AD195" s="2"/>
      <c r="AE195" s="4"/>
    </row>
    <row r="196" spans="2:31" ht="15.75" customHeight="1"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AB196" s="2"/>
      <c r="AC196" s="2"/>
      <c r="AD196" s="2"/>
      <c r="AE196" s="4"/>
    </row>
    <row r="197" spans="2:31" ht="15.75" customHeight="1"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AB197" s="2"/>
      <c r="AC197" s="2"/>
      <c r="AD197" s="2"/>
      <c r="AE197" s="4"/>
    </row>
    <row r="198" spans="2:31" ht="15.75" customHeight="1"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AB198" s="2"/>
      <c r="AC198" s="2"/>
      <c r="AD198" s="2"/>
      <c r="AE198" s="4"/>
    </row>
    <row r="199" spans="2:31" ht="15.75" customHeight="1"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AB199" s="2"/>
      <c r="AC199" s="2"/>
      <c r="AD199" s="2"/>
      <c r="AE199" s="4"/>
    </row>
    <row r="200" spans="2:31" ht="15.75" customHeight="1"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AB200" s="2"/>
      <c r="AC200" s="2"/>
      <c r="AD200" s="2"/>
      <c r="AE200" s="4"/>
    </row>
    <row r="201" spans="2:31" ht="15.75" customHeight="1"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AB201" s="2"/>
      <c r="AC201" s="2"/>
      <c r="AD201" s="2"/>
      <c r="AE201" s="4"/>
    </row>
    <row r="202" spans="2:31" ht="15.75" customHeight="1"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AB202" s="2"/>
      <c r="AC202" s="2"/>
      <c r="AD202" s="2"/>
      <c r="AE202" s="4"/>
    </row>
    <row r="203" spans="2:31" ht="15.75" customHeight="1"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AB203" s="2"/>
      <c r="AC203" s="2"/>
      <c r="AD203" s="2"/>
      <c r="AE203" s="4"/>
    </row>
    <row r="204" spans="2:31" ht="15.75" customHeight="1"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AB204" s="2"/>
      <c r="AC204" s="2"/>
      <c r="AD204" s="2"/>
      <c r="AE204" s="4"/>
    </row>
    <row r="205" spans="2:31" ht="15.75" customHeight="1"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AB205" s="2"/>
      <c r="AC205" s="2"/>
      <c r="AD205" s="2"/>
      <c r="AE205" s="4"/>
    </row>
    <row r="206" spans="2:31" ht="15.75" customHeight="1"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AB206" s="2"/>
      <c r="AC206" s="2"/>
      <c r="AD206" s="2"/>
      <c r="AE206" s="4"/>
    </row>
    <row r="207" spans="2:31" ht="15.75" customHeight="1"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AB207" s="2"/>
      <c r="AC207" s="2"/>
      <c r="AD207" s="2"/>
      <c r="AE207" s="4"/>
    </row>
    <row r="208" spans="2:31" ht="15.75" customHeight="1"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AB208" s="2"/>
      <c r="AC208" s="2"/>
      <c r="AD208" s="2"/>
      <c r="AE208" s="4"/>
    </row>
    <row r="209" spans="2:31" ht="15.75" customHeight="1"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AB209" s="2"/>
      <c r="AC209" s="2"/>
      <c r="AD209" s="2"/>
      <c r="AE209" s="4"/>
    </row>
    <row r="210" spans="2:31" ht="15.75" customHeight="1"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AB210" s="2"/>
      <c r="AC210" s="2"/>
      <c r="AD210" s="2"/>
      <c r="AE210" s="4"/>
    </row>
    <row r="211" spans="2:31" ht="15.75" customHeight="1"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AB211" s="2"/>
      <c r="AC211" s="2"/>
      <c r="AD211" s="2"/>
      <c r="AE211" s="4"/>
    </row>
    <row r="212" spans="2:31" ht="15.75" customHeight="1"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AB212" s="2"/>
      <c r="AC212" s="2"/>
      <c r="AD212" s="2"/>
      <c r="AE212" s="4"/>
    </row>
    <row r="213" spans="2:31" ht="15.75" customHeight="1"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AB213" s="2"/>
      <c r="AC213" s="2"/>
      <c r="AD213" s="2"/>
      <c r="AE213" s="4"/>
    </row>
    <row r="214" spans="2:31" ht="15.75" customHeight="1"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AB214" s="2"/>
      <c r="AC214" s="2"/>
      <c r="AD214" s="2"/>
      <c r="AE214" s="4"/>
    </row>
    <row r="215" spans="2:31" ht="15.75" customHeight="1"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AB215" s="2"/>
      <c r="AC215" s="2"/>
      <c r="AD215" s="2"/>
      <c r="AE215" s="4"/>
    </row>
    <row r="216" spans="2:31" ht="15.75" customHeight="1"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AB216" s="2"/>
      <c r="AC216" s="2"/>
      <c r="AD216" s="2"/>
      <c r="AE216" s="4"/>
    </row>
    <row r="217" spans="2:31" ht="15.75" customHeight="1"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AB217" s="2"/>
      <c r="AC217" s="2"/>
      <c r="AD217" s="2"/>
      <c r="AE217" s="4"/>
    </row>
    <row r="218" spans="2:31" ht="15.75" customHeight="1"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AB218" s="2"/>
      <c r="AC218" s="2"/>
      <c r="AD218" s="2"/>
      <c r="AE218" s="4"/>
    </row>
    <row r="219" spans="2:31" ht="15.75" customHeight="1"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AB219" s="2"/>
      <c r="AC219" s="2"/>
      <c r="AD219" s="2"/>
      <c r="AE219" s="4"/>
    </row>
    <row r="220" spans="2:31" ht="15.75" customHeight="1"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AB220" s="2"/>
      <c r="AC220" s="2"/>
      <c r="AD220" s="2"/>
      <c r="AE220" s="4"/>
    </row>
    <row r="221" spans="2:31" ht="15.75" customHeight="1"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AB221" s="2"/>
      <c r="AC221" s="2"/>
      <c r="AD221" s="2"/>
      <c r="AE221" s="4"/>
    </row>
    <row r="222" spans="2:31" ht="15.75" customHeight="1"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AB222" s="2"/>
      <c r="AC222" s="2"/>
      <c r="AD222" s="2"/>
      <c r="AE222" s="4"/>
    </row>
    <row r="223" spans="2:31" ht="15.75" customHeight="1"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AB223" s="2"/>
      <c r="AC223" s="2"/>
      <c r="AD223" s="2"/>
      <c r="AE223" s="4"/>
    </row>
    <row r="224" spans="2:31" ht="15.75" customHeight="1"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AB224" s="2"/>
      <c r="AC224" s="2"/>
      <c r="AD224" s="2"/>
      <c r="AE224" s="4"/>
    </row>
    <row r="225" spans="2:31" ht="15.75" customHeight="1"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AB225" s="2"/>
      <c r="AC225" s="2"/>
      <c r="AD225" s="2"/>
      <c r="AE225" s="4"/>
    </row>
    <row r="226" spans="2:31" ht="15.75" customHeight="1"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AB226" s="2"/>
      <c r="AC226" s="2"/>
      <c r="AD226" s="2"/>
      <c r="AE226" s="4"/>
    </row>
    <row r="227" spans="2:31" ht="15.75" customHeight="1"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AB227" s="2"/>
      <c r="AC227" s="2"/>
      <c r="AD227" s="2"/>
      <c r="AE227" s="4"/>
    </row>
    <row r="228" spans="2:31" ht="15.75" customHeight="1"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AB228" s="2"/>
      <c r="AC228" s="2"/>
      <c r="AD228" s="2"/>
      <c r="AE228" s="4"/>
    </row>
    <row r="229" spans="2:31" ht="15.75" customHeight="1"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AB229" s="2"/>
      <c r="AC229" s="2"/>
      <c r="AD229" s="2"/>
      <c r="AE229" s="4"/>
    </row>
    <row r="230" spans="2:31" ht="15.75" customHeight="1"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AB230" s="2"/>
      <c r="AC230" s="2"/>
      <c r="AD230" s="2"/>
      <c r="AE230" s="4"/>
    </row>
    <row r="231" spans="2:31" ht="15.75" customHeight="1"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AB231" s="2"/>
      <c r="AC231" s="2"/>
      <c r="AD231" s="2"/>
      <c r="AE231" s="4"/>
    </row>
    <row r="232" spans="2:31" ht="15.75" customHeight="1"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AB232" s="2"/>
      <c r="AC232" s="2"/>
      <c r="AD232" s="2"/>
      <c r="AE232" s="4"/>
    </row>
    <row r="233" spans="2:31" ht="15.75" customHeight="1"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AB233" s="2"/>
      <c r="AC233" s="2"/>
      <c r="AD233" s="2"/>
      <c r="AE233" s="4"/>
    </row>
    <row r="234" spans="2:31" ht="15.75" customHeight="1"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AB234" s="2"/>
      <c r="AC234" s="2"/>
      <c r="AD234" s="2"/>
      <c r="AE234" s="4"/>
    </row>
    <row r="235" spans="2:31" ht="15.75" customHeight="1"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AB235" s="2"/>
      <c r="AC235" s="2"/>
      <c r="AD235" s="2"/>
      <c r="AE235" s="4"/>
    </row>
    <row r="236" spans="2:31" ht="15.75" customHeight="1"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AB236" s="2"/>
      <c r="AC236" s="2"/>
      <c r="AD236" s="2"/>
      <c r="AE236" s="4"/>
    </row>
    <row r="237" spans="2:31" ht="15.75" customHeight="1"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AB237" s="2"/>
      <c r="AC237" s="2"/>
      <c r="AD237" s="2"/>
      <c r="AE237" s="4"/>
    </row>
    <row r="238" spans="2:31" ht="15.75" customHeight="1"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AB238" s="2"/>
      <c r="AC238" s="2"/>
      <c r="AD238" s="2"/>
      <c r="AE238" s="4"/>
    </row>
    <row r="239" spans="2:31" ht="15.75" customHeight="1"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AB239" s="2"/>
      <c r="AC239" s="2"/>
      <c r="AD239" s="2"/>
      <c r="AE239" s="4"/>
    </row>
    <row r="240" spans="2:31" ht="15.75" customHeight="1"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AB240" s="2"/>
      <c r="AC240" s="2"/>
      <c r="AD240" s="2"/>
      <c r="AE240" s="4"/>
    </row>
    <row r="241" spans="2:31" ht="15.75" customHeight="1"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AB241" s="2"/>
      <c r="AC241" s="2"/>
      <c r="AD241" s="2"/>
      <c r="AE241" s="4"/>
    </row>
    <row r="242" spans="2:31" ht="15.75" customHeight="1"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AB242" s="2"/>
      <c r="AC242" s="2"/>
      <c r="AD242" s="2"/>
      <c r="AE242" s="4"/>
    </row>
    <row r="243" spans="2:31" ht="15.75" customHeight="1"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AB243" s="2"/>
      <c r="AC243" s="2"/>
      <c r="AD243" s="2"/>
      <c r="AE243" s="4"/>
    </row>
    <row r="244" spans="2:31" ht="15.75" customHeight="1"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AB244" s="2"/>
      <c r="AC244" s="2"/>
      <c r="AD244" s="2"/>
      <c r="AE244" s="4"/>
    </row>
    <row r="245" spans="2:31" ht="15.75" customHeight="1"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AB245" s="2"/>
      <c r="AC245" s="2"/>
      <c r="AD245" s="2"/>
      <c r="AE245" s="4"/>
    </row>
    <row r="246" spans="2:31" ht="15.75" customHeight="1"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AB246" s="2"/>
      <c r="AC246" s="2"/>
      <c r="AD246" s="2"/>
      <c r="AE246" s="4"/>
    </row>
    <row r="247" spans="2:31" ht="15.75" customHeight="1"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AB247" s="2"/>
      <c r="AC247" s="2"/>
      <c r="AD247" s="2"/>
      <c r="AE247" s="4"/>
    </row>
    <row r="248" spans="2:31" ht="15.75" customHeight="1"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AB248" s="2"/>
      <c r="AC248" s="2"/>
      <c r="AD248" s="2"/>
      <c r="AE248" s="4"/>
    </row>
    <row r="249" spans="2:31" ht="15.75" customHeight="1"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AB249" s="2"/>
      <c r="AC249" s="2"/>
      <c r="AD249" s="2"/>
      <c r="AE249" s="4"/>
    </row>
    <row r="250" spans="2:31" ht="15.75" customHeight="1"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AB250" s="2"/>
      <c r="AC250" s="2"/>
      <c r="AD250" s="2"/>
      <c r="AE250" s="4"/>
    </row>
    <row r="251" spans="2:31" ht="15.75" customHeight="1"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AB251" s="2"/>
      <c r="AC251" s="2"/>
      <c r="AD251" s="2"/>
      <c r="AE251" s="4"/>
    </row>
    <row r="252" spans="2:31" ht="15.75" customHeight="1"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AB252" s="2"/>
      <c r="AC252" s="2"/>
      <c r="AD252" s="2"/>
      <c r="AE252" s="4"/>
    </row>
    <row r="253" spans="2:31" ht="15.75" customHeight="1"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AB253" s="2"/>
      <c r="AC253" s="2"/>
      <c r="AD253" s="2"/>
      <c r="AE253" s="4"/>
    </row>
    <row r="254" spans="2:31" ht="15.75" customHeight="1"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AB254" s="2"/>
      <c r="AC254" s="2"/>
      <c r="AD254" s="2"/>
      <c r="AE254" s="4"/>
    </row>
    <row r="255" spans="2:31" ht="15.75" customHeight="1"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AB255" s="2"/>
      <c r="AC255" s="2"/>
      <c r="AD255" s="2"/>
      <c r="AE255" s="4"/>
    </row>
    <row r="256" spans="2:31" ht="15.75" customHeight="1"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AB256" s="2"/>
      <c r="AC256" s="2"/>
      <c r="AD256" s="2"/>
      <c r="AE256" s="4"/>
    </row>
    <row r="257" spans="2:31" ht="15.75" customHeight="1"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AB257" s="2"/>
      <c r="AC257" s="2"/>
      <c r="AD257" s="2"/>
      <c r="AE257" s="4"/>
    </row>
    <row r="258" spans="2:31" ht="15.75" customHeight="1"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AB258" s="2"/>
      <c r="AC258" s="2"/>
      <c r="AD258" s="2"/>
      <c r="AE258" s="4"/>
    </row>
    <row r="259" spans="2:31" ht="15.75" customHeight="1"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AB259" s="2"/>
      <c r="AC259" s="2"/>
      <c r="AD259" s="2"/>
      <c r="AE259" s="4"/>
    </row>
    <row r="260" spans="2:31" ht="15.75" customHeight="1"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AB260" s="2"/>
      <c r="AC260" s="2"/>
      <c r="AD260" s="2"/>
      <c r="AE260" s="4"/>
    </row>
    <row r="261" spans="2:31" ht="15.75" customHeight="1"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AB261" s="2"/>
      <c r="AC261" s="2"/>
      <c r="AD261" s="2"/>
      <c r="AE261" s="4"/>
    </row>
    <row r="262" spans="2:31" ht="15.75" customHeight="1"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AB262" s="2"/>
      <c r="AC262" s="2"/>
      <c r="AD262" s="2"/>
      <c r="AE262" s="4"/>
    </row>
    <row r="263" spans="2:31" ht="15.75" customHeight="1"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AB263" s="2"/>
      <c r="AC263" s="2"/>
      <c r="AD263" s="2"/>
      <c r="AE263" s="4"/>
    </row>
    <row r="264" spans="2:31" ht="15.75" customHeight="1"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AB264" s="2"/>
      <c r="AC264" s="2"/>
      <c r="AD264" s="2"/>
      <c r="AE264" s="4"/>
    </row>
    <row r="265" spans="2:31" ht="15.75" customHeight="1"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AB265" s="2"/>
      <c r="AC265" s="2"/>
      <c r="AD265" s="2"/>
      <c r="AE265" s="4"/>
    </row>
    <row r="266" spans="2:31" ht="15.75" customHeight="1"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AB266" s="2"/>
      <c r="AC266" s="2"/>
      <c r="AD266" s="2"/>
      <c r="AE266" s="4"/>
    </row>
    <row r="267" spans="2:31" ht="15.75" customHeight="1"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AB267" s="2"/>
      <c r="AC267" s="2"/>
      <c r="AD267" s="2"/>
      <c r="AE267" s="4"/>
    </row>
    <row r="268" spans="2:31" ht="15.75" customHeight="1"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AB268" s="2"/>
      <c r="AC268" s="2"/>
      <c r="AD268" s="2"/>
      <c r="AE268" s="4"/>
    </row>
    <row r="269" spans="2:31" ht="15.75" customHeight="1"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AB269" s="2"/>
      <c r="AC269" s="2"/>
      <c r="AD269" s="2"/>
      <c r="AE269" s="4"/>
    </row>
    <row r="270" spans="2:31" ht="15.75" customHeight="1"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AB270" s="2"/>
      <c r="AC270" s="2"/>
      <c r="AD270" s="2"/>
      <c r="AE270" s="4"/>
    </row>
    <row r="271" spans="2:31" ht="15.75" customHeight="1"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AB271" s="2"/>
      <c r="AC271" s="2"/>
      <c r="AD271" s="2"/>
      <c r="AE271" s="4"/>
    </row>
    <row r="272" spans="2:31" ht="15.75" customHeight="1"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AB272" s="2"/>
      <c r="AC272" s="2"/>
      <c r="AD272" s="2"/>
      <c r="AE272" s="4"/>
    </row>
    <row r="273" spans="2:31" ht="15.75" customHeight="1"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AB273" s="2"/>
      <c r="AC273" s="2"/>
      <c r="AD273" s="2"/>
      <c r="AE273" s="4"/>
    </row>
    <row r="274" spans="2:31" ht="15.75" customHeight="1"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AB274" s="2"/>
      <c r="AC274" s="2"/>
      <c r="AD274" s="2"/>
      <c r="AE274" s="4"/>
    </row>
    <row r="275" spans="2:31" ht="15.75" customHeight="1"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AB275" s="2"/>
      <c r="AC275" s="2"/>
      <c r="AD275" s="2"/>
      <c r="AE275" s="4"/>
    </row>
    <row r="276" spans="2:31" ht="15.75" customHeight="1"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AB276" s="2"/>
      <c r="AC276" s="2"/>
      <c r="AD276" s="2"/>
      <c r="AE276" s="4"/>
    </row>
    <row r="277" spans="2:31" ht="15.75" customHeight="1"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AB277" s="2"/>
      <c r="AC277" s="2"/>
      <c r="AD277" s="2"/>
      <c r="AE277" s="4"/>
    </row>
    <row r="278" spans="2:31" ht="15.75" customHeight="1"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AB278" s="2"/>
      <c r="AC278" s="2"/>
      <c r="AD278" s="2"/>
      <c r="AE278" s="4"/>
    </row>
    <row r="279" spans="2:31" ht="15.75" customHeight="1"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AB279" s="2"/>
      <c r="AC279" s="2"/>
      <c r="AD279" s="2"/>
      <c r="AE279" s="4"/>
    </row>
    <row r="280" spans="2:31" ht="15.75" customHeight="1"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AB280" s="2"/>
      <c r="AC280" s="2"/>
      <c r="AD280" s="2"/>
      <c r="AE280" s="4"/>
    </row>
    <row r="281" spans="2:31" ht="15.75" customHeight="1"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AB281" s="2"/>
      <c r="AC281" s="2"/>
      <c r="AD281" s="2"/>
      <c r="AE281" s="4"/>
    </row>
    <row r="282" spans="2:31" ht="15.75" customHeight="1"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AB282" s="2"/>
      <c r="AC282" s="2"/>
      <c r="AD282" s="2"/>
      <c r="AE282" s="4"/>
    </row>
    <row r="283" spans="2:31" ht="15.75" customHeight="1"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AB283" s="2"/>
      <c r="AC283" s="2"/>
      <c r="AD283" s="2"/>
      <c r="AE283" s="4"/>
    </row>
    <row r="284" spans="2:31" ht="15.75" customHeight="1"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AB284" s="2"/>
      <c r="AC284" s="2"/>
      <c r="AD284" s="2"/>
      <c r="AE284" s="4"/>
    </row>
    <row r="285" spans="2:31" ht="15.75" customHeight="1"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AB285" s="2"/>
      <c r="AC285" s="2"/>
      <c r="AD285" s="2"/>
      <c r="AE285" s="4"/>
    </row>
    <row r="286" spans="2:31" ht="15.75" customHeight="1"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AB286" s="2"/>
      <c r="AC286" s="2"/>
      <c r="AD286" s="2"/>
      <c r="AE286" s="4"/>
    </row>
    <row r="287" spans="2:31" ht="15.75" customHeight="1"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AB287" s="2"/>
      <c r="AC287" s="2"/>
      <c r="AD287" s="2"/>
      <c r="AE287" s="4"/>
    </row>
    <row r="288" spans="2:31" ht="15.75" customHeight="1"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AB288" s="2"/>
      <c r="AC288" s="2"/>
      <c r="AD288" s="2"/>
      <c r="AE288" s="4"/>
    </row>
    <row r="289" spans="2:31" ht="15.75" customHeight="1"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AB289" s="2"/>
      <c r="AC289" s="2"/>
      <c r="AD289" s="2"/>
      <c r="AE289" s="4"/>
    </row>
    <row r="290" spans="2:31" ht="15.75" customHeight="1"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AB290" s="2"/>
      <c r="AC290" s="2"/>
      <c r="AD290" s="2"/>
      <c r="AE290" s="4"/>
    </row>
    <row r="291" spans="2:31" ht="15.75" customHeight="1"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AB291" s="2"/>
      <c r="AC291" s="2"/>
      <c r="AD291" s="2"/>
      <c r="AE291" s="4"/>
    </row>
    <row r="292" spans="2:31" ht="15.75" customHeight="1"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AB292" s="2"/>
      <c r="AC292" s="2"/>
      <c r="AD292" s="2"/>
      <c r="AE292" s="4"/>
    </row>
    <row r="293" spans="2:31" ht="15.75" customHeight="1"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AB293" s="2"/>
      <c r="AC293" s="2"/>
      <c r="AD293" s="2"/>
      <c r="AE293" s="4"/>
    </row>
    <row r="294" spans="2:31" ht="15.75" customHeight="1"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AB294" s="2"/>
      <c r="AC294" s="2"/>
      <c r="AD294" s="2"/>
      <c r="AE294" s="4"/>
    </row>
    <row r="295" spans="2:31" ht="15.75" customHeight="1"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AB295" s="2"/>
      <c r="AC295" s="2"/>
      <c r="AD295" s="2"/>
      <c r="AE295" s="4"/>
    </row>
    <row r="296" spans="2:31" ht="15.75" customHeight="1"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AB296" s="2"/>
      <c r="AC296" s="2"/>
      <c r="AD296" s="2"/>
      <c r="AE296" s="4"/>
    </row>
    <row r="297" spans="2:31" ht="15.75" customHeight="1"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AB297" s="2"/>
      <c r="AC297" s="2"/>
      <c r="AD297" s="2"/>
      <c r="AE297" s="4"/>
    </row>
    <row r="298" spans="2:31" ht="15.75" customHeight="1"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AB298" s="2"/>
      <c r="AC298" s="2"/>
      <c r="AD298" s="2"/>
      <c r="AE298" s="4"/>
    </row>
    <row r="299" spans="2:31" ht="15.75" customHeight="1"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AB299" s="2"/>
      <c r="AC299" s="2"/>
      <c r="AD299" s="2"/>
      <c r="AE299" s="4"/>
    </row>
    <row r="300" spans="2:31" ht="15.75" customHeight="1"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AB300" s="2"/>
      <c r="AC300" s="2"/>
      <c r="AD300" s="2"/>
      <c r="AE300" s="4"/>
    </row>
    <row r="301" spans="2:31" ht="15.75" customHeight="1"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AB301" s="2"/>
      <c r="AC301" s="2"/>
      <c r="AD301" s="2"/>
      <c r="AE301" s="4"/>
    </row>
    <row r="302" spans="2:31" ht="15.75" customHeight="1"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AB302" s="2"/>
      <c r="AC302" s="2"/>
      <c r="AD302" s="2"/>
      <c r="AE302" s="4"/>
    </row>
    <row r="303" spans="2:31" ht="15.75" customHeight="1"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AB303" s="2"/>
      <c r="AC303" s="2"/>
      <c r="AD303" s="2"/>
      <c r="AE303" s="4"/>
    </row>
    <row r="304" spans="2:31" ht="15.75" customHeight="1"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AB304" s="2"/>
      <c r="AC304" s="2"/>
      <c r="AD304" s="2"/>
      <c r="AE304" s="4"/>
    </row>
    <row r="305" spans="2:31" ht="15.75" customHeight="1"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AB305" s="2"/>
      <c r="AC305" s="2"/>
      <c r="AD305" s="2"/>
      <c r="AE305" s="4"/>
    </row>
    <row r="306" spans="2:31" ht="15.75" customHeight="1"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AB306" s="2"/>
      <c r="AC306" s="2"/>
      <c r="AD306" s="2"/>
      <c r="AE306" s="4"/>
    </row>
    <row r="307" spans="2:31" ht="15.75" customHeight="1"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AB307" s="2"/>
      <c r="AC307" s="2"/>
      <c r="AD307" s="2"/>
      <c r="AE307" s="4"/>
    </row>
    <row r="308" spans="2:31" ht="15.75" customHeight="1"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AB308" s="2"/>
      <c r="AC308" s="2"/>
      <c r="AD308" s="2"/>
      <c r="AE308" s="4"/>
    </row>
    <row r="309" spans="2:31" ht="15.75" customHeight="1"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AB309" s="2"/>
      <c r="AC309" s="2"/>
      <c r="AD309" s="2"/>
      <c r="AE309" s="4"/>
    </row>
    <row r="310" spans="2:31" ht="15.75" customHeight="1"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AB310" s="2"/>
      <c r="AC310" s="2"/>
      <c r="AD310" s="2"/>
      <c r="AE310" s="4"/>
    </row>
    <row r="311" spans="2:31" ht="15.75" customHeight="1"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AB311" s="2"/>
      <c r="AC311" s="2"/>
      <c r="AD311" s="2"/>
      <c r="AE311" s="4"/>
    </row>
    <row r="312" spans="2:31" ht="15.75" customHeight="1"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AB312" s="2"/>
      <c r="AC312" s="2"/>
      <c r="AD312" s="2"/>
      <c r="AE312" s="4"/>
    </row>
    <row r="313" spans="2:31" ht="15.75" customHeight="1"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AB313" s="2"/>
      <c r="AC313" s="2"/>
      <c r="AD313" s="2"/>
      <c r="AE313" s="4"/>
    </row>
    <row r="314" spans="2:31" ht="15.75" customHeight="1"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AB314" s="2"/>
      <c r="AC314" s="2"/>
      <c r="AD314" s="2"/>
      <c r="AE314" s="4"/>
    </row>
    <row r="315" spans="2:31" ht="15.75" customHeight="1"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AB315" s="2"/>
      <c r="AC315" s="2"/>
      <c r="AD315" s="2"/>
      <c r="AE315" s="4"/>
    </row>
    <row r="316" spans="2:31" ht="15.75" customHeight="1"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AB316" s="2"/>
      <c r="AC316" s="2"/>
      <c r="AD316" s="2"/>
      <c r="AE316" s="4"/>
    </row>
    <row r="317" spans="2:31" ht="15.75" customHeight="1"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AB317" s="2"/>
      <c r="AC317" s="2"/>
      <c r="AD317" s="2"/>
      <c r="AE317" s="4"/>
    </row>
    <row r="318" spans="2:31" ht="15.75" customHeight="1"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AB318" s="2"/>
      <c r="AC318" s="2"/>
      <c r="AD318" s="2"/>
      <c r="AE318" s="4"/>
    </row>
    <row r="319" spans="2:31" ht="15.75" customHeight="1"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AB319" s="2"/>
      <c r="AC319" s="2"/>
      <c r="AD319" s="2"/>
      <c r="AE319" s="4"/>
    </row>
    <row r="320" spans="2:31" ht="15.75" customHeight="1"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AB320" s="2"/>
      <c r="AC320" s="2"/>
      <c r="AD320" s="2"/>
      <c r="AE320" s="4"/>
    </row>
    <row r="321" spans="2:31" ht="15.75" customHeight="1"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AB321" s="2"/>
      <c r="AC321" s="2"/>
      <c r="AD321" s="2"/>
      <c r="AE321" s="4"/>
    </row>
    <row r="322" spans="2:31" ht="15.75" customHeight="1"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AB322" s="2"/>
      <c r="AC322" s="2"/>
      <c r="AD322" s="2"/>
      <c r="AE322" s="4"/>
    </row>
    <row r="323" spans="2:31" ht="15.75" customHeight="1"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AB323" s="2"/>
      <c r="AC323" s="2"/>
      <c r="AD323" s="2"/>
      <c r="AE323" s="4"/>
    </row>
    <row r="324" spans="2:31" ht="15.75" customHeight="1"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AB324" s="2"/>
      <c r="AC324" s="2"/>
      <c r="AD324" s="2"/>
      <c r="AE324" s="4"/>
    </row>
    <row r="325" spans="2:31" ht="15.75" customHeight="1"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AB325" s="2"/>
      <c r="AC325" s="2"/>
      <c r="AD325" s="2"/>
      <c r="AE325" s="4"/>
    </row>
    <row r="326" spans="2:31" ht="15.75" customHeight="1"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AB326" s="2"/>
      <c r="AC326" s="2"/>
      <c r="AD326" s="2"/>
      <c r="AE326" s="4"/>
    </row>
    <row r="327" spans="2:31" ht="15.75" customHeight="1"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AB327" s="2"/>
      <c r="AC327" s="2"/>
      <c r="AD327" s="2"/>
      <c r="AE327" s="4"/>
    </row>
    <row r="328" spans="2:31" ht="15.75" customHeight="1"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AB328" s="2"/>
      <c r="AC328" s="2"/>
      <c r="AD328" s="2"/>
      <c r="AE328" s="4"/>
    </row>
    <row r="329" spans="2:31" ht="15.75" customHeight="1"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AB329" s="2"/>
      <c r="AC329" s="2"/>
      <c r="AD329" s="2"/>
      <c r="AE329" s="4"/>
    </row>
    <row r="330" spans="2:31" ht="15.75" customHeight="1"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AB330" s="2"/>
      <c r="AC330" s="2"/>
      <c r="AD330" s="2"/>
      <c r="AE330" s="4"/>
    </row>
    <row r="331" spans="2:31" ht="15.75" customHeight="1"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AB331" s="2"/>
      <c r="AC331" s="2"/>
      <c r="AD331" s="2"/>
      <c r="AE331" s="4"/>
    </row>
    <row r="332" spans="2:31" ht="15.75" customHeight="1"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AB332" s="2"/>
      <c r="AC332" s="2"/>
      <c r="AD332" s="2"/>
      <c r="AE332" s="4"/>
    </row>
    <row r="333" spans="2:31" ht="15.75" customHeight="1"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AB333" s="2"/>
      <c r="AC333" s="2"/>
      <c r="AD333" s="2"/>
      <c r="AE333" s="4"/>
    </row>
    <row r="334" spans="2:31" ht="15.75" customHeight="1"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AB334" s="2"/>
      <c r="AC334" s="2"/>
      <c r="AD334" s="2"/>
      <c r="AE334" s="4"/>
    </row>
    <row r="335" spans="2:31" ht="15.75" customHeight="1"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AB335" s="2"/>
      <c r="AC335" s="2"/>
      <c r="AD335" s="2"/>
      <c r="AE335" s="4"/>
    </row>
    <row r="336" spans="2:31" ht="15.75" customHeight="1"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AB336" s="2"/>
      <c r="AC336" s="2"/>
      <c r="AD336" s="2"/>
      <c r="AE336" s="4"/>
    </row>
    <row r="337" spans="2:31" ht="15.75" customHeight="1"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AB337" s="2"/>
      <c r="AC337" s="2"/>
      <c r="AD337" s="2"/>
      <c r="AE337" s="4"/>
    </row>
    <row r="338" spans="2:31" ht="15.75" customHeight="1"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AB338" s="2"/>
      <c r="AC338" s="2"/>
      <c r="AD338" s="2"/>
      <c r="AE338" s="4"/>
    </row>
    <row r="339" spans="2:31" ht="15.75" customHeight="1"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AB339" s="2"/>
      <c r="AC339" s="2"/>
      <c r="AD339" s="2"/>
      <c r="AE339" s="4"/>
    </row>
    <row r="340" spans="2:31" ht="15.75" customHeight="1"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AB340" s="2"/>
      <c r="AC340" s="2"/>
      <c r="AD340" s="2"/>
      <c r="AE340" s="4"/>
    </row>
    <row r="341" spans="2:31" ht="15.75" customHeight="1"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AB341" s="2"/>
      <c r="AC341" s="2"/>
      <c r="AD341" s="2"/>
      <c r="AE341" s="4"/>
    </row>
    <row r="342" spans="2:31" ht="15.75" customHeight="1"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AB342" s="2"/>
      <c r="AC342" s="2"/>
      <c r="AD342" s="2"/>
      <c r="AE342" s="4"/>
    </row>
    <row r="343" spans="2:31" ht="15.75" customHeight="1"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AB343" s="2"/>
      <c r="AC343" s="2"/>
      <c r="AD343" s="2"/>
      <c r="AE343" s="4"/>
    </row>
    <row r="344" spans="2:31" ht="15.75" customHeight="1"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AB344" s="2"/>
      <c r="AC344" s="2"/>
      <c r="AD344" s="2"/>
      <c r="AE344" s="4"/>
    </row>
    <row r="345" spans="2:31" ht="15.75" customHeight="1"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AB345" s="2"/>
      <c r="AC345" s="2"/>
      <c r="AD345" s="2"/>
      <c r="AE345" s="4"/>
    </row>
    <row r="346" spans="2:31" ht="15.75" customHeight="1"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AB346" s="2"/>
      <c r="AC346" s="2"/>
      <c r="AD346" s="2"/>
      <c r="AE346" s="4"/>
    </row>
    <row r="347" spans="2:31" ht="15.75" customHeight="1"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AB347" s="2"/>
      <c r="AC347" s="2"/>
      <c r="AD347" s="2"/>
      <c r="AE347" s="4"/>
    </row>
    <row r="348" spans="2:31" ht="15.75" customHeight="1"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AB348" s="2"/>
      <c r="AC348" s="2"/>
      <c r="AD348" s="2"/>
      <c r="AE348" s="4"/>
    </row>
    <row r="349" spans="2:31" ht="15.75" customHeight="1"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AB349" s="2"/>
      <c r="AC349" s="2"/>
      <c r="AD349" s="2"/>
      <c r="AE349" s="4"/>
    </row>
    <row r="350" spans="2:31" ht="15.75" customHeight="1"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AB350" s="2"/>
      <c r="AC350" s="2"/>
      <c r="AD350" s="2"/>
      <c r="AE350" s="4"/>
    </row>
    <row r="351" spans="2:31" ht="15.75" customHeight="1"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AB351" s="2"/>
      <c r="AC351" s="2"/>
      <c r="AD351" s="2"/>
      <c r="AE351" s="4"/>
    </row>
    <row r="352" spans="2:31" ht="15.75" customHeight="1"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AB352" s="2"/>
      <c r="AC352" s="2"/>
      <c r="AD352" s="2"/>
      <c r="AE352" s="4"/>
    </row>
    <row r="353" spans="2:31" ht="15.75" customHeight="1"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AB353" s="2"/>
      <c r="AC353" s="2"/>
      <c r="AD353" s="2"/>
      <c r="AE353" s="4"/>
    </row>
    <row r="354" spans="2:31" ht="15.75" customHeight="1"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AB354" s="2"/>
      <c r="AC354" s="2"/>
      <c r="AD354" s="2"/>
      <c r="AE354" s="4"/>
    </row>
    <row r="355" spans="2:31" ht="15.75" customHeight="1"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AB355" s="2"/>
      <c r="AC355" s="2"/>
      <c r="AD355" s="2"/>
      <c r="AE355" s="4"/>
    </row>
    <row r="356" spans="2:31" ht="15.75" customHeight="1"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AB356" s="2"/>
      <c r="AC356" s="2"/>
      <c r="AD356" s="2"/>
      <c r="AE356" s="4"/>
    </row>
    <row r="357" spans="2:31" ht="15.75" customHeight="1"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AB357" s="2"/>
      <c r="AC357" s="2"/>
      <c r="AD357" s="2"/>
      <c r="AE357" s="4"/>
    </row>
    <row r="358" spans="2:31" ht="15.75" customHeight="1"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AB358" s="2"/>
      <c r="AC358" s="2"/>
      <c r="AD358" s="2"/>
      <c r="AE358" s="4"/>
    </row>
    <row r="359" spans="2:31" ht="15.75" customHeight="1"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AB359" s="2"/>
      <c r="AC359" s="2"/>
      <c r="AD359" s="2"/>
      <c r="AE359" s="4"/>
    </row>
    <row r="360" spans="2:31" ht="15.75" customHeight="1"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AB360" s="2"/>
      <c r="AC360" s="2"/>
      <c r="AD360" s="2"/>
      <c r="AE360" s="4"/>
    </row>
    <row r="361" spans="2:31" ht="15.75" customHeight="1"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AB361" s="2"/>
      <c r="AC361" s="2"/>
      <c r="AD361" s="2"/>
      <c r="AE361" s="4"/>
    </row>
    <row r="362" spans="2:31" ht="15.75" customHeight="1"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AB362" s="2"/>
      <c r="AC362" s="2"/>
      <c r="AD362" s="2"/>
      <c r="AE362" s="4"/>
    </row>
    <row r="363" spans="2:31" ht="15.75" customHeight="1"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AB363" s="2"/>
      <c r="AC363" s="2"/>
      <c r="AD363" s="2"/>
      <c r="AE363" s="4"/>
    </row>
    <row r="364" spans="2:31" ht="15.75" customHeight="1"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AB364" s="2"/>
      <c r="AC364" s="2"/>
      <c r="AD364" s="2"/>
      <c r="AE364" s="4"/>
    </row>
    <row r="365" spans="2:31" ht="15.75" customHeight="1"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AB365" s="2"/>
      <c r="AC365" s="2"/>
      <c r="AD365" s="2"/>
      <c r="AE365" s="4"/>
    </row>
    <row r="366" spans="2:31" ht="15.75" customHeight="1"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AB366" s="2"/>
      <c r="AC366" s="2"/>
      <c r="AD366" s="2"/>
      <c r="AE366" s="4"/>
    </row>
    <row r="367" spans="2:31" ht="15.75" customHeight="1"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AB367" s="2"/>
      <c r="AC367" s="2"/>
      <c r="AD367" s="2"/>
      <c r="AE367" s="4"/>
    </row>
    <row r="368" spans="2:31" ht="15.75" customHeight="1"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AB368" s="2"/>
      <c r="AC368" s="2"/>
      <c r="AD368" s="2"/>
      <c r="AE368" s="4"/>
    </row>
    <row r="369" spans="2:31" ht="15.75" customHeight="1"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AB369" s="2"/>
      <c r="AC369" s="2"/>
      <c r="AD369" s="2"/>
      <c r="AE369" s="4"/>
    </row>
    <row r="370" spans="2:31" ht="15.75" customHeight="1"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AB370" s="2"/>
      <c r="AC370" s="2"/>
      <c r="AD370" s="2"/>
      <c r="AE370" s="4"/>
    </row>
    <row r="371" spans="2:31" ht="15.75" customHeight="1"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AB371" s="2"/>
      <c r="AC371" s="2"/>
      <c r="AD371" s="2"/>
      <c r="AE371" s="4"/>
    </row>
    <row r="372" spans="2:31" ht="15.75" customHeight="1"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AB372" s="2"/>
      <c r="AC372" s="2"/>
      <c r="AD372" s="2"/>
      <c r="AE372" s="4"/>
    </row>
    <row r="373" spans="2:31" ht="15.75" customHeight="1"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AB373" s="2"/>
      <c r="AC373" s="2"/>
      <c r="AD373" s="2"/>
      <c r="AE373" s="4"/>
    </row>
    <row r="374" spans="2:31" ht="15.75" customHeight="1"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AB374" s="2"/>
      <c r="AC374" s="2"/>
      <c r="AD374" s="2"/>
      <c r="AE374" s="4"/>
    </row>
    <row r="375" spans="2:31" ht="15.75" customHeight="1"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AB375" s="2"/>
      <c r="AC375" s="2"/>
      <c r="AD375" s="2"/>
      <c r="AE375" s="4"/>
    </row>
    <row r="376" spans="2:31" ht="15.75" customHeight="1"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AB376" s="2"/>
      <c r="AC376" s="2"/>
      <c r="AD376" s="2"/>
      <c r="AE376" s="4"/>
    </row>
    <row r="377" spans="2:31" ht="15.75" customHeight="1"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AB377" s="2"/>
      <c r="AC377" s="2"/>
      <c r="AD377" s="2"/>
      <c r="AE377" s="4"/>
    </row>
    <row r="378" spans="2:31" ht="15.75" customHeight="1"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AB378" s="2"/>
      <c r="AC378" s="2"/>
      <c r="AD378" s="2"/>
      <c r="AE378" s="4"/>
    </row>
    <row r="379" spans="2:31" ht="15.75" customHeight="1"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AB379" s="2"/>
      <c r="AC379" s="2"/>
      <c r="AD379" s="2"/>
      <c r="AE379" s="4"/>
    </row>
    <row r="380" spans="2:31" ht="15.75" customHeight="1"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AB380" s="2"/>
      <c r="AC380" s="2"/>
      <c r="AD380" s="2"/>
      <c r="AE380" s="4"/>
    </row>
    <row r="381" spans="2:31" ht="15.75" customHeight="1"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AB381" s="2"/>
      <c r="AC381" s="2"/>
      <c r="AD381" s="2"/>
      <c r="AE381" s="4"/>
    </row>
    <row r="382" spans="2:31" ht="15.75" customHeight="1"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AB382" s="2"/>
      <c r="AC382" s="2"/>
      <c r="AD382" s="2"/>
      <c r="AE382" s="4"/>
    </row>
    <row r="383" spans="2:31" ht="15.75" customHeight="1"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AB383" s="2"/>
      <c r="AC383" s="2"/>
      <c r="AD383" s="2"/>
      <c r="AE383" s="4"/>
    </row>
    <row r="384" spans="2:31" ht="15.75" customHeight="1"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AB384" s="2"/>
      <c r="AC384" s="2"/>
      <c r="AD384" s="2"/>
      <c r="AE384" s="4"/>
    </row>
    <row r="385" spans="2:31" ht="15.75" customHeight="1"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AB385" s="2"/>
      <c r="AC385" s="2"/>
      <c r="AD385" s="2"/>
      <c r="AE385" s="4"/>
    </row>
    <row r="386" spans="2:31" ht="15.75" customHeight="1"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AB386" s="2"/>
      <c r="AC386" s="2"/>
      <c r="AD386" s="2"/>
      <c r="AE386" s="4"/>
    </row>
    <row r="387" spans="2:31" ht="15.75" customHeight="1"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AB387" s="2"/>
      <c r="AC387" s="2"/>
      <c r="AD387" s="2"/>
      <c r="AE387" s="4"/>
    </row>
    <row r="388" spans="2:31" ht="15.75" customHeight="1"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AB388" s="2"/>
      <c r="AC388" s="2"/>
      <c r="AD388" s="2"/>
      <c r="AE388" s="4"/>
    </row>
    <row r="389" spans="2:31" ht="15.75" customHeight="1"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AB389" s="2"/>
      <c r="AC389" s="2"/>
      <c r="AD389" s="2"/>
      <c r="AE389" s="4"/>
    </row>
    <row r="390" spans="2:31" ht="15.75" customHeight="1"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AB390" s="2"/>
      <c r="AC390" s="2"/>
      <c r="AD390" s="2"/>
      <c r="AE390" s="4"/>
    </row>
    <row r="391" spans="2:31" ht="15.75" customHeight="1"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AB391" s="2"/>
      <c r="AC391" s="2"/>
      <c r="AD391" s="2"/>
      <c r="AE391" s="4"/>
    </row>
    <row r="392" spans="2:31" ht="15.75" customHeight="1"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AB392" s="2"/>
      <c r="AC392" s="2"/>
      <c r="AD392" s="2"/>
      <c r="AE392" s="4"/>
    </row>
    <row r="393" spans="2:31" ht="15.75" customHeight="1"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AB393" s="2"/>
      <c r="AC393" s="2"/>
      <c r="AD393" s="2"/>
      <c r="AE393" s="4"/>
    </row>
    <row r="394" spans="2:31" ht="15.75" customHeight="1"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AB394" s="2"/>
      <c r="AC394" s="2"/>
      <c r="AD394" s="2"/>
      <c r="AE394" s="4"/>
    </row>
    <row r="395" spans="2:31" ht="15.75" customHeight="1"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AB395" s="2"/>
      <c r="AC395" s="2"/>
      <c r="AD395" s="2"/>
      <c r="AE395" s="4"/>
    </row>
    <row r="396" spans="2:31" ht="15.75" customHeight="1"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AB396" s="2"/>
      <c r="AC396" s="2"/>
      <c r="AD396" s="2"/>
      <c r="AE396" s="4"/>
    </row>
    <row r="397" spans="2:31" ht="15.75" customHeight="1"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AB397" s="2"/>
      <c r="AC397" s="2"/>
      <c r="AD397" s="2"/>
      <c r="AE397" s="4"/>
    </row>
    <row r="398" spans="2:31" ht="15.75" customHeight="1"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AB398" s="2"/>
      <c r="AC398" s="2"/>
      <c r="AD398" s="2"/>
      <c r="AE398" s="4"/>
    </row>
    <row r="399" spans="2:31" ht="15.75" customHeight="1"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AB399" s="2"/>
      <c r="AC399" s="2"/>
      <c r="AD399" s="2"/>
      <c r="AE399" s="4"/>
    </row>
    <row r="400" spans="2:31" ht="15.75" customHeight="1"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AB400" s="2"/>
      <c r="AC400" s="2"/>
      <c r="AD400" s="2"/>
      <c r="AE400" s="4"/>
    </row>
    <row r="401" spans="2:31" ht="15.75" customHeight="1"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AB401" s="2"/>
      <c r="AC401" s="2"/>
      <c r="AD401" s="2"/>
      <c r="AE401" s="4"/>
    </row>
    <row r="402" spans="2:31" ht="15.75" customHeight="1"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AB402" s="2"/>
      <c r="AC402" s="2"/>
      <c r="AD402" s="2"/>
      <c r="AE402" s="4"/>
    </row>
    <row r="403" spans="2:31" ht="15.75" customHeight="1"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AB403" s="2"/>
      <c r="AC403" s="2"/>
      <c r="AD403" s="2"/>
      <c r="AE403" s="4"/>
    </row>
    <row r="404" spans="2:31" ht="15.75" customHeight="1"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AB404" s="2"/>
      <c r="AC404" s="2"/>
      <c r="AD404" s="2"/>
      <c r="AE404" s="4"/>
    </row>
    <row r="405" spans="2:31" ht="15.75" customHeight="1"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AB405" s="2"/>
      <c r="AC405" s="2"/>
      <c r="AD405" s="2"/>
      <c r="AE405" s="4"/>
    </row>
    <row r="406" spans="2:31" ht="15.75" customHeight="1"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AB406" s="2"/>
      <c r="AC406" s="2"/>
      <c r="AD406" s="2"/>
      <c r="AE406" s="4"/>
    </row>
    <row r="407" spans="2:31" ht="15.75" customHeight="1"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AB407" s="2"/>
      <c r="AC407" s="2"/>
      <c r="AD407" s="2"/>
      <c r="AE407" s="4"/>
    </row>
    <row r="408" spans="2:31" ht="15.75" customHeight="1"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AB408" s="2"/>
      <c r="AC408" s="2"/>
      <c r="AD408" s="2"/>
      <c r="AE408" s="4"/>
    </row>
    <row r="409" spans="2:31" ht="15.75" customHeight="1"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AB409" s="2"/>
      <c r="AC409" s="2"/>
      <c r="AD409" s="2"/>
      <c r="AE409" s="4"/>
    </row>
    <row r="410" spans="2:31" ht="15.75" customHeight="1"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AB410" s="2"/>
      <c r="AC410" s="2"/>
      <c r="AD410" s="2"/>
      <c r="AE410" s="4"/>
    </row>
    <row r="411" spans="2:31" ht="15.75" customHeight="1"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AB411" s="2"/>
      <c r="AC411" s="2"/>
      <c r="AD411" s="2"/>
      <c r="AE411" s="4"/>
    </row>
    <row r="412" spans="2:31" ht="15.75" customHeight="1"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AB412" s="2"/>
      <c r="AC412" s="2"/>
      <c r="AD412" s="2"/>
      <c r="AE412" s="4"/>
    </row>
    <row r="413" spans="2:31" ht="15.75" customHeight="1"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AB413" s="2"/>
      <c r="AC413" s="2"/>
      <c r="AD413" s="2"/>
      <c r="AE413" s="4"/>
    </row>
    <row r="414" spans="2:31" ht="15.75" customHeight="1"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AB414" s="2"/>
      <c r="AC414" s="2"/>
      <c r="AD414" s="2"/>
      <c r="AE414" s="4"/>
    </row>
    <row r="415" spans="2:31" ht="15.75" customHeight="1"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AB415" s="2"/>
      <c r="AC415" s="2"/>
      <c r="AD415" s="2"/>
      <c r="AE415" s="4"/>
    </row>
    <row r="416" spans="2:31" ht="15.75" customHeight="1"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AB416" s="2"/>
      <c r="AC416" s="2"/>
      <c r="AD416" s="2"/>
      <c r="AE416" s="4"/>
    </row>
    <row r="417" spans="2:31" ht="15.75" customHeight="1"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AB417" s="2"/>
      <c r="AC417" s="2"/>
      <c r="AD417" s="2"/>
      <c r="AE417" s="4"/>
    </row>
    <row r="418" spans="2:31" ht="15.75" customHeight="1"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AB418" s="2"/>
      <c r="AC418" s="2"/>
      <c r="AD418" s="2"/>
      <c r="AE418" s="4"/>
    </row>
    <row r="419" spans="2:31" ht="15.75" customHeight="1"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AB419" s="2"/>
      <c r="AC419" s="2"/>
      <c r="AD419" s="2"/>
      <c r="AE419" s="4"/>
    </row>
    <row r="420" spans="2:31" ht="15.75" customHeight="1"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AB420" s="2"/>
      <c r="AC420" s="2"/>
      <c r="AD420" s="2"/>
      <c r="AE420" s="4"/>
    </row>
    <row r="421" spans="2:31" ht="15.75" customHeight="1"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AB421" s="2"/>
      <c r="AC421" s="2"/>
      <c r="AD421" s="2"/>
      <c r="AE421" s="4"/>
    </row>
    <row r="422" spans="2:31" ht="15.75" customHeight="1"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AB422" s="2"/>
      <c r="AC422" s="2"/>
      <c r="AD422" s="2"/>
      <c r="AE422" s="4"/>
    </row>
    <row r="423" spans="2:31" ht="15.75" customHeight="1"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AB423" s="2"/>
      <c r="AC423" s="2"/>
      <c r="AD423" s="2"/>
      <c r="AE423" s="4"/>
    </row>
    <row r="424" spans="2:31" ht="15.75" customHeight="1"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AB424" s="2"/>
      <c r="AC424" s="2"/>
      <c r="AD424" s="2"/>
      <c r="AE424" s="4"/>
    </row>
    <row r="425" spans="2:31" ht="15.75" customHeight="1"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AB425" s="2"/>
      <c r="AC425" s="2"/>
      <c r="AD425" s="2"/>
      <c r="AE425" s="4"/>
    </row>
    <row r="426" spans="2:31" ht="15.75" customHeight="1"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AB426" s="2"/>
      <c r="AC426" s="2"/>
      <c r="AD426" s="2"/>
      <c r="AE426" s="4"/>
    </row>
    <row r="427" spans="2:31" ht="15.75" customHeight="1"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AB427" s="2"/>
      <c r="AC427" s="2"/>
      <c r="AD427" s="2"/>
      <c r="AE427" s="4"/>
    </row>
    <row r="428" spans="2:31" ht="15.75" customHeight="1"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AB428" s="2"/>
      <c r="AC428" s="2"/>
      <c r="AD428" s="2"/>
      <c r="AE428" s="4"/>
    </row>
    <row r="429" spans="2:31" ht="15.75" customHeight="1"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AB429" s="2"/>
      <c r="AC429" s="2"/>
      <c r="AD429" s="2"/>
      <c r="AE429" s="4"/>
    </row>
    <row r="430" spans="2:31" ht="15.75" customHeight="1"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AB430" s="2"/>
      <c r="AC430" s="2"/>
      <c r="AD430" s="2"/>
      <c r="AE430" s="4"/>
    </row>
    <row r="431" spans="2:31" ht="15.75" customHeight="1"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AB431" s="2"/>
      <c r="AC431" s="2"/>
      <c r="AD431" s="2"/>
      <c r="AE431" s="4"/>
    </row>
    <row r="432" spans="2:31" ht="15.75" customHeight="1"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AB432" s="2"/>
      <c r="AC432" s="2"/>
      <c r="AD432" s="2"/>
      <c r="AE432" s="4"/>
    </row>
    <row r="433" spans="2:31" ht="15.75" customHeight="1"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AB433" s="2"/>
      <c r="AC433" s="2"/>
      <c r="AD433" s="2"/>
      <c r="AE433" s="4"/>
    </row>
    <row r="434" spans="2:31" ht="15.75" customHeight="1"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AB434" s="2"/>
      <c r="AC434" s="2"/>
      <c r="AD434" s="2"/>
      <c r="AE434" s="4"/>
    </row>
    <row r="435" spans="2:31" ht="15.75" customHeight="1"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AB435" s="2"/>
      <c r="AC435" s="2"/>
      <c r="AD435" s="2"/>
      <c r="AE435" s="4"/>
    </row>
    <row r="436" spans="2:31" ht="15.75" customHeight="1"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AB436" s="2"/>
      <c r="AC436" s="2"/>
      <c r="AD436" s="2"/>
      <c r="AE436" s="4"/>
    </row>
    <row r="437" spans="2:31" ht="15.75" customHeight="1"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AB437" s="2"/>
      <c r="AC437" s="2"/>
      <c r="AD437" s="2"/>
      <c r="AE437" s="4"/>
    </row>
    <row r="438" spans="2:31" ht="15.75" customHeight="1"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AB438" s="2"/>
      <c r="AC438" s="2"/>
      <c r="AD438" s="2"/>
      <c r="AE438" s="4"/>
    </row>
    <row r="439" spans="2:31" ht="15.75" customHeight="1"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AB439" s="2"/>
      <c r="AC439" s="2"/>
      <c r="AD439" s="2"/>
      <c r="AE439" s="4"/>
    </row>
    <row r="440" spans="2:31" ht="15.75" customHeight="1"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AB440" s="2"/>
      <c r="AC440" s="2"/>
      <c r="AD440" s="2"/>
      <c r="AE440" s="4"/>
    </row>
    <row r="441" spans="2:31" ht="15.75" customHeight="1"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AB441" s="2"/>
      <c r="AC441" s="2"/>
      <c r="AD441" s="2"/>
      <c r="AE441" s="4"/>
    </row>
    <row r="442" spans="2:31" ht="15.75" customHeight="1"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AB442" s="2"/>
      <c r="AC442" s="2"/>
      <c r="AD442" s="2"/>
      <c r="AE442" s="4"/>
    </row>
    <row r="443" spans="2:31" ht="15.75" customHeight="1"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AB443" s="2"/>
      <c r="AC443" s="2"/>
      <c r="AD443" s="2"/>
      <c r="AE443" s="4"/>
    </row>
    <row r="444" spans="2:31" ht="15.75" customHeight="1"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AB444" s="2"/>
      <c r="AC444" s="2"/>
      <c r="AD444" s="2"/>
      <c r="AE444" s="4"/>
    </row>
    <row r="445" spans="2:31" ht="15.75" customHeight="1"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AB445" s="2"/>
      <c r="AC445" s="2"/>
      <c r="AD445" s="2"/>
      <c r="AE445" s="4"/>
    </row>
    <row r="446" spans="2:31" ht="15.75" customHeight="1"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AB446" s="2"/>
      <c r="AC446" s="2"/>
      <c r="AD446" s="2"/>
      <c r="AE446" s="4"/>
    </row>
    <row r="447" spans="2:31" ht="15.75" customHeight="1"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AB447" s="2"/>
      <c r="AC447" s="2"/>
      <c r="AD447" s="2"/>
      <c r="AE447" s="4"/>
    </row>
    <row r="448" spans="2:31" ht="15.75" customHeight="1"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AB448" s="2"/>
      <c r="AC448" s="2"/>
      <c r="AD448" s="2"/>
      <c r="AE448" s="4"/>
    </row>
    <row r="449" spans="2:31" ht="15.75" customHeight="1"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AB449" s="2"/>
      <c r="AC449" s="2"/>
      <c r="AD449" s="2"/>
      <c r="AE449" s="4"/>
    </row>
    <row r="450" spans="2:31" ht="15.75" customHeight="1"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AB450" s="2"/>
      <c r="AC450" s="2"/>
      <c r="AD450" s="2"/>
      <c r="AE450" s="4"/>
    </row>
    <row r="451" spans="2:31" ht="15.75" customHeight="1"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AB451" s="2"/>
      <c r="AC451" s="2"/>
      <c r="AD451" s="2"/>
      <c r="AE451" s="4"/>
    </row>
    <row r="452" spans="2:31" ht="15.75" customHeight="1"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AB452" s="2"/>
      <c r="AC452" s="2"/>
      <c r="AD452" s="2"/>
      <c r="AE452" s="4"/>
    </row>
    <row r="453" spans="2:31" ht="15.75" customHeight="1"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AB453" s="2"/>
      <c r="AC453" s="2"/>
      <c r="AD453" s="2"/>
      <c r="AE453" s="4"/>
    </row>
    <row r="454" spans="2:31" ht="15.75" customHeight="1"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AB454" s="2"/>
      <c r="AC454" s="2"/>
      <c r="AD454" s="2"/>
      <c r="AE454" s="4"/>
    </row>
    <row r="455" spans="2:31" ht="15.75" customHeight="1"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AB455" s="2"/>
      <c r="AC455" s="2"/>
      <c r="AD455" s="2"/>
      <c r="AE455" s="4"/>
    </row>
    <row r="456" spans="2:31" ht="15.75" customHeight="1"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AB456" s="2"/>
      <c r="AC456" s="2"/>
      <c r="AD456" s="2"/>
      <c r="AE456" s="4"/>
    </row>
    <row r="457" spans="2:31" ht="15.75" customHeight="1"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AB457" s="2"/>
      <c r="AC457" s="2"/>
      <c r="AD457" s="2"/>
      <c r="AE457" s="4"/>
    </row>
    <row r="458" spans="2:31" ht="15.75" customHeight="1"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AB458" s="2"/>
      <c r="AC458" s="2"/>
      <c r="AD458" s="2"/>
      <c r="AE458" s="4"/>
    </row>
    <row r="459" spans="2:31" ht="15.75" customHeight="1"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AB459" s="2"/>
      <c r="AC459" s="2"/>
      <c r="AD459" s="2"/>
      <c r="AE459" s="4"/>
    </row>
    <row r="460" spans="2:31" ht="15.75" customHeight="1"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AB460" s="2"/>
      <c r="AC460" s="2"/>
      <c r="AD460" s="2"/>
      <c r="AE460" s="4"/>
    </row>
    <row r="461" spans="2:31" ht="15.75" customHeight="1"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AB461" s="2"/>
      <c r="AC461" s="2"/>
      <c r="AD461" s="2"/>
      <c r="AE461" s="4"/>
    </row>
    <row r="462" spans="2:31" ht="15.75" customHeight="1"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AB462" s="2"/>
      <c r="AC462" s="2"/>
      <c r="AD462" s="2"/>
      <c r="AE462" s="4"/>
    </row>
    <row r="463" spans="2:31" ht="15.75" customHeight="1"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AB463" s="2"/>
      <c r="AC463" s="2"/>
      <c r="AD463" s="2"/>
      <c r="AE463" s="4"/>
    </row>
    <row r="464" spans="2:31" ht="15.75" customHeight="1"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AB464" s="2"/>
      <c r="AC464" s="2"/>
      <c r="AD464" s="2"/>
      <c r="AE464" s="4"/>
    </row>
    <row r="465" spans="2:31" ht="15.75" customHeight="1"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AB465" s="2"/>
      <c r="AC465" s="2"/>
      <c r="AD465" s="2"/>
      <c r="AE465" s="4"/>
    </row>
    <row r="466" spans="2:31" ht="15.75" customHeight="1"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AB466" s="2"/>
      <c r="AC466" s="2"/>
      <c r="AD466" s="2"/>
      <c r="AE466" s="4"/>
    </row>
    <row r="467" spans="2:31" ht="15.75" customHeight="1"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AB467" s="2"/>
      <c r="AC467" s="2"/>
      <c r="AD467" s="2"/>
      <c r="AE467" s="4"/>
    </row>
    <row r="468" spans="2:31" ht="15.75" customHeight="1"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AB468" s="2"/>
      <c r="AC468" s="2"/>
      <c r="AD468" s="2"/>
      <c r="AE468" s="4"/>
    </row>
    <row r="469" spans="2:31" ht="15.75" customHeight="1"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AB469" s="2"/>
      <c r="AC469" s="2"/>
      <c r="AD469" s="2"/>
      <c r="AE469" s="4"/>
    </row>
    <row r="470" spans="2:31" ht="15.75" customHeight="1"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AB470" s="2"/>
      <c r="AC470" s="2"/>
      <c r="AD470" s="2"/>
      <c r="AE470" s="4"/>
    </row>
    <row r="471" spans="2:31" ht="15.75" customHeight="1"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AB471" s="2"/>
      <c r="AC471" s="2"/>
      <c r="AD471" s="2"/>
      <c r="AE471" s="4"/>
    </row>
    <row r="472" spans="2:31" ht="15.75" customHeight="1"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AB472" s="2"/>
      <c r="AC472" s="2"/>
      <c r="AD472" s="2"/>
      <c r="AE472" s="4"/>
    </row>
    <row r="473" spans="2:31" ht="15.75" customHeight="1"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AB473" s="2"/>
      <c r="AC473" s="2"/>
      <c r="AD473" s="2"/>
      <c r="AE473" s="4"/>
    </row>
    <row r="474" spans="2:31" ht="15.75" customHeight="1"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AB474" s="2"/>
      <c r="AC474" s="2"/>
      <c r="AD474" s="2"/>
      <c r="AE474" s="4"/>
    </row>
    <row r="475" spans="2:31" ht="15.75" customHeight="1"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AB475" s="2"/>
      <c r="AC475" s="2"/>
      <c r="AD475" s="2"/>
      <c r="AE475" s="4"/>
    </row>
    <row r="476" spans="2:31" ht="15.75" customHeight="1"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AB476" s="2"/>
      <c r="AC476" s="2"/>
      <c r="AD476" s="2"/>
      <c r="AE476" s="4"/>
    </row>
    <row r="477" spans="2:31" ht="15.75" customHeight="1"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AB477" s="2"/>
      <c r="AC477" s="2"/>
      <c r="AD477" s="2"/>
      <c r="AE477" s="4"/>
    </row>
    <row r="478" spans="2:31" ht="15.75" customHeight="1"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AB478" s="2"/>
      <c r="AC478" s="2"/>
      <c r="AD478" s="2"/>
      <c r="AE478" s="4"/>
    </row>
    <row r="479" spans="2:31" ht="15.75" customHeight="1"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AB479" s="2"/>
      <c r="AC479" s="2"/>
      <c r="AD479" s="2"/>
      <c r="AE479" s="4"/>
    </row>
    <row r="480" spans="2:31" ht="15.75" customHeight="1"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AB480" s="2"/>
      <c r="AC480" s="2"/>
      <c r="AD480" s="2"/>
      <c r="AE480" s="4"/>
    </row>
    <row r="481" spans="2:31" ht="15.75" customHeight="1"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AB481" s="2"/>
      <c r="AC481" s="2"/>
      <c r="AD481" s="2"/>
      <c r="AE481" s="4"/>
    </row>
    <row r="482" spans="2:31" ht="15.75" customHeight="1"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AB482" s="2"/>
      <c r="AC482" s="2"/>
      <c r="AD482" s="2"/>
      <c r="AE482" s="4"/>
    </row>
    <row r="483" spans="2:31" ht="15.75" customHeight="1"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AB483" s="2"/>
      <c r="AC483" s="2"/>
      <c r="AD483" s="2"/>
      <c r="AE483" s="4"/>
    </row>
    <row r="484" spans="2:31" ht="15.75" customHeight="1"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AB484" s="2"/>
      <c r="AC484" s="2"/>
      <c r="AD484" s="2"/>
      <c r="AE484" s="4"/>
    </row>
    <row r="485" spans="2:31" ht="15.75" customHeight="1"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AB485" s="2"/>
      <c r="AC485" s="2"/>
      <c r="AD485" s="2"/>
      <c r="AE485" s="4"/>
    </row>
    <row r="486" spans="2:31" ht="15.75" customHeight="1"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AB486" s="2"/>
      <c r="AC486" s="2"/>
      <c r="AD486" s="2"/>
      <c r="AE486" s="4"/>
    </row>
    <row r="487" spans="2:31" ht="15.75" customHeight="1"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AB487" s="2"/>
      <c r="AC487" s="2"/>
      <c r="AD487" s="2"/>
      <c r="AE487" s="4"/>
    </row>
    <row r="488" spans="2:31" ht="15.75" customHeight="1"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AB488" s="2"/>
      <c r="AC488" s="2"/>
      <c r="AD488" s="2"/>
      <c r="AE488" s="4"/>
    </row>
    <row r="489" spans="2:31" ht="15.75" customHeight="1"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AB489" s="2"/>
      <c r="AC489" s="2"/>
      <c r="AD489" s="2"/>
      <c r="AE489" s="4"/>
    </row>
    <row r="490" spans="2:31" ht="15.75" customHeight="1"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AB490" s="2"/>
      <c r="AC490" s="2"/>
      <c r="AD490" s="2"/>
      <c r="AE490" s="4"/>
    </row>
    <row r="491" spans="2:31" ht="15.75" customHeight="1"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AB491" s="2"/>
      <c r="AC491" s="2"/>
      <c r="AD491" s="2"/>
      <c r="AE491" s="4"/>
    </row>
    <row r="492" spans="2:31" ht="15.75" customHeight="1"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AB492" s="2"/>
      <c r="AC492" s="2"/>
      <c r="AD492" s="2"/>
      <c r="AE492" s="4"/>
    </row>
    <row r="493" spans="2:31" ht="15.75" customHeight="1"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AB493" s="2"/>
      <c r="AC493" s="2"/>
      <c r="AD493" s="2"/>
      <c r="AE493" s="4"/>
    </row>
    <row r="494" spans="2:31" ht="15.75" customHeight="1"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AB494" s="2"/>
      <c r="AC494" s="2"/>
      <c r="AD494" s="2"/>
      <c r="AE494" s="4"/>
    </row>
    <row r="495" spans="2:31" ht="15.75" customHeight="1"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AB495" s="2"/>
      <c r="AC495" s="2"/>
      <c r="AD495" s="2"/>
      <c r="AE495" s="4"/>
    </row>
    <row r="496" spans="2:31" ht="15.75" customHeight="1"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AB496" s="2"/>
      <c r="AC496" s="2"/>
      <c r="AD496" s="2"/>
      <c r="AE496" s="4"/>
    </row>
    <row r="497" spans="2:31" ht="15.75" customHeight="1"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AB497" s="2"/>
      <c r="AC497" s="2"/>
      <c r="AD497" s="2"/>
      <c r="AE497" s="4"/>
    </row>
    <row r="498" spans="2:31" ht="15.75" customHeight="1"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AB498" s="2"/>
      <c r="AC498" s="2"/>
      <c r="AD498" s="2"/>
      <c r="AE498" s="4"/>
    </row>
    <row r="499" spans="2:31" ht="15.75" customHeight="1"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AB499" s="2"/>
      <c r="AC499" s="2"/>
      <c r="AD499" s="2"/>
      <c r="AE499" s="4"/>
    </row>
    <row r="500" spans="2:31" ht="15.75" customHeight="1"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AB500" s="2"/>
      <c r="AC500" s="2"/>
      <c r="AD500" s="2"/>
      <c r="AE500" s="4"/>
    </row>
    <row r="501" spans="2:31" ht="15.75" customHeight="1"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AB501" s="2"/>
      <c r="AC501" s="2"/>
      <c r="AD501" s="2"/>
      <c r="AE501" s="4"/>
    </row>
    <row r="502" spans="2:31" ht="15.75" customHeight="1"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AB502" s="2"/>
      <c r="AC502" s="2"/>
      <c r="AD502" s="2"/>
      <c r="AE502" s="4"/>
    </row>
    <row r="503" spans="2:31" ht="15.75" customHeight="1"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AB503" s="2"/>
      <c r="AC503" s="2"/>
      <c r="AD503" s="2"/>
      <c r="AE503" s="4"/>
    </row>
    <row r="504" spans="2:31" ht="15.75" customHeight="1"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AB504" s="2"/>
      <c r="AC504" s="2"/>
      <c r="AD504" s="2"/>
      <c r="AE504" s="4"/>
    </row>
    <row r="505" spans="2:31" ht="15.75" customHeight="1"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AB505" s="2"/>
      <c r="AC505" s="2"/>
      <c r="AD505" s="2"/>
      <c r="AE505" s="4"/>
    </row>
    <row r="506" spans="2:31" ht="15.75" customHeight="1"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AB506" s="2"/>
      <c r="AC506" s="2"/>
      <c r="AD506" s="2"/>
      <c r="AE506" s="4"/>
    </row>
    <row r="507" spans="2:31" ht="15.75" customHeight="1"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AB507" s="2"/>
      <c r="AC507" s="2"/>
      <c r="AD507" s="2"/>
      <c r="AE507" s="4"/>
    </row>
    <row r="508" spans="2:31" ht="15.75" customHeight="1"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AB508" s="2"/>
      <c r="AC508" s="2"/>
      <c r="AD508" s="2"/>
      <c r="AE508" s="4"/>
    </row>
    <row r="509" spans="2:31" ht="15.75" customHeight="1"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AB509" s="2"/>
      <c r="AC509" s="2"/>
      <c r="AD509" s="2"/>
      <c r="AE509" s="4"/>
    </row>
    <row r="510" spans="2:31" ht="15.75" customHeight="1"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AB510" s="2"/>
      <c r="AC510" s="2"/>
      <c r="AD510" s="2"/>
      <c r="AE510" s="4"/>
    </row>
    <row r="511" spans="2:31" ht="15.75" customHeight="1"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AB511" s="2"/>
      <c r="AC511" s="2"/>
      <c r="AD511" s="2"/>
      <c r="AE511" s="4"/>
    </row>
    <row r="512" spans="2:31" ht="15.75" customHeight="1"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AB512" s="2"/>
      <c r="AC512" s="2"/>
      <c r="AD512" s="2"/>
      <c r="AE512" s="4"/>
    </row>
    <row r="513" spans="2:31" ht="15.75" customHeight="1"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AB513" s="2"/>
      <c r="AC513" s="2"/>
      <c r="AD513" s="2"/>
      <c r="AE513" s="4"/>
    </row>
    <row r="514" spans="2:31" ht="15.75" customHeight="1"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AB514" s="2"/>
      <c r="AC514" s="2"/>
      <c r="AD514" s="2"/>
      <c r="AE514" s="4"/>
    </row>
    <row r="515" spans="2:31" ht="15.75" customHeight="1"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AB515" s="2"/>
      <c r="AC515" s="2"/>
      <c r="AD515" s="2"/>
      <c r="AE515" s="4"/>
    </row>
    <row r="516" spans="2:31" ht="15.75" customHeight="1"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AB516" s="2"/>
      <c r="AC516" s="2"/>
      <c r="AD516" s="2"/>
      <c r="AE516" s="4"/>
    </row>
    <row r="517" spans="2:31" ht="15.75" customHeight="1"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AB517" s="2"/>
      <c r="AC517" s="2"/>
      <c r="AD517" s="2"/>
      <c r="AE517" s="4"/>
    </row>
    <row r="518" spans="2:31" ht="15.75" customHeight="1"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AB518" s="2"/>
      <c r="AC518" s="2"/>
      <c r="AD518" s="2"/>
      <c r="AE518" s="4"/>
    </row>
    <row r="519" spans="2:31" ht="15.75" customHeight="1"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AB519" s="2"/>
      <c r="AC519" s="2"/>
      <c r="AD519" s="2"/>
      <c r="AE519" s="4"/>
    </row>
    <row r="520" spans="2:31" ht="15.75" customHeight="1"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AB520" s="2"/>
      <c r="AC520" s="2"/>
      <c r="AD520" s="2"/>
      <c r="AE520" s="4"/>
    </row>
    <row r="521" spans="2:31" ht="15.75" customHeight="1"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AB521" s="2"/>
      <c r="AC521" s="2"/>
      <c r="AD521" s="2"/>
      <c r="AE521" s="4"/>
    </row>
    <row r="522" spans="2:31" ht="15.75" customHeight="1"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AB522" s="2"/>
      <c r="AC522" s="2"/>
      <c r="AD522" s="2"/>
      <c r="AE522" s="4"/>
    </row>
    <row r="523" spans="2:31" ht="15.75" customHeight="1"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AB523" s="2"/>
      <c r="AC523" s="2"/>
      <c r="AD523" s="2"/>
      <c r="AE523" s="4"/>
    </row>
    <row r="524" spans="2:31" ht="15.75" customHeight="1"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AB524" s="2"/>
      <c r="AC524" s="2"/>
      <c r="AD524" s="2"/>
      <c r="AE524" s="4"/>
    </row>
    <row r="525" spans="2:31" ht="15.75" customHeight="1"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AB525" s="2"/>
      <c r="AC525" s="2"/>
      <c r="AD525" s="2"/>
      <c r="AE525" s="4"/>
    </row>
    <row r="526" spans="2:31" ht="15.75" customHeight="1"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AB526" s="2"/>
      <c r="AC526" s="2"/>
      <c r="AD526" s="2"/>
      <c r="AE526" s="4"/>
    </row>
    <row r="527" spans="2:31" ht="15.75" customHeight="1"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AB527" s="2"/>
      <c r="AC527" s="2"/>
      <c r="AD527" s="2"/>
      <c r="AE527" s="4"/>
    </row>
    <row r="528" spans="2:31" ht="15.75" customHeight="1"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AB528" s="2"/>
      <c r="AC528" s="2"/>
      <c r="AD528" s="2"/>
      <c r="AE528" s="4"/>
    </row>
    <row r="529" spans="2:31" ht="15.75" customHeight="1"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AB529" s="2"/>
      <c r="AC529" s="2"/>
      <c r="AD529" s="2"/>
      <c r="AE529" s="4"/>
    </row>
    <row r="530" spans="2:31" ht="15.75" customHeight="1"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AB530" s="2"/>
      <c r="AC530" s="2"/>
      <c r="AD530" s="2"/>
      <c r="AE530" s="4"/>
    </row>
    <row r="531" spans="2:31" ht="15.75" customHeight="1"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AB531" s="2"/>
      <c r="AC531" s="2"/>
      <c r="AD531" s="2"/>
      <c r="AE531" s="4"/>
    </row>
    <row r="532" spans="2:31" ht="15.75" customHeight="1"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AB532" s="2"/>
      <c r="AC532" s="2"/>
      <c r="AD532" s="2"/>
      <c r="AE532" s="4"/>
    </row>
    <row r="533" spans="2:31" ht="15.75" customHeight="1"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AB533" s="2"/>
      <c r="AC533" s="2"/>
      <c r="AD533" s="2"/>
      <c r="AE533" s="4"/>
    </row>
    <row r="534" spans="2:31" ht="15.75" customHeight="1"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AB534" s="2"/>
      <c r="AC534" s="2"/>
      <c r="AD534" s="2"/>
      <c r="AE534" s="4"/>
    </row>
    <row r="535" spans="2:31" ht="15.75" customHeight="1"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AB535" s="2"/>
      <c r="AC535" s="2"/>
      <c r="AD535" s="2"/>
      <c r="AE535" s="4"/>
    </row>
    <row r="536" spans="2:31" ht="15.75" customHeight="1"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AB536" s="2"/>
      <c r="AC536" s="2"/>
      <c r="AD536" s="2"/>
      <c r="AE536" s="4"/>
    </row>
    <row r="537" spans="2:31" ht="15.75" customHeight="1"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AB537" s="2"/>
      <c r="AC537" s="2"/>
      <c r="AD537" s="2"/>
      <c r="AE537" s="4"/>
    </row>
    <row r="538" spans="2:31" ht="15.75" customHeight="1"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AB538" s="2"/>
      <c r="AC538" s="2"/>
      <c r="AD538" s="2"/>
      <c r="AE538" s="4"/>
    </row>
    <row r="539" spans="2:31" ht="15.75" customHeight="1"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AB539" s="2"/>
      <c r="AC539" s="2"/>
      <c r="AD539" s="2"/>
      <c r="AE539" s="4"/>
    </row>
    <row r="540" spans="2:31" ht="15.75" customHeight="1"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AB540" s="2"/>
      <c r="AC540" s="2"/>
      <c r="AD540" s="2"/>
      <c r="AE540" s="4"/>
    </row>
    <row r="541" spans="2:31" ht="15.75" customHeight="1"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AB541" s="2"/>
      <c r="AC541" s="2"/>
      <c r="AD541" s="2"/>
      <c r="AE541" s="4"/>
    </row>
    <row r="542" spans="2:31" ht="15.75" customHeight="1"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AB542" s="2"/>
      <c r="AC542" s="2"/>
      <c r="AD542" s="2"/>
      <c r="AE542" s="4"/>
    </row>
    <row r="543" spans="2:31" ht="15.75" customHeight="1"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AB543" s="2"/>
      <c r="AC543" s="2"/>
      <c r="AD543" s="2"/>
      <c r="AE543" s="4"/>
    </row>
    <row r="544" spans="2:31" ht="15.75" customHeight="1"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AB544" s="2"/>
      <c r="AC544" s="2"/>
      <c r="AD544" s="2"/>
      <c r="AE544" s="4"/>
    </row>
    <row r="545" spans="2:31" ht="15.75" customHeight="1"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AB545" s="2"/>
      <c r="AC545" s="2"/>
      <c r="AD545" s="2"/>
      <c r="AE545" s="4"/>
    </row>
    <row r="546" spans="2:31" ht="15.75" customHeight="1"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AB546" s="2"/>
      <c r="AC546" s="2"/>
      <c r="AD546" s="2"/>
      <c r="AE546" s="4"/>
    </row>
    <row r="547" spans="2:31" ht="15.75" customHeight="1"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AB547" s="2"/>
      <c r="AC547" s="2"/>
      <c r="AD547" s="2"/>
      <c r="AE547" s="4"/>
    </row>
    <row r="548" spans="2:31" ht="15.75" customHeight="1"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AB548" s="2"/>
      <c r="AC548" s="2"/>
      <c r="AD548" s="2"/>
      <c r="AE548" s="4"/>
    </row>
    <row r="549" spans="2:31" ht="15.75" customHeight="1"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AB549" s="2"/>
      <c r="AC549" s="2"/>
      <c r="AD549" s="2"/>
      <c r="AE549" s="4"/>
    </row>
    <row r="550" spans="2:31" ht="15.75" customHeight="1"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AB550" s="2"/>
      <c r="AC550" s="2"/>
      <c r="AD550" s="2"/>
      <c r="AE550" s="4"/>
    </row>
    <row r="551" spans="2:31" ht="15.75" customHeight="1"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AB551" s="2"/>
      <c r="AC551" s="2"/>
      <c r="AD551" s="2"/>
      <c r="AE551" s="4"/>
    </row>
    <row r="552" spans="2:31" ht="15.75" customHeight="1"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AB552" s="2"/>
      <c r="AC552" s="2"/>
      <c r="AD552" s="2"/>
      <c r="AE552" s="4"/>
    </row>
    <row r="553" spans="2:31" ht="15.75" customHeight="1"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AB553" s="2"/>
      <c r="AC553" s="2"/>
      <c r="AD553" s="2"/>
      <c r="AE553" s="4"/>
    </row>
    <row r="554" spans="2:31" ht="15.75" customHeight="1"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AB554" s="2"/>
      <c r="AC554" s="2"/>
      <c r="AD554" s="2"/>
      <c r="AE554" s="4"/>
    </row>
    <row r="555" spans="2:31" ht="15.75" customHeight="1"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AB555" s="2"/>
      <c r="AC555" s="2"/>
      <c r="AD555" s="2"/>
      <c r="AE555" s="4"/>
    </row>
    <row r="556" spans="2:31" ht="15.75" customHeight="1"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AB556" s="2"/>
      <c r="AC556" s="2"/>
      <c r="AD556" s="2"/>
      <c r="AE556" s="4"/>
    </row>
    <row r="557" spans="2:31" ht="15.75" customHeight="1"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AB557" s="2"/>
      <c r="AC557" s="2"/>
      <c r="AD557" s="2"/>
      <c r="AE557" s="4"/>
    </row>
    <row r="558" spans="2:31" ht="15.75" customHeight="1"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AB558" s="2"/>
      <c r="AC558" s="2"/>
      <c r="AD558" s="2"/>
      <c r="AE558" s="4"/>
    </row>
    <row r="559" spans="2:31" ht="15.75" customHeight="1"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AB559" s="2"/>
      <c r="AC559" s="2"/>
      <c r="AD559" s="2"/>
      <c r="AE559" s="4"/>
    </row>
    <row r="560" spans="2:31" ht="15.75" customHeight="1"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AB560" s="2"/>
      <c r="AC560" s="2"/>
      <c r="AD560" s="2"/>
      <c r="AE560" s="4"/>
    </row>
    <row r="561" spans="2:31" ht="15.75" customHeight="1"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AB561" s="2"/>
      <c r="AC561" s="2"/>
      <c r="AD561" s="2"/>
      <c r="AE561" s="4"/>
    </row>
    <row r="562" spans="2:31" ht="15.75" customHeight="1"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AB562" s="2"/>
      <c r="AC562" s="2"/>
      <c r="AD562" s="2"/>
      <c r="AE562" s="4"/>
    </row>
    <row r="563" spans="2:31" ht="15.75" customHeight="1"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AB563" s="2"/>
      <c r="AC563" s="2"/>
      <c r="AD563" s="2"/>
      <c r="AE563" s="4"/>
    </row>
    <row r="564" spans="2:31" ht="15.75" customHeight="1"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AB564" s="2"/>
      <c r="AC564" s="2"/>
      <c r="AD564" s="2"/>
      <c r="AE564" s="4"/>
    </row>
    <row r="565" spans="2:31" ht="15.75" customHeight="1"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AB565" s="2"/>
      <c r="AC565" s="2"/>
      <c r="AD565" s="2"/>
      <c r="AE565" s="4"/>
    </row>
    <row r="566" spans="2:31" ht="15.75" customHeight="1"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AB566" s="2"/>
      <c r="AC566" s="2"/>
      <c r="AD566" s="2"/>
      <c r="AE566" s="4"/>
    </row>
    <row r="567" spans="2:31" ht="15.75" customHeight="1"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AB567" s="2"/>
      <c r="AC567" s="2"/>
      <c r="AD567" s="2"/>
      <c r="AE567" s="4"/>
    </row>
    <row r="568" spans="2:31" ht="15.75" customHeight="1"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AB568" s="2"/>
      <c r="AC568" s="2"/>
      <c r="AD568" s="2"/>
      <c r="AE568" s="4"/>
    </row>
    <row r="569" spans="2:31" ht="15.75" customHeight="1"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AB569" s="2"/>
      <c r="AC569" s="2"/>
      <c r="AD569" s="2"/>
      <c r="AE569" s="4"/>
    </row>
    <row r="570" spans="2:31" ht="15.75" customHeight="1"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AB570" s="2"/>
      <c r="AC570" s="2"/>
      <c r="AD570" s="2"/>
      <c r="AE570" s="4"/>
    </row>
    <row r="571" spans="2:31" ht="15.75" customHeight="1"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AB571" s="2"/>
      <c r="AC571" s="2"/>
      <c r="AD571" s="2"/>
      <c r="AE571" s="4"/>
    </row>
    <row r="572" spans="2:31" ht="15.75" customHeight="1"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AB572" s="2"/>
      <c r="AC572" s="2"/>
      <c r="AD572" s="2"/>
      <c r="AE572" s="4"/>
    </row>
    <row r="573" spans="2:31" ht="15.75" customHeight="1"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AB573" s="2"/>
      <c r="AC573" s="2"/>
      <c r="AD573" s="2"/>
      <c r="AE573" s="4"/>
    </row>
    <row r="574" spans="2:31" ht="15.75" customHeight="1"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AB574" s="2"/>
      <c r="AC574" s="2"/>
      <c r="AD574" s="2"/>
      <c r="AE574" s="4"/>
    </row>
    <row r="575" spans="2:31" ht="15.75" customHeight="1"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AB575" s="2"/>
      <c r="AC575" s="2"/>
      <c r="AD575" s="2"/>
      <c r="AE575" s="4"/>
    </row>
    <row r="576" spans="2:31" ht="15.75" customHeight="1"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AB576" s="2"/>
      <c r="AC576" s="2"/>
      <c r="AD576" s="2"/>
      <c r="AE576" s="4"/>
    </row>
    <row r="577" spans="2:31" ht="15.75" customHeight="1"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AB577" s="2"/>
      <c r="AC577" s="2"/>
      <c r="AD577" s="2"/>
      <c r="AE577" s="4"/>
    </row>
    <row r="578" spans="2:31" ht="15.75" customHeight="1"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AB578" s="2"/>
      <c r="AC578" s="2"/>
      <c r="AD578" s="2"/>
      <c r="AE578" s="4"/>
    </row>
    <row r="579" spans="2:31" ht="15.75" customHeight="1"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AB579" s="2"/>
      <c r="AC579" s="2"/>
      <c r="AD579" s="2"/>
      <c r="AE579" s="4"/>
    </row>
    <row r="580" spans="2:31" ht="15.75" customHeight="1"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AB580" s="2"/>
      <c r="AC580" s="2"/>
      <c r="AD580" s="2"/>
      <c r="AE580" s="4"/>
    </row>
    <row r="581" spans="2:31" ht="15.75" customHeight="1"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AB581" s="2"/>
      <c r="AC581" s="2"/>
      <c r="AD581" s="2"/>
      <c r="AE581" s="4"/>
    </row>
    <row r="582" spans="2:31" ht="15.75" customHeight="1"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AB582" s="2"/>
      <c r="AC582" s="2"/>
      <c r="AD582" s="2"/>
      <c r="AE582" s="4"/>
    </row>
    <row r="583" spans="2:31" ht="15.75" customHeight="1"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AB583" s="2"/>
      <c r="AC583" s="2"/>
      <c r="AD583" s="2"/>
      <c r="AE583" s="4"/>
    </row>
    <row r="584" spans="2:31" ht="15.75" customHeight="1"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AB584" s="2"/>
      <c r="AC584" s="2"/>
      <c r="AD584" s="2"/>
      <c r="AE584" s="4"/>
    </row>
    <row r="585" spans="2:31" ht="15.75" customHeight="1"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AB585" s="2"/>
      <c r="AC585" s="2"/>
      <c r="AD585" s="2"/>
      <c r="AE585" s="4"/>
    </row>
    <row r="586" spans="2:31" ht="15.75" customHeight="1"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AB586" s="2"/>
      <c r="AC586" s="2"/>
      <c r="AD586" s="2"/>
      <c r="AE586" s="4"/>
    </row>
    <row r="587" spans="2:31" ht="15.75" customHeight="1"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AB587" s="2"/>
      <c r="AC587" s="2"/>
      <c r="AD587" s="2"/>
      <c r="AE587" s="4"/>
    </row>
    <row r="588" spans="2:31" ht="15.75" customHeight="1"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AB588" s="2"/>
      <c r="AC588" s="2"/>
      <c r="AD588" s="2"/>
      <c r="AE588" s="4"/>
    </row>
    <row r="589" spans="2:31" ht="15.75" customHeight="1"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AB589" s="2"/>
      <c r="AC589" s="2"/>
      <c r="AD589" s="2"/>
      <c r="AE589" s="4"/>
    </row>
    <row r="590" spans="2:31" ht="15.75" customHeight="1"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AB590" s="2"/>
      <c r="AC590" s="2"/>
      <c r="AD590" s="2"/>
      <c r="AE590" s="4"/>
    </row>
    <row r="591" spans="2:31" ht="15.75" customHeight="1"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AB591" s="2"/>
      <c r="AC591" s="2"/>
      <c r="AD591" s="2"/>
      <c r="AE591" s="4"/>
    </row>
    <row r="592" spans="2:31" ht="15.75" customHeight="1"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AB592" s="2"/>
      <c r="AC592" s="2"/>
      <c r="AD592" s="2"/>
      <c r="AE592" s="4"/>
    </row>
    <row r="593" spans="2:31" ht="15.75" customHeight="1"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AB593" s="2"/>
      <c r="AC593" s="2"/>
      <c r="AD593" s="2"/>
      <c r="AE593" s="4"/>
    </row>
    <row r="594" spans="2:31" ht="15.75" customHeight="1"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AB594" s="2"/>
      <c r="AC594" s="2"/>
      <c r="AD594" s="2"/>
      <c r="AE594" s="4"/>
    </row>
    <row r="595" spans="2:31" ht="15.75" customHeight="1"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AB595" s="2"/>
      <c r="AC595" s="2"/>
      <c r="AD595" s="2"/>
      <c r="AE595" s="4"/>
    </row>
    <row r="596" spans="2:31" ht="15.75" customHeight="1"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AB596" s="2"/>
      <c r="AC596" s="2"/>
      <c r="AD596" s="2"/>
      <c r="AE596" s="4"/>
    </row>
    <row r="597" spans="2:31" ht="15.75" customHeight="1"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AB597" s="2"/>
      <c r="AC597" s="2"/>
      <c r="AD597" s="2"/>
      <c r="AE597" s="4"/>
    </row>
    <row r="598" spans="2:31" ht="15.75" customHeight="1"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AB598" s="2"/>
      <c r="AC598" s="2"/>
      <c r="AD598" s="2"/>
      <c r="AE598" s="4"/>
    </row>
    <row r="599" spans="2:31" ht="15.75" customHeight="1"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AB599" s="2"/>
      <c r="AC599" s="2"/>
      <c r="AD599" s="2"/>
      <c r="AE599" s="4"/>
    </row>
    <row r="600" spans="2:31" ht="15.75" customHeight="1"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AB600" s="2"/>
      <c r="AC600" s="2"/>
      <c r="AD600" s="2"/>
      <c r="AE600" s="4"/>
    </row>
    <row r="601" spans="2:31" ht="15.75" customHeight="1"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AB601" s="2"/>
      <c r="AC601" s="2"/>
      <c r="AD601" s="2"/>
      <c r="AE601" s="4"/>
    </row>
    <row r="602" spans="2:31" ht="15.75" customHeight="1"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AB602" s="2"/>
      <c r="AC602" s="2"/>
      <c r="AD602" s="2"/>
      <c r="AE602" s="4"/>
    </row>
    <row r="603" spans="2:31" ht="15.75" customHeight="1"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AB603" s="2"/>
      <c r="AC603" s="2"/>
      <c r="AD603" s="2"/>
      <c r="AE603" s="4"/>
    </row>
    <row r="604" spans="2:31" ht="15.75" customHeight="1"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AB604" s="2"/>
      <c r="AC604" s="2"/>
      <c r="AD604" s="2"/>
      <c r="AE604" s="4"/>
    </row>
    <row r="605" spans="2:31" ht="15.75" customHeight="1"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AB605" s="2"/>
      <c r="AC605" s="2"/>
      <c r="AD605" s="2"/>
      <c r="AE605" s="4"/>
    </row>
    <row r="606" spans="2:31" ht="15.75" customHeight="1"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AB606" s="2"/>
      <c r="AC606" s="2"/>
      <c r="AD606" s="2"/>
      <c r="AE606" s="4"/>
    </row>
    <row r="607" spans="2:31" ht="15.75" customHeight="1"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AB607" s="2"/>
      <c r="AC607" s="2"/>
      <c r="AD607" s="2"/>
      <c r="AE607" s="4"/>
    </row>
    <row r="608" spans="2:31" ht="15.75" customHeight="1"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AB608" s="2"/>
      <c r="AC608" s="2"/>
      <c r="AD608" s="2"/>
      <c r="AE608" s="4"/>
    </row>
    <row r="609" spans="2:31" ht="15.75" customHeight="1"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AB609" s="2"/>
      <c r="AC609" s="2"/>
      <c r="AD609" s="2"/>
      <c r="AE609" s="4"/>
    </row>
    <row r="610" spans="2:31" ht="15.75" customHeight="1"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AB610" s="2"/>
      <c r="AC610" s="2"/>
      <c r="AD610" s="2"/>
      <c r="AE610" s="4"/>
    </row>
    <row r="611" spans="2:31" ht="15.75" customHeight="1"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AB611" s="2"/>
      <c r="AC611" s="2"/>
      <c r="AD611" s="2"/>
      <c r="AE611" s="4"/>
    </row>
    <row r="612" spans="2:31" ht="15.75" customHeight="1"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AB612" s="2"/>
      <c r="AC612" s="2"/>
      <c r="AD612" s="2"/>
      <c r="AE612" s="4"/>
    </row>
    <row r="613" spans="2:31" ht="15.75" customHeight="1"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AB613" s="2"/>
      <c r="AC613" s="2"/>
      <c r="AD613" s="2"/>
      <c r="AE613" s="4"/>
    </row>
    <row r="614" spans="2:31" ht="15.75" customHeight="1"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AB614" s="2"/>
      <c r="AC614" s="2"/>
      <c r="AD614" s="2"/>
      <c r="AE614" s="4"/>
    </row>
    <row r="615" spans="2:31" ht="15.75" customHeight="1"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AB615" s="2"/>
      <c r="AC615" s="2"/>
      <c r="AD615" s="2"/>
      <c r="AE615" s="4"/>
    </row>
    <row r="616" spans="2:31" ht="15.75" customHeight="1"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AB616" s="2"/>
      <c r="AC616" s="2"/>
      <c r="AD616" s="2"/>
      <c r="AE616" s="4"/>
    </row>
    <row r="617" spans="2:31" ht="15.75" customHeight="1"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AB617" s="2"/>
      <c r="AC617" s="2"/>
      <c r="AD617" s="2"/>
      <c r="AE617" s="4"/>
    </row>
    <row r="618" spans="2:31" ht="15.75" customHeight="1"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AB618" s="2"/>
      <c r="AC618" s="2"/>
      <c r="AD618" s="2"/>
      <c r="AE618" s="4"/>
    </row>
    <row r="619" spans="2:31" ht="15.75" customHeight="1"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AB619" s="2"/>
      <c r="AC619" s="2"/>
      <c r="AD619" s="2"/>
      <c r="AE619" s="4"/>
    </row>
    <row r="620" spans="2:31" ht="15.75" customHeight="1"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AB620" s="2"/>
      <c r="AC620" s="2"/>
      <c r="AD620" s="2"/>
      <c r="AE620" s="4"/>
    </row>
    <row r="621" spans="2:31" ht="15.75" customHeight="1"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AB621" s="2"/>
      <c r="AC621" s="2"/>
      <c r="AD621" s="2"/>
      <c r="AE621" s="4"/>
    </row>
    <row r="622" spans="2:31" ht="15.75" customHeight="1"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AB622" s="2"/>
      <c r="AC622" s="2"/>
      <c r="AD622" s="2"/>
      <c r="AE622" s="4"/>
    </row>
    <row r="623" spans="2:31" ht="15.75" customHeight="1"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AB623" s="2"/>
      <c r="AC623" s="2"/>
      <c r="AD623" s="2"/>
      <c r="AE623" s="4"/>
    </row>
    <row r="624" spans="2:31" ht="15.75" customHeight="1"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AB624" s="2"/>
      <c r="AC624" s="2"/>
      <c r="AD624" s="2"/>
      <c r="AE624" s="4"/>
    </row>
    <row r="625" spans="2:31" ht="15.75" customHeight="1"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AB625" s="2"/>
      <c r="AC625" s="2"/>
      <c r="AD625" s="2"/>
      <c r="AE625" s="4"/>
    </row>
    <row r="626" spans="2:31" ht="15.75" customHeight="1"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AB626" s="2"/>
      <c r="AC626" s="2"/>
      <c r="AD626" s="2"/>
      <c r="AE626" s="4"/>
    </row>
    <row r="627" spans="2:31" ht="15.75" customHeight="1"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AB627" s="2"/>
      <c r="AC627" s="2"/>
      <c r="AD627" s="2"/>
      <c r="AE627" s="4"/>
    </row>
    <row r="628" spans="2:31" ht="15.75" customHeight="1"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AB628" s="2"/>
      <c r="AC628" s="2"/>
      <c r="AD628" s="2"/>
      <c r="AE628" s="4"/>
    </row>
    <row r="629" spans="2:31" ht="15.75" customHeight="1"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AB629" s="2"/>
      <c r="AC629" s="2"/>
      <c r="AD629" s="2"/>
      <c r="AE629" s="4"/>
    </row>
    <row r="630" spans="2:31" ht="15.75" customHeight="1"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AB630" s="2"/>
      <c r="AC630" s="2"/>
      <c r="AD630" s="2"/>
      <c r="AE630" s="4"/>
    </row>
    <row r="631" spans="2:31" ht="15.75" customHeight="1"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AB631" s="2"/>
      <c r="AC631" s="2"/>
      <c r="AD631" s="2"/>
      <c r="AE631" s="4"/>
    </row>
    <row r="632" spans="2:31" ht="15.75" customHeight="1"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AB632" s="2"/>
      <c r="AC632" s="2"/>
      <c r="AD632" s="2"/>
      <c r="AE632" s="4"/>
    </row>
    <row r="633" spans="2:31" ht="15.75" customHeight="1"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AB633" s="2"/>
      <c r="AC633" s="2"/>
      <c r="AD633" s="2"/>
      <c r="AE633" s="4"/>
    </row>
    <row r="634" spans="2:31" ht="15.75" customHeight="1"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AB634" s="2"/>
      <c r="AC634" s="2"/>
      <c r="AD634" s="2"/>
      <c r="AE634" s="4"/>
    </row>
    <row r="635" spans="2:31" ht="15.75" customHeight="1"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AB635" s="2"/>
      <c r="AC635" s="2"/>
      <c r="AD635" s="2"/>
      <c r="AE635" s="4"/>
    </row>
    <row r="636" spans="2:31" ht="15.75" customHeight="1"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AB636" s="2"/>
      <c r="AC636" s="2"/>
      <c r="AD636" s="2"/>
      <c r="AE636" s="4"/>
    </row>
    <row r="637" spans="2:31" ht="15.75" customHeight="1"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AB637" s="2"/>
      <c r="AC637" s="2"/>
      <c r="AD637" s="2"/>
      <c r="AE637" s="4"/>
    </row>
    <row r="638" spans="2:31" ht="15.75" customHeight="1"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AB638" s="2"/>
      <c r="AC638" s="2"/>
      <c r="AD638" s="2"/>
      <c r="AE638" s="4"/>
    </row>
    <row r="639" spans="2:31" ht="15.75" customHeight="1"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AB639" s="2"/>
      <c r="AC639" s="2"/>
      <c r="AD639" s="2"/>
      <c r="AE639" s="4"/>
    </row>
    <row r="640" spans="2:31" ht="15.75" customHeight="1"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AB640" s="2"/>
      <c r="AC640" s="2"/>
      <c r="AD640" s="2"/>
      <c r="AE640" s="4"/>
    </row>
    <row r="641" spans="2:31" ht="15.75" customHeight="1"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AB641" s="2"/>
      <c r="AC641" s="2"/>
      <c r="AD641" s="2"/>
      <c r="AE641" s="4"/>
    </row>
    <row r="642" spans="2:31" ht="15.75" customHeight="1"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AB642" s="2"/>
      <c r="AC642" s="2"/>
      <c r="AD642" s="2"/>
      <c r="AE642" s="4"/>
    </row>
    <row r="643" spans="2:31" ht="15.75" customHeight="1"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AB643" s="2"/>
      <c r="AC643" s="2"/>
      <c r="AD643" s="2"/>
      <c r="AE643" s="4"/>
    </row>
    <row r="644" spans="2:31" ht="15.75" customHeight="1"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AB644" s="2"/>
      <c r="AC644" s="2"/>
      <c r="AD644" s="2"/>
      <c r="AE644" s="4"/>
    </row>
    <row r="645" spans="2:31" ht="15.75" customHeight="1"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AB645" s="2"/>
      <c r="AC645" s="2"/>
      <c r="AD645" s="2"/>
      <c r="AE645" s="4"/>
    </row>
    <row r="646" spans="2:31" ht="15.75" customHeight="1"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AB646" s="2"/>
      <c r="AC646" s="2"/>
      <c r="AD646" s="2"/>
      <c r="AE646" s="4"/>
    </row>
    <row r="647" spans="2:31" ht="15.75" customHeight="1"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AB647" s="2"/>
      <c r="AC647" s="2"/>
      <c r="AD647" s="2"/>
      <c r="AE647" s="4"/>
    </row>
    <row r="648" spans="2:31" ht="15.75" customHeight="1"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AB648" s="2"/>
      <c r="AC648" s="2"/>
      <c r="AD648" s="2"/>
      <c r="AE648" s="4"/>
    </row>
    <row r="649" spans="2:31" ht="15.75" customHeight="1"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AB649" s="2"/>
      <c r="AC649" s="2"/>
      <c r="AD649" s="2"/>
      <c r="AE649" s="4"/>
    </row>
    <row r="650" spans="2:31" ht="15.75" customHeight="1"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AB650" s="2"/>
      <c r="AC650" s="2"/>
      <c r="AD650" s="2"/>
      <c r="AE650" s="4"/>
    </row>
    <row r="651" spans="2:31" ht="15.75" customHeight="1"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AB651" s="2"/>
      <c r="AC651" s="2"/>
      <c r="AD651" s="2"/>
      <c r="AE651" s="4"/>
    </row>
    <row r="652" spans="2:31" ht="15.75" customHeight="1"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AB652" s="2"/>
      <c r="AC652" s="2"/>
      <c r="AD652" s="2"/>
      <c r="AE652" s="4"/>
    </row>
    <row r="653" spans="2:31" ht="15.75" customHeight="1"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AB653" s="2"/>
      <c r="AC653" s="2"/>
      <c r="AD653" s="2"/>
      <c r="AE653" s="4"/>
    </row>
    <row r="654" spans="2:31" ht="15.75" customHeight="1"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AB654" s="2"/>
      <c r="AC654" s="2"/>
      <c r="AD654" s="2"/>
      <c r="AE654" s="4"/>
    </row>
    <row r="655" spans="2:31" ht="15.75" customHeight="1"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AB655" s="2"/>
      <c r="AC655" s="2"/>
      <c r="AD655" s="2"/>
      <c r="AE655" s="4"/>
    </row>
    <row r="656" spans="2:31" ht="15.75" customHeight="1"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AB656" s="2"/>
      <c r="AC656" s="2"/>
      <c r="AD656" s="2"/>
      <c r="AE656" s="4"/>
    </row>
    <row r="657" spans="2:31" ht="15.75" customHeight="1"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AB657" s="2"/>
      <c r="AC657" s="2"/>
      <c r="AD657" s="2"/>
      <c r="AE657" s="4"/>
    </row>
    <row r="658" spans="2:31" ht="15.75" customHeight="1"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AB658" s="2"/>
      <c r="AC658" s="2"/>
      <c r="AD658" s="2"/>
      <c r="AE658" s="4"/>
    </row>
    <row r="659" spans="2:31" ht="15.75" customHeight="1"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AB659" s="2"/>
      <c r="AC659" s="2"/>
      <c r="AD659" s="2"/>
      <c r="AE659" s="4"/>
    </row>
    <row r="660" spans="2:31" ht="15.75" customHeight="1"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AB660" s="2"/>
      <c r="AC660" s="2"/>
      <c r="AD660" s="2"/>
      <c r="AE660" s="4"/>
    </row>
    <row r="661" spans="2:31" ht="15.75" customHeight="1"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AB661" s="2"/>
      <c r="AC661" s="2"/>
      <c r="AD661" s="2"/>
      <c r="AE661" s="4"/>
    </row>
    <row r="662" spans="2:31" ht="15.75" customHeight="1"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AB662" s="2"/>
      <c r="AC662" s="2"/>
      <c r="AD662" s="2"/>
      <c r="AE662" s="4"/>
    </row>
    <row r="663" spans="2:31" ht="15.75" customHeight="1"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AB663" s="2"/>
      <c r="AC663" s="2"/>
      <c r="AD663" s="2"/>
      <c r="AE663" s="4"/>
    </row>
    <row r="664" spans="2:31" ht="15.75" customHeight="1"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AB664" s="2"/>
      <c r="AC664" s="2"/>
      <c r="AD664" s="2"/>
      <c r="AE664" s="4"/>
    </row>
    <row r="665" spans="2:31" ht="15.75" customHeight="1"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AB665" s="2"/>
      <c r="AC665" s="2"/>
      <c r="AD665" s="2"/>
      <c r="AE665" s="4"/>
    </row>
    <row r="666" spans="2:31" ht="15.75" customHeight="1"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AB666" s="2"/>
      <c r="AC666" s="2"/>
      <c r="AD666" s="2"/>
      <c r="AE666" s="4"/>
    </row>
    <row r="667" spans="2:31" ht="15.75" customHeight="1"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AB667" s="2"/>
      <c r="AC667" s="2"/>
      <c r="AD667" s="2"/>
      <c r="AE667" s="4"/>
    </row>
    <row r="668" spans="2:31" ht="15.75" customHeight="1"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AB668" s="2"/>
      <c r="AC668" s="2"/>
      <c r="AD668" s="2"/>
      <c r="AE668" s="4"/>
    </row>
    <row r="669" spans="2:31" ht="15.75" customHeight="1"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AB669" s="2"/>
      <c r="AC669" s="2"/>
      <c r="AD669" s="2"/>
      <c r="AE669" s="4"/>
    </row>
    <row r="670" spans="2:31" ht="15.75" customHeight="1"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AB670" s="2"/>
      <c r="AC670" s="2"/>
      <c r="AD670" s="2"/>
      <c r="AE670" s="4"/>
    </row>
    <row r="671" spans="2:31" ht="15.75" customHeight="1"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AB671" s="2"/>
      <c r="AC671" s="2"/>
      <c r="AD671" s="2"/>
      <c r="AE671" s="4"/>
    </row>
    <row r="672" spans="2:31" ht="15.75" customHeight="1"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AB672" s="2"/>
      <c r="AC672" s="2"/>
      <c r="AD672" s="2"/>
      <c r="AE672" s="4"/>
    </row>
    <row r="673" spans="2:31" ht="15.75" customHeight="1"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AB673" s="2"/>
      <c r="AC673" s="2"/>
      <c r="AD673" s="2"/>
      <c r="AE673" s="4"/>
    </row>
    <row r="674" spans="2:31" ht="15.75" customHeight="1"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AB674" s="2"/>
      <c r="AC674" s="2"/>
      <c r="AD674" s="2"/>
      <c r="AE674" s="4"/>
    </row>
    <row r="675" spans="2:31" ht="15.75" customHeight="1"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AB675" s="2"/>
      <c r="AC675" s="2"/>
      <c r="AD675" s="2"/>
      <c r="AE675" s="4"/>
    </row>
    <row r="676" spans="2:31" ht="15.75" customHeight="1"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AB676" s="2"/>
      <c r="AC676" s="2"/>
      <c r="AD676" s="2"/>
      <c r="AE676" s="4"/>
    </row>
    <row r="677" spans="2:31" ht="15.75" customHeight="1"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AB677" s="2"/>
      <c r="AC677" s="2"/>
      <c r="AD677" s="2"/>
      <c r="AE677" s="4"/>
    </row>
    <row r="678" spans="2:31" ht="15.75" customHeight="1"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AB678" s="2"/>
      <c r="AC678" s="2"/>
      <c r="AD678" s="2"/>
      <c r="AE678" s="4"/>
    </row>
    <row r="679" spans="2:31" ht="15.75" customHeight="1"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AB679" s="2"/>
      <c r="AC679" s="2"/>
      <c r="AD679" s="2"/>
      <c r="AE679" s="4"/>
    </row>
    <row r="680" spans="2:31" ht="15.75" customHeight="1"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AB680" s="2"/>
      <c r="AC680" s="2"/>
      <c r="AD680" s="2"/>
      <c r="AE680" s="4"/>
    </row>
    <row r="681" spans="2:31" ht="15.75" customHeight="1"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AB681" s="2"/>
      <c r="AC681" s="2"/>
      <c r="AD681" s="2"/>
      <c r="AE681" s="4"/>
    </row>
    <row r="682" spans="2:31" ht="15.75" customHeight="1"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AB682" s="2"/>
      <c r="AC682" s="2"/>
      <c r="AD682" s="2"/>
      <c r="AE682" s="4"/>
    </row>
    <row r="683" spans="2:31" ht="15.75" customHeight="1"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AB683" s="2"/>
      <c r="AC683" s="2"/>
      <c r="AD683" s="2"/>
      <c r="AE683" s="4"/>
    </row>
    <row r="684" spans="2:31" ht="15.75" customHeight="1"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AB684" s="2"/>
      <c r="AC684" s="2"/>
      <c r="AD684" s="2"/>
      <c r="AE684" s="4"/>
    </row>
    <row r="685" spans="2:31" ht="15.75" customHeight="1"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AB685" s="2"/>
      <c r="AC685" s="2"/>
      <c r="AD685" s="2"/>
      <c r="AE685" s="4"/>
    </row>
    <row r="686" spans="2:31" ht="15.75" customHeight="1"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AB686" s="2"/>
      <c r="AC686" s="2"/>
      <c r="AD686" s="2"/>
      <c r="AE686" s="4"/>
    </row>
    <row r="687" spans="2:31" ht="15.75" customHeight="1"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AB687" s="2"/>
      <c r="AC687" s="2"/>
      <c r="AD687" s="2"/>
      <c r="AE687" s="4"/>
    </row>
    <row r="688" spans="2:31" ht="15.75" customHeight="1"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AB688" s="2"/>
      <c r="AC688" s="2"/>
      <c r="AD688" s="2"/>
      <c r="AE688" s="4"/>
    </row>
    <row r="689" spans="2:31" ht="15.75" customHeight="1"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AB689" s="2"/>
      <c r="AC689" s="2"/>
      <c r="AD689" s="2"/>
      <c r="AE689" s="4"/>
    </row>
    <row r="690" spans="2:31" ht="15.75" customHeight="1"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AB690" s="2"/>
      <c r="AC690" s="2"/>
      <c r="AD690" s="2"/>
      <c r="AE690" s="4"/>
    </row>
    <row r="691" spans="2:31" ht="15.75" customHeight="1"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AB691" s="2"/>
      <c r="AC691" s="2"/>
      <c r="AD691" s="2"/>
      <c r="AE691" s="4"/>
    </row>
    <row r="692" spans="2:31" ht="15.75" customHeight="1"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AB692" s="2"/>
      <c r="AC692" s="2"/>
      <c r="AD692" s="2"/>
      <c r="AE692" s="4"/>
    </row>
    <row r="693" spans="2:31" ht="15.75" customHeight="1"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AB693" s="2"/>
      <c r="AC693" s="2"/>
      <c r="AD693" s="2"/>
      <c r="AE693" s="4"/>
    </row>
    <row r="694" spans="2:31" ht="15.75" customHeight="1"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AB694" s="2"/>
      <c r="AC694" s="2"/>
      <c r="AD694" s="2"/>
      <c r="AE694" s="4"/>
    </row>
    <row r="695" spans="2:31" ht="15.75" customHeight="1"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AB695" s="2"/>
      <c r="AC695" s="2"/>
      <c r="AD695" s="2"/>
      <c r="AE695" s="4"/>
    </row>
    <row r="696" spans="2:31" ht="15.75" customHeight="1"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AB696" s="2"/>
      <c r="AC696" s="2"/>
      <c r="AD696" s="2"/>
      <c r="AE696" s="4"/>
    </row>
    <row r="697" spans="2:31" ht="15.75" customHeight="1"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AB697" s="2"/>
      <c r="AC697" s="2"/>
      <c r="AD697" s="2"/>
      <c r="AE697" s="4"/>
    </row>
    <row r="698" spans="2:31" ht="15.75" customHeight="1"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AB698" s="2"/>
      <c r="AC698" s="2"/>
      <c r="AD698" s="2"/>
      <c r="AE698" s="4"/>
    </row>
    <row r="699" spans="2:31" ht="15.75" customHeight="1"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AB699" s="2"/>
      <c r="AC699" s="2"/>
      <c r="AD699" s="2"/>
      <c r="AE699" s="4"/>
    </row>
    <row r="700" spans="2:31" ht="15.75" customHeight="1"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AB700" s="2"/>
      <c r="AC700" s="2"/>
      <c r="AD700" s="2"/>
      <c r="AE700" s="4"/>
    </row>
    <row r="701" spans="2:31" ht="15.75" customHeight="1"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AB701" s="2"/>
      <c r="AC701" s="2"/>
      <c r="AD701" s="2"/>
      <c r="AE701" s="4"/>
    </row>
    <row r="702" spans="2:31" ht="15.75" customHeight="1"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AB702" s="2"/>
      <c r="AC702" s="2"/>
      <c r="AD702" s="2"/>
      <c r="AE702" s="4"/>
    </row>
    <row r="703" spans="2:31" ht="15.75" customHeight="1"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AB703" s="2"/>
      <c r="AC703" s="2"/>
      <c r="AD703" s="2"/>
      <c r="AE703" s="4"/>
    </row>
    <row r="704" spans="2:31" ht="15.75" customHeight="1"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AB704" s="2"/>
      <c r="AC704" s="2"/>
      <c r="AD704" s="2"/>
      <c r="AE704" s="4"/>
    </row>
    <row r="705" spans="2:31" ht="15.75" customHeight="1"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AB705" s="2"/>
      <c r="AC705" s="2"/>
      <c r="AD705" s="2"/>
      <c r="AE705" s="4"/>
    </row>
    <row r="706" spans="2:31" ht="15.75" customHeight="1"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AB706" s="2"/>
      <c r="AC706" s="2"/>
      <c r="AD706" s="2"/>
      <c r="AE706" s="4"/>
    </row>
    <row r="707" spans="2:31" ht="15.75" customHeight="1"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AB707" s="2"/>
      <c r="AC707" s="2"/>
      <c r="AD707" s="2"/>
      <c r="AE707" s="4"/>
    </row>
    <row r="708" spans="2:31" ht="15.75" customHeight="1"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AB708" s="2"/>
      <c r="AC708" s="2"/>
      <c r="AD708" s="2"/>
      <c r="AE708" s="4"/>
    </row>
    <row r="709" spans="2:31" ht="15.75" customHeight="1"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AB709" s="2"/>
      <c r="AC709" s="2"/>
      <c r="AD709" s="2"/>
      <c r="AE709" s="4"/>
    </row>
    <row r="710" spans="2:31" ht="15.75" customHeight="1"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AB710" s="2"/>
      <c r="AC710" s="2"/>
      <c r="AD710" s="2"/>
      <c r="AE710" s="4"/>
    </row>
    <row r="711" spans="2:31" ht="15.75" customHeight="1"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AB711" s="2"/>
      <c r="AC711" s="2"/>
      <c r="AD711" s="2"/>
      <c r="AE711" s="4"/>
    </row>
    <row r="712" spans="2:31" ht="15.75" customHeight="1"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AB712" s="2"/>
      <c r="AC712" s="2"/>
      <c r="AD712" s="2"/>
      <c r="AE712" s="4"/>
    </row>
    <row r="713" spans="2:31" ht="15.75" customHeight="1"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AB713" s="2"/>
      <c r="AC713" s="2"/>
      <c r="AD713" s="2"/>
      <c r="AE713" s="4"/>
    </row>
    <row r="714" spans="2:31" ht="15.75" customHeight="1"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AB714" s="2"/>
      <c r="AC714" s="2"/>
      <c r="AD714" s="2"/>
      <c r="AE714" s="4"/>
    </row>
    <row r="715" spans="2:31" ht="15.75" customHeight="1"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AB715" s="2"/>
      <c r="AC715" s="2"/>
      <c r="AD715" s="2"/>
      <c r="AE715" s="4"/>
    </row>
    <row r="716" spans="2:31" ht="15.75" customHeight="1"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AB716" s="2"/>
      <c r="AC716" s="2"/>
      <c r="AD716" s="2"/>
      <c r="AE716" s="4"/>
    </row>
    <row r="717" spans="2:31" ht="15.75" customHeight="1"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AB717" s="2"/>
      <c r="AC717" s="2"/>
      <c r="AD717" s="2"/>
      <c r="AE717" s="4"/>
    </row>
    <row r="718" spans="2:31" ht="15.75" customHeight="1"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AB718" s="2"/>
      <c r="AC718" s="2"/>
      <c r="AD718" s="2"/>
      <c r="AE718" s="4"/>
    </row>
    <row r="719" spans="2:31" ht="15.75" customHeight="1"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AB719" s="2"/>
      <c r="AC719" s="2"/>
      <c r="AD719" s="2"/>
      <c r="AE719" s="4"/>
    </row>
    <row r="720" spans="2:31" ht="15.75" customHeight="1"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AB720" s="2"/>
      <c r="AC720" s="2"/>
      <c r="AD720" s="2"/>
      <c r="AE720" s="4"/>
    </row>
    <row r="721" spans="2:31" ht="15.75" customHeight="1"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AB721" s="2"/>
      <c r="AC721" s="2"/>
      <c r="AD721" s="2"/>
      <c r="AE721" s="4"/>
    </row>
    <row r="722" spans="2:31" ht="15.75" customHeight="1"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AB722" s="2"/>
      <c r="AC722" s="2"/>
      <c r="AD722" s="2"/>
      <c r="AE722" s="4"/>
    </row>
    <row r="723" spans="2:31" ht="15.75" customHeight="1"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AB723" s="2"/>
      <c r="AC723" s="2"/>
      <c r="AD723" s="2"/>
      <c r="AE723" s="4"/>
    </row>
    <row r="724" spans="2:31" ht="15.75" customHeight="1"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AB724" s="2"/>
      <c r="AC724" s="2"/>
      <c r="AD724" s="2"/>
      <c r="AE724" s="4"/>
    </row>
    <row r="725" spans="2:31" ht="15.75" customHeight="1"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AB725" s="2"/>
      <c r="AC725" s="2"/>
      <c r="AD725" s="2"/>
      <c r="AE725" s="4"/>
    </row>
    <row r="726" spans="2:31" ht="15.75" customHeight="1"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AB726" s="2"/>
      <c r="AC726" s="2"/>
      <c r="AD726" s="2"/>
      <c r="AE726" s="4"/>
    </row>
    <row r="727" spans="2:31" ht="15.75" customHeight="1"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AB727" s="2"/>
      <c r="AC727" s="2"/>
      <c r="AD727" s="2"/>
      <c r="AE727" s="4"/>
    </row>
    <row r="728" spans="2:31" ht="15.75" customHeight="1"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AB728" s="2"/>
      <c r="AC728" s="2"/>
      <c r="AD728" s="2"/>
      <c r="AE728" s="4"/>
    </row>
    <row r="729" spans="2:31" ht="15.75" customHeight="1"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AB729" s="2"/>
      <c r="AC729" s="2"/>
      <c r="AD729" s="2"/>
      <c r="AE729" s="4"/>
    </row>
    <row r="730" spans="2:31" ht="15.75" customHeight="1"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AB730" s="2"/>
      <c r="AC730" s="2"/>
      <c r="AD730" s="2"/>
      <c r="AE730" s="4"/>
    </row>
    <row r="731" spans="2:31" ht="15.75" customHeight="1"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AB731" s="2"/>
      <c r="AC731" s="2"/>
      <c r="AD731" s="2"/>
      <c r="AE731" s="4"/>
    </row>
    <row r="732" spans="2:31" ht="15.75" customHeight="1"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AB732" s="2"/>
      <c r="AC732" s="2"/>
      <c r="AD732" s="2"/>
      <c r="AE732" s="4"/>
    </row>
    <row r="733" spans="2:31" ht="15.75" customHeight="1"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AB733" s="2"/>
      <c r="AC733" s="2"/>
      <c r="AD733" s="2"/>
      <c r="AE733" s="4"/>
    </row>
    <row r="734" spans="2:31" ht="15.75" customHeight="1"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AB734" s="2"/>
      <c r="AC734" s="2"/>
      <c r="AD734" s="2"/>
      <c r="AE734" s="4"/>
    </row>
    <row r="735" spans="2:31" ht="15.75" customHeight="1"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AB735" s="2"/>
      <c r="AC735" s="2"/>
      <c r="AD735" s="2"/>
      <c r="AE735" s="4"/>
    </row>
    <row r="736" spans="2:31" ht="15.75" customHeight="1"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AB736" s="2"/>
      <c r="AC736" s="2"/>
      <c r="AD736" s="2"/>
      <c r="AE736" s="4"/>
    </row>
    <row r="737" spans="2:31" ht="15.75" customHeight="1"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AB737" s="2"/>
      <c r="AC737" s="2"/>
      <c r="AD737" s="2"/>
      <c r="AE737" s="4"/>
    </row>
    <row r="738" spans="2:31" ht="15.75" customHeight="1"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AB738" s="2"/>
      <c r="AC738" s="2"/>
      <c r="AD738" s="2"/>
      <c r="AE738" s="4"/>
    </row>
    <row r="739" spans="2:31" ht="15.75" customHeight="1"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AB739" s="2"/>
      <c r="AC739" s="2"/>
      <c r="AD739" s="2"/>
      <c r="AE739" s="4"/>
    </row>
    <row r="740" spans="2:31" ht="15.75" customHeight="1"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AB740" s="2"/>
      <c r="AC740" s="2"/>
      <c r="AD740" s="2"/>
      <c r="AE740" s="4"/>
    </row>
    <row r="741" spans="2:31" ht="15.75" customHeight="1"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AB741" s="2"/>
      <c r="AC741" s="2"/>
      <c r="AD741" s="2"/>
      <c r="AE741" s="4"/>
    </row>
    <row r="742" spans="2:31" ht="15.75" customHeight="1"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AB742" s="2"/>
      <c r="AC742" s="2"/>
      <c r="AD742" s="2"/>
      <c r="AE742" s="4"/>
    </row>
    <row r="743" spans="2:31" ht="15.75" customHeight="1"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AB743" s="2"/>
      <c r="AC743" s="2"/>
      <c r="AD743" s="2"/>
      <c r="AE743" s="4"/>
    </row>
    <row r="744" spans="2:31" ht="15.75" customHeight="1"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AB744" s="2"/>
      <c r="AC744" s="2"/>
      <c r="AD744" s="2"/>
      <c r="AE744" s="4"/>
    </row>
    <row r="745" spans="2:31" ht="15.75" customHeight="1"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AB745" s="2"/>
      <c r="AC745" s="2"/>
      <c r="AD745" s="2"/>
      <c r="AE745" s="4"/>
    </row>
    <row r="746" spans="2:31" ht="15.75" customHeight="1"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AB746" s="2"/>
      <c r="AC746" s="2"/>
      <c r="AD746" s="2"/>
      <c r="AE746" s="4"/>
    </row>
    <row r="747" spans="2:31" ht="15.75" customHeight="1"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AB747" s="2"/>
      <c r="AC747" s="2"/>
      <c r="AD747" s="2"/>
      <c r="AE747" s="4"/>
    </row>
    <row r="748" spans="2:31" ht="15.75" customHeight="1"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AB748" s="2"/>
      <c r="AC748" s="2"/>
      <c r="AD748" s="2"/>
      <c r="AE748" s="4"/>
    </row>
    <row r="749" spans="2:31" ht="15.75" customHeight="1"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AB749" s="2"/>
      <c r="AC749" s="2"/>
      <c r="AD749" s="2"/>
      <c r="AE749" s="4"/>
    </row>
    <row r="750" spans="2:31" ht="15.75" customHeight="1"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AB750" s="2"/>
      <c r="AC750" s="2"/>
      <c r="AD750" s="2"/>
      <c r="AE750" s="4"/>
    </row>
    <row r="751" spans="2:31" ht="15.75" customHeight="1"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AB751" s="2"/>
      <c r="AC751" s="2"/>
      <c r="AD751" s="2"/>
      <c r="AE751" s="4"/>
    </row>
    <row r="752" spans="2:31" ht="15.75" customHeight="1"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AB752" s="2"/>
      <c r="AC752" s="2"/>
      <c r="AD752" s="2"/>
      <c r="AE752" s="4"/>
    </row>
    <row r="753" spans="2:31" ht="15.75" customHeight="1"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AB753" s="2"/>
      <c r="AC753" s="2"/>
      <c r="AD753" s="2"/>
      <c r="AE753" s="4"/>
    </row>
    <row r="754" spans="2:31" ht="15.75" customHeight="1"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AB754" s="2"/>
      <c r="AC754" s="2"/>
      <c r="AD754" s="2"/>
      <c r="AE754" s="4"/>
    </row>
    <row r="755" spans="2:31" ht="15.75" customHeight="1"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AB755" s="2"/>
      <c r="AC755" s="2"/>
      <c r="AD755" s="2"/>
      <c r="AE755" s="4"/>
    </row>
    <row r="756" spans="2:31" ht="15.75" customHeight="1"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AB756" s="2"/>
      <c r="AC756" s="2"/>
      <c r="AD756" s="2"/>
      <c r="AE756" s="4"/>
    </row>
    <row r="757" spans="2:31" ht="15.75" customHeight="1"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AB757" s="2"/>
      <c r="AC757" s="2"/>
      <c r="AD757" s="2"/>
      <c r="AE757" s="4"/>
    </row>
    <row r="758" spans="2:31" ht="15.75" customHeight="1"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AB758" s="2"/>
      <c r="AC758" s="2"/>
      <c r="AD758" s="2"/>
      <c r="AE758" s="4"/>
    </row>
    <row r="759" spans="2:31" ht="15.75" customHeight="1"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AB759" s="2"/>
      <c r="AC759" s="2"/>
      <c r="AD759" s="2"/>
      <c r="AE759" s="4"/>
    </row>
    <row r="760" spans="2:31" ht="15.75" customHeight="1"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AB760" s="2"/>
      <c r="AC760" s="2"/>
      <c r="AD760" s="2"/>
      <c r="AE760" s="4"/>
    </row>
    <row r="761" spans="2:31" ht="15.75" customHeight="1"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AB761" s="2"/>
      <c r="AC761" s="2"/>
      <c r="AD761" s="2"/>
      <c r="AE761" s="4"/>
    </row>
    <row r="762" spans="2:31" ht="15.75" customHeight="1"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AB762" s="2"/>
      <c r="AC762" s="2"/>
      <c r="AD762" s="2"/>
      <c r="AE762" s="4"/>
    </row>
    <row r="763" spans="2:31" ht="15.75" customHeight="1"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AB763" s="2"/>
      <c r="AC763" s="2"/>
      <c r="AD763" s="2"/>
      <c r="AE763" s="4"/>
    </row>
    <row r="764" spans="2:31" ht="15.75" customHeight="1"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AB764" s="2"/>
      <c r="AC764" s="2"/>
      <c r="AD764" s="2"/>
      <c r="AE764" s="4"/>
    </row>
    <row r="765" spans="2:31" ht="15.75" customHeight="1"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AB765" s="2"/>
      <c r="AC765" s="2"/>
      <c r="AD765" s="2"/>
      <c r="AE765" s="4"/>
    </row>
    <row r="766" spans="2:31" ht="15.75" customHeight="1"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AB766" s="2"/>
      <c r="AC766" s="2"/>
      <c r="AD766" s="2"/>
      <c r="AE766" s="4"/>
    </row>
    <row r="767" spans="2:31" ht="15.75" customHeight="1"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AB767" s="2"/>
      <c r="AC767" s="2"/>
      <c r="AD767" s="2"/>
      <c r="AE767" s="4"/>
    </row>
    <row r="768" spans="2:31" ht="15.75" customHeight="1"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AB768" s="2"/>
      <c r="AC768" s="2"/>
      <c r="AD768" s="2"/>
      <c r="AE768" s="4"/>
    </row>
    <row r="769" spans="2:31" ht="15.75" customHeight="1"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AB769" s="2"/>
      <c r="AC769" s="2"/>
      <c r="AD769" s="2"/>
      <c r="AE769" s="4"/>
    </row>
    <row r="770" spans="2:31" ht="15.75" customHeight="1"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AB770" s="2"/>
      <c r="AC770" s="2"/>
      <c r="AD770" s="2"/>
      <c r="AE770" s="4"/>
    </row>
    <row r="771" spans="2:31" ht="15.75" customHeight="1"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AB771" s="2"/>
      <c r="AC771" s="2"/>
      <c r="AD771" s="2"/>
      <c r="AE771" s="4"/>
    </row>
    <row r="772" spans="2:31" ht="15.75" customHeight="1"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AB772" s="2"/>
      <c r="AC772" s="2"/>
      <c r="AD772" s="2"/>
      <c r="AE772" s="4"/>
    </row>
    <row r="773" spans="2:31" ht="15.75" customHeight="1"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AB773" s="2"/>
      <c r="AC773" s="2"/>
      <c r="AD773" s="2"/>
      <c r="AE773" s="4"/>
    </row>
    <row r="774" spans="2:31" ht="15.75" customHeight="1"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AB774" s="2"/>
      <c r="AC774" s="2"/>
      <c r="AD774" s="2"/>
      <c r="AE774" s="4"/>
    </row>
    <row r="775" spans="2:31" ht="15.75" customHeight="1"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AB775" s="2"/>
      <c r="AC775" s="2"/>
      <c r="AD775" s="2"/>
      <c r="AE775" s="4"/>
    </row>
    <row r="776" spans="2:31" ht="15.75" customHeight="1"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AB776" s="2"/>
      <c r="AC776" s="2"/>
      <c r="AD776" s="2"/>
      <c r="AE776" s="4"/>
    </row>
    <row r="777" spans="2:31" ht="15.75" customHeight="1"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AB777" s="2"/>
      <c r="AC777" s="2"/>
      <c r="AD777" s="2"/>
      <c r="AE777" s="4"/>
    </row>
    <row r="778" spans="2:31" ht="15.75" customHeight="1"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AB778" s="2"/>
      <c r="AC778" s="2"/>
      <c r="AD778" s="2"/>
      <c r="AE778" s="4"/>
    </row>
    <row r="779" spans="2:31" ht="15.75" customHeight="1"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AB779" s="2"/>
      <c r="AC779" s="2"/>
      <c r="AD779" s="2"/>
      <c r="AE779" s="4"/>
    </row>
    <row r="780" spans="2:31" ht="15.75" customHeight="1"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AB780" s="2"/>
      <c r="AC780" s="2"/>
      <c r="AD780" s="2"/>
      <c r="AE780" s="4"/>
    </row>
    <row r="781" spans="2:31" ht="15.75" customHeight="1"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AB781" s="2"/>
      <c r="AC781" s="2"/>
      <c r="AD781" s="2"/>
      <c r="AE781" s="4"/>
    </row>
    <row r="782" spans="2:31" ht="15.75" customHeight="1"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AB782" s="2"/>
      <c r="AC782" s="2"/>
      <c r="AD782" s="2"/>
      <c r="AE782" s="4"/>
    </row>
    <row r="783" spans="2:31" ht="15.75" customHeight="1"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AB783" s="2"/>
      <c r="AC783" s="2"/>
      <c r="AD783" s="2"/>
      <c r="AE783" s="4"/>
    </row>
    <row r="784" spans="2:31" ht="15.75" customHeight="1"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AB784" s="2"/>
      <c r="AC784" s="2"/>
      <c r="AD784" s="2"/>
      <c r="AE784" s="4"/>
    </row>
    <row r="785" spans="2:31" ht="15.75" customHeight="1"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AB785" s="2"/>
      <c r="AC785" s="2"/>
      <c r="AD785" s="2"/>
      <c r="AE785" s="4"/>
    </row>
    <row r="786" spans="2:31" ht="15.75" customHeight="1"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AB786" s="2"/>
      <c r="AC786" s="2"/>
      <c r="AD786" s="2"/>
      <c r="AE786" s="4"/>
    </row>
    <row r="787" spans="2:31" ht="15.75" customHeight="1"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AB787" s="2"/>
      <c r="AC787" s="2"/>
      <c r="AD787" s="2"/>
      <c r="AE787" s="4"/>
    </row>
    <row r="788" spans="2:31" ht="15.75" customHeight="1"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AB788" s="2"/>
      <c r="AC788" s="2"/>
      <c r="AD788" s="2"/>
      <c r="AE788" s="4"/>
    </row>
    <row r="789" spans="2:31" ht="15.75" customHeight="1"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AB789" s="2"/>
      <c r="AC789" s="2"/>
      <c r="AD789" s="2"/>
      <c r="AE789" s="4"/>
    </row>
    <row r="790" spans="2:31" ht="15.75" customHeight="1"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AB790" s="2"/>
      <c r="AC790" s="2"/>
      <c r="AD790" s="2"/>
      <c r="AE790" s="4"/>
    </row>
    <row r="791" spans="2:31" ht="15.75" customHeight="1"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AB791" s="2"/>
      <c r="AC791" s="2"/>
      <c r="AD791" s="2"/>
      <c r="AE791" s="4"/>
    </row>
    <row r="792" spans="2:31" ht="15.75" customHeight="1"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AB792" s="2"/>
      <c r="AC792" s="2"/>
      <c r="AD792" s="2"/>
      <c r="AE792" s="4"/>
    </row>
    <row r="793" spans="2:31" ht="15.75" customHeight="1"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AB793" s="2"/>
      <c r="AC793" s="2"/>
      <c r="AD793" s="2"/>
      <c r="AE793" s="4"/>
    </row>
    <row r="794" spans="2:31" ht="15.75" customHeight="1"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AB794" s="2"/>
      <c r="AC794" s="2"/>
      <c r="AD794" s="2"/>
      <c r="AE794" s="4"/>
    </row>
    <row r="795" spans="2:31" ht="15.75" customHeight="1"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AB795" s="2"/>
      <c r="AC795" s="2"/>
      <c r="AD795" s="2"/>
      <c r="AE795" s="4"/>
    </row>
    <row r="796" spans="2:31" ht="15.75" customHeight="1"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AB796" s="2"/>
      <c r="AC796" s="2"/>
      <c r="AD796" s="2"/>
      <c r="AE796" s="4"/>
    </row>
    <row r="797" spans="2:31" ht="15.75" customHeight="1"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AB797" s="2"/>
      <c r="AC797" s="2"/>
      <c r="AD797" s="2"/>
      <c r="AE797" s="4"/>
    </row>
    <row r="798" spans="2:31" ht="15.75" customHeight="1"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AB798" s="2"/>
      <c r="AC798" s="2"/>
      <c r="AD798" s="2"/>
      <c r="AE798" s="4"/>
    </row>
    <row r="799" spans="2:31" ht="15.75" customHeight="1"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AB799" s="2"/>
      <c r="AC799" s="2"/>
      <c r="AD799" s="2"/>
      <c r="AE799" s="4"/>
    </row>
    <row r="800" spans="2:31" ht="15.75" customHeight="1"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AB800" s="2"/>
      <c r="AC800" s="2"/>
      <c r="AD800" s="2"/>
      <c r="AE800" s="4"/>
    </row>
    <row r="801" spans="2:31" ht="15.75" customHeight="1"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AB801" s="2"/>
      <c r="AC801" s="2"/>
      <c r="AD801" s="2"/>
      <c r="AE801" s="4"/>
    </row>
    <row r="802" spans="2:31" ht="15.75" customHeight="1"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AB802" s="2"/>
      <c r="AC802" s="2"/>
      <c r="AD802" s="2"/>
      <c r="AE802" s="4"/>
    </row>
    <row r="803" spans="2:31" ht="15.75" customHeight="1"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AB803" s="2"/>
      <c r="AC803" s="2"/>
      <c r="AD803" s="2"/>
      <c r="AE803" s="4"/>
    </row>
    <row r="804" spans="2:31" ht="15.75" customHeight="1"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AB804" s="2"/>
      <c r="AC804" s="2"/>
      <c r="AD804" s="2"/>
      <c r="AE804" s="4"/>
    </row>
    <row r="805" spans="2:31" ht="15.75" customHeight="1"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AB805" s="2"/>
      <c r="AC805" s="2"/>
      <c r="AD805" s="2"/>
      <c r="AE805" s="4"/>
    </row>
    <row r="806" spans="2:31" ht="15.75" customHeight="1"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AB806" s="2"/>
      <c r="AC806" s="2"/>
      <c r="AD806" s="2"/>
      <c r="AE806" s="4"/>
    </row>
    <row r="807" spans="2:31" ht="15.75" customHeight="1"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AB807" s="2"/>
      <c r="AC807" s="2"/>
      <c r="AD807" s="2"/>
      <c r="AE807" s="4"/>
    </row>
    <row r="808" spans="2:31" ht="15.75" customHeight="1"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AB808" s="2"/>
      <c r="AC808" s="2"/>
      <c r="AD808" s="2"/>
      <c r="AE808" s="4"/>
    </row>
    <row r="809" spans="2:31" ht="15.75" customHeight="1"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AB809" s="2"/>
      <c r="AC809" s="2"/>
      <c r="AD809" s="2"/>
      <c r="AE809" s="4"/>
    </row>
    <row r="810" spans="2:31" ht="15.75" customHeight="1"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AB810" s="2"/>
      <c r="AC810" s="2"/>
      <c r="AD810" s="2"/>
      <c r="AE810" s="4"/>
    </row>
    <row r="811" spans="2:31" ht="15.75" customHeight="1"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AB811" s="2"/>
      <c r="AC811" s="2"/>
      <c r="AD811" s="2"/>
      <c r="AE811" s="4"/>
    </row>
    <row r="812" spans="2:31" ht="15.75" customHeight="1"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AB812" s="2"/>
      <c r="AC812" s="2"/>
      <c r="AD812" s="2"/>
      <c r="AE812" s="4"/>
    </row>
    <row r="813" spans="2:31" ht="15.75" customHeight="1"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AB813" s="2"/>
      <c r="AC813" s="2"/>
      <c r="AD813" s="2"/>
      <c r="AE813" s="4"/>
    </row>
    <row r="814" spans="2:31" ht="15.75" customHeight="1"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AB814" s="2"/>
      <c r="AC814" s="2"/>
      <c r="AD814" s="2"/>
      <c r="AE814" s="4"/>
    </row>
    <row r="815" spans="2:31" ht="15.75" customHeight="1"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AB815" s="2"/>
      <c r="AC815" s="2"/>
      <c r="AD815" s="2"/>
      <c r="AE815" s="4"/>
    </row>
    <row r="816" spans="2:31" ht="15.75" customHeight="1"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AB816" s="2"/>
      <c r="AC816" s="2"/>
      <c r="AD816" s="2"/>
      <c r="AE816" s="4"/>
    </row>
    <row r="817" spans="2:31" ht="15.75" customHeight="1"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AB817" s="2"/>
      <c r="AC817" s="2"/>
      <c r="AD817" s="2"/>
      <c r="AE817" s="4"/>
    </row>
    <row r="818" spans="2:31" ht="15.75" customHeight="1"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AB818" s="2"/>
      <c r="AC818" s="2"/>
      <c r="AD818" s="2"/>
      <c r="AE818" s="4"/>
    </row>
    <row r="819" spans="2:31" ht="15.75" customHeight="1"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AB819" s="2"/>
      <c r="AC819" s="2"/>
      <c r="AD819" s="2"/>
      <c r="AE819" s="4"/>
    </row>
    <row r="820" spans="2:31" ht="15.75" customHeight="1"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AB820" s="2"/>
      <c r="AC820" s="2"/>
      <c r="AD820" s="2"/>
      <c r="AE820" s="4"/>
    </row>
    <row r="821" spans="2:31" ht="15.75" customHeight="1"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AB821" s="2"/>
      <c r="AC821" s="2"/>
      <c r="AD821" s="2"/>
      <c r="AE821" s="4"/>
    </row>
    <row r="822" spans="2:31" ht="15.75" customHeight="1"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AB822" s="2"/>
      <c r="AC822" s="2"/>
      <c r="AD822" s="2"/>
      <c r="AE822" s="4"/>
    </row>
    <row r="823" spans="2:31" ht="15.75" customHeight="1"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AB823" s="2"/>
      <c r="AC823" s="2"/>
      <c r="AD823" s="2"/>
      <c r="AE823" s="4"/>
    </row>
    <row r="824" spans="2:31" ht="15.75" customHeight="1"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AB824" s="2"/>
      <c r="AC824" s="2"/>
      <c r="AD824" s="2"/>
      <c r="AE824" s="4"/>
    </row>
    <row r="825" spans="2:31" ht="15.75" customHeight="1"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AB825" s="2"/>
      <c r="AC825" s="2"/>
      <c r="AD825" s="2"/>
      <c r="AE825" s="4"/>
    </row>
    <row r="826" spans="2:31" ht="15.75" customHeight="1"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AB826" s="2"/>
      <c r="AC826" s="2"/>
      <c r="AD826" s="2"/>
      <c r="AE826" s="4"/>
    </row>
    <row r="827" spans="2:31" ht="15.75" customHeight="1"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AB827" s="2"/>
      <c r="AC827" s="2"/>
      <c r="AD827" s="2"/>
      <c r="AE827" s="4"/>
    </row>
    <row r="828" spans="2:31" ht="15.75" customHeight="1"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AB828" s="2"/>
      <c r="AC828" s="2"/>
      <c r="AD828" s="2"/>
      <c r="AE828" s="4"/>
    </row>
    <row r="829" spans="2:31" ht="15.75" customHeight="1"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AB829" s="2"/>
      <c r="AC829" s="2"/>
      <c r="AD829" s="2"/>
      <c r="AE829" s="4"/>
    </row>
    <row r="830" spans="2:31" ht="15.75" customHeight="1"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AB830" s="2"/>
      <c r="AC830" s="2"/>
      <c r="AD830" s="2"/>
      <c r="AE830" s="4"/>
    </row>
    <row r="831" spans="2:31" ht="15.75" customHeight="1"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AB831" s="2"/>
      <c r="AC831" s="2"/>
      <c r="AD831" s="2"/>
      <c r="AE831" s="4"/>
    </row>
    <row r="832" spans="2:31" ht="15.75" customHeight="1"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AB832" s="2"/>
      <c r="AC832" s="2"/>
      <c r="AD832" s="2"/>
      <c r="AE832" s="4"/>
    </row>
    <row r="833" spans="2:31" ht="15.75" customHeight="1"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AB833" s="2"/>
      <c r="AC833" s="2"/>
      <c r="AD833" s="2"/>
      <c r="AE833" s="4"/>
    </row>
    <row r="834" spans="2:31" ht="15.75" customHeight="1"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AB834" s="2"/>
      <c r="AC834" s="2"/>
      <c r="AD834" s="2"/>
      <c r="AE834" s="4"/>
    </row>
    <row r="835" spans="2:31" ht="15.75" customHeight="1"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AB835" s="2"/>
      <c r="AC835" s="2"/>
      <c r="AD835" s="2"/>
      <c r="AE835" s="4"/>
    </row>
    <row r="836" spans="2:31" ht="15.75" customHeight="1"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AB836" s="2"/>
      <c r="AC836" s="2"/>
      <c r="AD836" s="2"/>
      <c r="AE836" s="4"/>
    </row>
    <row r="837" spans="2:31" ht="15.75" customHeight="1"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AB837" s="2"/>
      <c r="AC837" s="2"/>
      <c r="AD837" s="2"/>
      <c r="AE837" s="4"/>
    </row>
    <row r="838" spans="2:31" ht="15.75" customHeight="1"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AB838" s="2"/>
      <c r="AC838" s="2"/>
      <c r="AD838" s="2"/>
      <c r="AE838" s="4"/>
    </row>
    <row r="839" spans="2:31" ht="15.75" customHeight="1"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AB839" s="2"/>
      <c r="AC839" s="2"/>
      <c r="AD839" s="2"/>
      <c r="AE839" s="4"/>
    </row>
    <row r="840" spans="2:31" ht="15.75" customHeight="1"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AB840" s="2"/>
      <c r="AC840" s="2"/>
      <c r="AD840" s="2"/>
      <c r="AE840" s="4"/>
    </row>
    <row r="841" spans="2:31" ht="15.75" customHeight="1"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AB841" s="2"/>
      <c r="AC841" s="2"/>
      <c r="AD841" s="2"/>
      <c r="AE841" s="4"/>
    </row>
    <row r="842" spans="2:31" ht="15.75" customHeight="1"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AB842" s="2"/>
      <c r="AC842" s="2"/>
      <c r="AD842" s="2"/>
      <c r="AE842" s="4"/>
    </row>
    <row r="843" spans="2:31" ht="15.75" customHeight="1"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AB843" s="2"/>
      <c r="AC843" s="2"/>
      <c r="AD843" s="2"/>
      <c r="AE843" s="4"/>
    </row>
    <row r="844" spans="2:31" ht="15.75" customHeight="1"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AB844" s="2"/>
      <c r="AC844" s="2"/>
      <c r="AD844" s="2"/>
      <c r="AE844" s="4"/>
    </row>
    <row r="845" spans="2:31" ht="15.75" customHeight="1"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AB845" s="2"/>
      <c r="AC845" s="2"/>
      <c r="AD845" s="2"/>
      <c r="AE845" s="4"/>
    </row>
    <row r="846" spans="2:31" ht="15.75" customHeight="1"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AB846" s="2"/>
      <c r="AC846" s="2"/>
      <c r="AD846" s="2"/>
      <c r="AE846" s="4"/>
    </row>
    <row r="847" spans="2:31" ht="15.75" customHeight="1"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AB847" s="2"/>
      <c r="AC847" s="2"/>
      <c r="AD847" s="2"/>
      <c r="AE847" s="4"/>
    </row>
    <row r="848" spans="2:31" ht="15.75" customHeight="1"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AB848" s="2"/>
      <c r="AC848" s="2"/>
      <c r="AD848" s="2"/>
      <c r="AE848" s="4"/>
    </row>
    <row r="849" spans="2:31" ht="15.75" customHeight="1"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AB849" s="2"/>
      <c r="AC849" s="2"/>
      <c r="AD849" s="2"/>
      <c r="AE849" s="4"/>
    </row>
    <row r="850" spans="2:31" ht="15.75" customHeight="1"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AB850" s="2"/>
      <c r="AC850" s="2"/>
      <c r="AD850" s="2"/>
      <c r="AE850" s="4"/>
    </row>
    <row r="851" spans="2:31" ht="15.75" customHeight="1"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AB851" s="2"/>
      <c r="AC851" s="2"/>
      <c r="AD851" s="2"/>
      <c r="AE851" s="4"/>
    </row>
    <row r="852" spans="2:31" ht="15.75" customHeight="1"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AB852" s="2"/>
      <c r="AC852" s="2"/>
      <c r="AD852" s="2"/>
      <c r="AE852" s="4"/>
    </row>
    <row r="853" spans="2:31" ht="15.75" customHeight="1"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AB853" s="2"/>
      <c r="AC853" s="2"/>
      <c r="AD853" s="2"/>
      <c r="AE853" s="4"/>
    </row>
    <row r="854" spans="2:31" ht="15.75" customHeight="1"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AB854" s="2"/>
      <c r="AC854" s="2"/>
      <c r="AD854" s="2"/>
      <c r="AE854" s="4"/>
    </row>
    <row r="855" spans="2:31" ht="15.75" customHeight="1"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AB855" s="2"/>
      <c r="AC855" s="2"/>
      <c r="AD855" s="2"/>
      <c r="AE855" s="4"/>
    </row>
    <row r="856" spans="2:31" ht="15.75" customHeight="1"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AB856" s="2"/>
      <c r="AC856" s="2"/>
      <c r="AD856" s="2"/>
      <c r="AE856" s="4"/>
    </row>
    <row r="857" spans="2:31" ht="15.75" customHeight="1"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AB857" s="2"/>
      <c r="AC857" s="2"/>
      <c r="AD857" s="2"/>
      <c r="AE857" s="4"/>
    </row>
    <row r="858" spans="2:31" ht="15.75" customHeight="1"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AB858" s="2"/>
      <c r="AC858" s="2"/>
      <c r="AD858" s="2"/>
      <c r="AE858" s="4"/>
    </row>
    <row r="859" spans="2:31" ht="15.75" customHeight="1"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AB859" s="2"/>
      <c r="AC859" s="2"/>
      <c r="AD859" s="2"/>
      <c r="AE859" s="4"/>
    </row>
    <row r="860" spans="2:31" ht="15.75" customHeight="1"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AB860" s="2"/>
      <c r="AC860" s="2"/>
      <c r="AD860" s="2"/>
      <c r="AE860" s="4"/>
    </row>
    <row r="861" spans="2:31" ht="15.75" customHeight="1"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AB861" s="2"/>
      <c r="AC861" s="2"/>
      <c r="AD861" s="2"/>
      <c r="AE861" s="4"/>
    </row>
    <row r="862" spans="2:31" ht="15.75" customHeight="1"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AB862" s="2"/>
      <c r="AC862" s="2"/>
      <c r="AD862" s="2"/>
      <c r="AE862" s="4"/>
    </row>
    <row r="863" spans="2:31" ht="15.75" customHeight="1"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AB863" s="2"/>
      <c r="AC863" s="2"/>
      <c r="AD863" s="2"/>
      <c r="AE863" s="4"/>
    </row>
    <row r="864" spans="2:31" ht="15.75" customHeight="1"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AB864" s="2"/>
      <c r="AC864" s="2"/>
      <c r="AD864" s="2"/>
      <c r="AE864" s="4"/>
    </row>
    <row r="865" spans="2:31" ht="15.75" customHeight="1"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AB865" s="2"/>
      <c r="AC865" s="2"/>
      <c r="AD865" s="2"/>
      <c r="AE865" s="4"/>
    </row>
    <row r="866" spans="2:31" ht="15.75" customHeight="1"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AB866" s="2"/>
      <c r="AC866" s="2"/>
      <c r="AD866" s="2"/>
      <c r="AE866" s="4"/>
    </row>
    <row r="867" spans="2:31" ht="15.75" customHeight="1"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AB867" s="2"/>
      <c r="AC867" s="2"/>
      <c r="AD867" s="2"/>
      <c r="AE867" s="4"/>
    </row>
    <row r="868" spans="2:31" ht="15.75" customHeight="1"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AB868" s="2"/>
      <c r="AC868" s="2"/>
      <c r="AD868" s="2"/>
      <c r="AE868" s="4"/>
    </row>
    <row r="869" spans="2:31" ht="15.75" customHeight="1"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AB869" s="2"/>
      <c r="AC869" s="2"/>
      <c r="AD869" s="2"/>
      <c r="AE869" s="4"/>
    </row>
    <row r="870" spans="2:31" ht="15.75" customHeight="1"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AB870" s="2"/>
      <c r="AC870" s="2"/>
      <c r="AD870" s="2"/>
      <c r="AE870" s="4"/>
    </row>
    <row r="871" spans="2:31" ht="15.75" customHeight="1"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AB871" s="2"/>
      <c r="AC871" s="2"/>
      <c r="AD871" s="2"/>
      <c r="AE871" s="4"/>
    </row>
    <row r="872" spans="2:31" ht="15.75" customHeight="1"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AB872" s="2"/>
      <c r="AC872" s="2"/>
      <c r="AD872" s="2"/>
      <c r="AE872" s="4"/>
    </row>
    <row r="873" spans="2:31" ht="15.75" customHeight="1"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AB873" s="2"/>
      <c r="AC873" s="2"/>
      <c r="AD873" s="2"/>
      <c r="AE873" s="4"/>
    </row>
    <row r="874" spans="2:31" ht="15.75" customHeight="1"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AB874" s="2"/>
      <c r="AC874" s="2"/>
      <c r="AD874" s="2"/>
      <c r="AE874" s="4"/>
    </row>
    <row r="875" spans="2:31" ht="15.75" customHeight="1"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AB875" s="2"/>
      <c r="AC875" s="2"/>
      <c r="AD875" s="2"/>
      <c r="AE875" s="4"/>
    </row>
    <row r="876" spans="2:31" ht="15.75" customHeight="1"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AB876" s="2"/>
      <c r="AC876" s="2"/>
      <c r="AD876" s="2"/>
      <c r="AE876" s="4"/>
    </row>
    <row r="877" spans="2:31" ht="15.75" customHeight="1"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AB877" s="2"/>
      <c r="AC877" s="2"/>
      <c r="AD877" s="2"/>
      <c r="AE877" s="4"/>
    </row>
    <row r="878" spans="2:31" ht="15.75" customHeight="1"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AB878" s="2"/>
      <c r="AC878" s="2"/>
      <c r="AD878" s="2"/>
      <c r="AE878" s="4"/>
    </row>
    <row r="879" spans="2:31" ht="15.75" customHeight="1"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AB879" s="2"/>
      <c r="AC879" s="2"/>
      <c r="AD879" s="2"/>
      <c r="AE879" s="4"/>
    </row>
    <row r="880" spans="2:31" ht="15.75" customHeight="1"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AB880" s="2"/>
      <c r="AC880" s="2"/>
      <c r="AD880" s="2"/>
      <c r="AE880" s="4"/>
    </row>
    <row r="881" spans="2:31" ht="15.75" customHeight="1"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AB881" s="2"/>
      <c r="AC881" s="2"/>
      <c r="AD881" s="2"/>
      <c r="AE881" s="4"/>
    </row>
    <row r="882" spans="2:31" ht="15.75" customHeight="1"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AB882" s="2"/>
      <c r="AC882" s="2"/>
      <c r="AD882" s="2"/>
      <c r="AE882" s="4"/>
    </row>
    <row r="883" spans="2:31" ht="15.75" customHeight="1"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AB883" s="2"/>
      <c r="AC883" s="2"/>
      <c r="AD883" s="2"/>
      <c r="AE883" s="4"/>
    </row>
    <row r="884" spans="2:31" ht="15.75" customHeight="1"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AB884" s="2"/>
      <c r="AC884" s="2"/>
      <c r="AD884" s="2"/>
      <c r="AE884" s="4"/>
    </row>
    <row r="885" spans="2:31" ht="15.75" customHeight="1"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AB885" s="2"/>
      <c r="AC885" s="2"/>
      <c r="AD885" s="2"/>
      <c r="AE885" s="4"/>
    </row>
    <row r="886" spans="2:31" ht="15.75" customHeight="1"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AB886" s="2"/>
      <c r="AC886" s="2"/>
      <c r="AD886" s="2"/>
      <c r="AE886" s="4"/>
    </row>
    <row r="887" spans="2:31" ht="15.75" customHeight="1"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AB887" s="2"/>
      <c r="AC887" s="2"/>
      <c r="AD887" s="2"/>
      <c r="AE887" s="4"/>
    </row>
    <row r="888" spans="2:31" ht="15.75" customHeight="1"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AB888" s="2"/>
      <c r="AC888" s="2"/>
      <c r="AD888" s="2"/>
      <c r="AE888" s="4"/>
    </row>
    <row r="889" spans="2:31" ht="15.75" customHeight="1"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AB889" s="2"/>
      <c r="AC889" s="2"/>
      <c r="AD889" s="2"/>
      <c r="AE889" s="4"/>
    </row>
    <row r="890" spans="2:31" ht="15.75" customHeight="1"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AB890" s="2"/>
      <c r="AC890" s="2"/>
      <c r="AD890" s="2"/>
      <c r="AE890" s="4"/>
    </row>
    <row r="891" spans="2:31" ht="15.75" customHeight="1"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AB891" s="2"/>
      <c r="AC891" s="2"/>
      <c r="AD891" s="2"/>
      <c r="AE891" s="4"/>
    </row>
    <row r="892" spans="2:31" ht="15.75" customHeight="1"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AB892" s="2"/>
      <c r="AC892" s="2"/>
      <c r="AD892" s="2"/>
      <c r="AE892" s="4"/>
    </row>
    <row r="893" spans="2:31" ht="15.75" customHeight="1"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AB893" s="2"/>
      <c r="AC893" s="2"/>
      <c r="AD893" s="2"/>
      <c r="AE893" s="4"/>
    </row>
    <row r="894" spans="2:31" ht="15.75" customHeight="1"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AB894" s="2"/>
      <c r="AC894" s="2"/>
      <c r="AD894" s="2"/>
      <c r="AE894" s="4"/>
    </row>
    <row r="895" spans="2:31" ht="15.75" customHeight="1"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AB895" s="2"/>
      <c r="AC895" s="2"/>
      <c r="AD895" s="2"/>
      <c r="AE895" s="4"/>
    </row>
    <row r="896" spans="2:31" ht="15.75" customHeight="1"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AB896" s="2"/>
      <c r="AC896" s="2"/>
      <c r="AD896" s="2"/>
      <c r="AE896" s="4"/>
    </row>
    <row r="897" spans="2:31" ht="15.75" customHeight="1"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AB897" s="2"/>
      <c r="AC897" s="2"/>
      <c r="AD897" s="2"/>
      <c r="AE897" s="4"/>
    </row>
    <row r="898" spans="2:31" ht="15.75" customHeight="1"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AB898" s="2"/>
      <c r="AC898" s="2"/>
      <c r="AD898" s="2"/>
      <c r="AE898" s="4"/>
    </row>
    <row r="899" spans="2:31" ht="15.75" customHeight="1"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AB899" s="2"/>
      <c r="AC899" s="2"/>
      <c r="AD899" s="2"/>
      <c r="AE899" s="4"/>
    </row>
    <row r="900" spans="2:31" ht="15.75" customHeight="1"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AB900" s="2"/>
      <c r="AC900" s="2"/>
      <c r="AD900" s="2"/>
      <c r="AE900" s="4"/>
    </row>
    <row r="901" spans="2:31" ht="15.75" customHeight="1"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AB901" s="2"/>
      <c r="AC901" s="2"/>
      <c r="AD901" s="2"/>
      <c r="AE901" s="4"/>
    </row>
    <row r="902" spans="2:31" ht="15.75" customHeight="1"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AB902" s="2"/>
      <c r="AC902" s="2"/>
      <c r="AD902" s="2"/>
      <c r="AE902" s="4"/>
    </row>
    <row r="903" spans="2:31" ht="15.75" customHeight="1"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AB903" s="2"/>
      <c r="AC903" s="2"/>
      <c r="AD903" s="2"/>
      <c r="AE903" s="4"/>
    </row>
    <row r="904" spans="2:31" ht="15.75" customHeight="1"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AB904" s="2"/>
      <c r="AC904" s="2"/>
      <c r="AD904" s="2"/>
      <c r="AE904" s="4"/>
    </row>
    <row r="905" spans="2:31" ht="15.75" customHeight="1"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AB905" s="2"/>
      <c r="AC905" s="2"/>
      <c r="AD905" s="2"/>
      <c r="AE905" s="4"/>
    </row>
    <row r="906" spans="2:31" ht="15.75" customHeight="1"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AB906" s="2"/>
      <c r="AC906" s="2"/>
      <c r="AD906" s="2"/>
      <c r="AE906" s="4"/>
    </row>
    <row r="907" spans="2:31" ht="15.75" customHeight="1"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AB907" s="2"/>
      <c r="AC907" s="2"/>
      <c r="AD907" s="2"/>
      <c r="AE907" s="4"/>
    </row>
    <row r="908" spans="2:31" ht="15.75" customHeight="1"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AB908" s="2"/>
      <c r="AC908" s="2"/>
      <c r="AD908" s="2"/>
      <c r="AE908" s="4"/>
    </row>
    <row r="909" spans="2:31" ht="15.75" customHeight="1"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AB909" s="2"/>
      <c r="AC909" s="2"/>
      <c r="AD909" s="2"/>
      <c r="AE909" s="4"/>
    </row>
    <row r="910" spans="2:31" ht="15.75" customHeight="1"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AB910" s="2"/>
      <c r="AC910" s="2"/>
      <c r="AD910" s="2"/>
      <c r="AE910" s="4"/>
    </row>
    <row r="911" spans="2:31" ht="15.75" customHeight="1"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AB911" s="2"/>
      <c r="AC911" s="2"/>
      <c r="AD911" s="2"/>
      <c r="AE911" s="4"/>
    </row>
    <row r="912" spans="2:31" ht="15.75" customHeight="1"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AB912" s="2"/>
      <c r="AC912" s="2"/>
      <c r="AD912" s="2"/>
      <c r="AE912" s="4"/>
    </row>
    <row r="913" spans="2:31" ht="15.75" customHeight="1"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AB913" s="2"/>
      <c r="AC913" s="2"/>
      <c r="AD913" s="2"/>
      <c r="AE913" s="4"/>
    </row>
    <row r="914" spans="2:31" ht="15.75" customHeight="1"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AB914" s="2"/>
      <c r="AC914" s="2"/>
      <c r="AD914" s="2"/>
      <c r="AE914" s="4"/>
    </row>
    <row r="915" spans="2:31" ht="15.75" customHeight="1"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AB915" s="2"/>
      <c r="AC915" s="2"/>
      <c r="AD915" s="2"/>
      <c r="AE915" s="4"/>
    </row>
    <row r="916" spans="2:31" ht="15.75" customHeight="1"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AB916" s="2"/>
      <c r="AC916" s="2"/>
      <c r="AD916" s="2"/>
      <c r="AE916" s="4"/>
    </row>
    <row r="917" spans="2:31" ht="15.75" customHeight="1"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AB917" s="2"/>
      <c r="AC917" s="2"/>
      <c r="AD917" s="2"/>
      <c r="AE917" s="4"/>
    </row>
    <row r="918" spans="2:31" ht="15.75" customHeight="1"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AB918" s="2"/>
      <c r="AC918" s="2"/>
      <c r="AD918" s="2"/>
      <c r="AE918" s="4"/>
    </row>
    <row r="919" spans="2:31" ht="15.75" customHeight="1"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AB919" s="2"/>
      <c r="AC919" s="2"/>
      <c r="AD919" s="2"/>
      <c r="AE919" s="4"/>
    </row>
    <row r="920" spans="2:31" ht="15.75" customHeight="1"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AB920" s="2"/>
      <c r="AC920" s="2"/>
      <c r="AD920" s="2"/>
      <c r="AE920" s="4"/>
    </row>
    <row r="921" spans="2:31" ht="15.75" customHeight="1"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AB921" s="2"/>
      <c r="AC921" s="2"/>
      <c r="AD921" s="2"/>
      <c r="AE921" s="4"/>
    </row>
    <row r="922" spans="2:31" ht="15.75" customHeight="1"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AB922" s="2"/>
      <c r="AC922" s="2"/>
      <c r="AD922" s="2"/>
      <c r="AE922" s="4"/>
    </row>
    <row r="923" spans="2:31" ht="15.75" customHeight="1"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AB923" s="2"/>
      <c r="AC923" s="2"/>
      <c r="AD923" s="2"/>
      <c r="AE923" s="4"/>
    </row>
    <row r="924" spans="2:31" ht="15.75" customHeight="1"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AB924" s="2"/>
      <c r="AC924" s="2"/>
      <c r="AD924" s="2"/>
      <c r="AE924" s="4"/>
    </row>
    <row r="925" spans="2:31" ht="15.75" customHeight="1"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AB925" s="2"/>
      <c r="AC925" s="2"/>
      <c r="AD925" s="2"/>
      <c r="AE925" s="4"/>
    </row>
    <row r="926" spans="2:31" ht="15.75" customHeight="1"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AB926" s="2"/>
      <c r="AC926" s="2"/>
      <c r="AD926" s="2"/>
      <c r="AE926" s="4"/>
    </row>
    <row r="927" spans="2:31" ht="15.75" customHeight="1"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AB927" s="2"/>
      <c r="AC927" s="2"/>
      <c r="AD927" s="2"/>
      <c r="AE927" s="4"/>
    </row>
    <row r="928" spans="2:31" ht="15.75" customHeight="1"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AB928" s="2"/>
      <c r="AC928" s="2"/>
      <c r="AD928" s="2"/>
      <c r="AE928" s="4"/>
    </row>
    <row r="929" spans="2:31" ht="15.75" customHeight="1"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AB929" s="2"/>
      <c r="AC929" s="2"/>
      <c r="AD929" s="2"/>
      <c r="AE929" s="4"/>
    </row>
    <row r="930" spans="2:31" ht="15.75" customHeight="1"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AB930" s="2"/>
      <c r="AC930" s="2"/>
      <c r="AD930" s="2"/>
      <c r="AE930" s="4"/>
    </row>
    <row r="931" spans="2:31" ht="15.75" customHeight="1"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AB931" s="2"/>
      <c r="AC931" s="2"/>
      <c r="AD931" s="2"/>
      <c r="AE931" s="4"/>
    </row>
    <row r="932" spans="2:31" ht="15.75" customHeight="1"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AB932" s="2"/>
      <c r="AC932" s="2"/>
      <c r="AD932" s="2"/>
      <c r="AE932" s="4"/>
    </row>
    <row r="933" spans="2:31" ht="15.75" customHeight="1"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AB933" s="2"/>
      <c r="AC933" s="2"/>
      <c r="AD933" s="2"/>
      <c r="AE933" s="4"/>
    </row>
    <row r="934" spans="2:31" ht="15.75" customHeight="1"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AB934" s="2"/>
      <c r="AC934" s="2"/>
      <c r="AD934" s="2"/>
      <c r="AE934" s="4"/>
    </row>
    <row r="935" spans="2:31" ht="15.75" customHeight="1"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AB935" s="2"/>
      <c r="AC935" s="2"/>
      <c r="AD935" s="2"/>
      <c r="AE935" s="4"/>
    </row>
    <row r="936" spans="2:31" ht="15.75" customHeight="1"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AB936" s="2"/>
      <c r="AC936" s="2"/>
      <c r="AD936" s="2"/>
      <c r="AE936" s="4"/>
    </row>
    <row r="937" spans="2:31" ht="15.75" customHeight="1"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AB937" s="2"/>
      <c r="AC937" s="2"/>
      <c r="AD937" s="2"/>
      <c r="AE937" s="4"/>
    </row>
    <row r="938" spans="2:31" ht="15.75" customHeight="1"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AB938" s="2"/>
      <c r="AC938" s="2"/>
      <c r="AD938" s="2"/>
      <c r="AE938" s="4"/>
    </row>
    <row r="939" spans="2:31" ht="15.75" customHeight="1"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AB939" s="2"/>
      <c r="AC939" s="2"/>
      <c r="AD939" s="2"/>
      <c r="AE939" s="4"/>
    </row>
    <row r="940" spans="2:31" ht="15.75" customHeight="1"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AB940" s="2"/>
      <c r="AC940" s="2"/>
      <c r="AD940" s="2"/>
      <c r="AE940" s="4"/>
    </row>
    <row r="941" spans="2:31" ht="15.75" customHeight="1"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AB941" s="2"/>
      <c r="AC941" s="2"/>
      <c r="AD941" s="2"/>
      <c r="AE941" s="4"/>
    </row>
    <row r="942" spans="2:31" ht="15.75" customHeight="1"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AB942" s="2"/>
      <c r="AC942" s="2"/>
      <c r="AD942" s="2"/>
      <c r="AE942" s="4"/>
    </row>
    <row r="943" spans="2:31" ht="15.75" customHeight="1"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AB943" s="2"/>
      <c r="AC943" s="2"/>
      <c r="AD943" s="2"/>
      <c r="AE943" s="4"/>
    </row>
    <row r="944" spans="2:31" ht="15.75" customHeight="1"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AB944" s="2"/>
      <c r="AC944" s="2"/>
      <c r="AD944" s="2"/>
      <c r="AE944" s="4"/>
    </row>
    <row r="945" spans="2:31" ht="15.75" customHeight="1"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AB945" s="2"/>
      <c r="AC945" s="2"/>
      <c r="AD945" s="2"/>
      <c r="AE945" s="4"/>
    </row>
    <row r="946" spans="2:31" ht="15.75" customHeight="1"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AB946" s="2"/>
      <c r="AC946" s="2"/>
      <c r="AD946" s="2"/>
      <c r="AE946" s="4"/>
    </row>
    <row r="947" spans="2:31" ht="15.75" customHeight="1"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AB947" s="2"/>
      <c r="AC947" s="2"/>
      <c r="AD947" s="2"/>
      <c r="AE947" s="4"/>
    </row>
    <row r="948" spans="2:31" ht="15.75" customHeight="1"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AB948" s="2"/>
      <c r="AC948" s="2"/>
      <c r="AD948" s="2"/>
      <c r="AE948" s="4"/>
    </row>
    <row r="949" spans="2:31" ht="15.75" customHeight="1"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AB949" s="2"/>
      <c r="AC949" s="2"/>
      <c r="AD949" s="2"/>
      <c r="AE949" s="4"/>
    </row>
    <row r="950" spans="2:31" ht="15.75" customHeight="1"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AB950" s="2"/>
      <c r="AC950" s="2"/>
      <c r="AD950" s="2"/>
      <c r="AE950" s="4"/>
    </row>
    <row r="951" spans="2:31" ht="15.75" customHeight="1"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AB951" s="2"/>
      <c r="AC951" s="2"/>
      <c r="AD951" s="2"/>
      <c r="AE951" s="4"/>
    </row>
    <row r="952" spans="2:31" ht="15.75" customHeight="1"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AB952" s="2"/>
      <c r="AC952" s="2"/>
      <c r="AD952" s="2"/>
      <c r="AE952" s="4"/>
    </row>
    <row r="953" spans="2:31" ht="15.75" customHeight="1"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AB953" s="2"/>
      <c r="AC953" s="2"/>
      <c r="AD953" s="2"/>
      <c r="AE953" s="4"/>
    </row>
    <row r="954" spans="2:31" ht="15.75" customHeight="1"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AB954" s="2"/>
      <c r="AC954" s="2"/>
      <c r="AD954" s="2"/>
      <c r="AE954" s="4"/>
    </row>
    <row r="955" spans="2:31" ht="15.75" customHeight="1"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AB955" s="2"/>
      <c r="AC955" s="2"/>
      <c r="AD955" s="2"/>
      <c r="AE955" s="4"/>
    </row>
    <row r="956" spans="2:31" ht="15.75" customHeight="1"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AB956" s="2"/>
      <c r="AC956" s="2"/>
      <c r="AD956" s="2"/>
      <c r="AE956" s="4"/>
    </row>
    <row r="957" spans="2:31" ht="15.75" customHeight="1"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AB957" s="2"/>
      <c r="AC957" s="2"/>
      <c r="AD957" s="2"/>
      <c r="AE957" s="4"/>
    </row>
    <row r="958" spans="2:31" ht="15.75" customHeight="1"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AB958" s="2"/>
      <c r="AC958" s="2"/>
      <c r="AD958" s="2"/>
      <c r="AE958" s="4"/>
    </row>
    <row r="959" spans="2:31" ht="15.75" customHeight="1"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AB959" s="2"/>
      <c r="AC959" s="2"/>
      <c r="AD959" s="2"/>
      <c r="AE959" s="4"/>
    </row>
    <row r="960" spans="2:31" ht="15.75" customHeight="1"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AB960" s="2"/>
      <c r="AC960" s="2"/>
      <c r="AD960" s="2"/>
      <c r="AE960" s="4"/>
    </row>
    <row r="961" spans="2:31" ht="15.75" customHeight="1"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AB961" s="2"/>
      <c r="AC961" s="2"/>
      <c r="AD961" s="2"/>
      <c r="AE961" s="4"/>
    </row>
  </sheetData>
  <mergeCells count="14">
    <mergeCell ref="D9:P9"/>
    <mergeCell ref="Q9:S9"/>
    <mergeCell ref="U9:X9"/>
    <mergeCell ref="D10:G10"/>
    <mergeCell ref="H10:K10"/>
    <mergeCell ref="L10:P10"/>
    <mergeCell ref="Q10:S10"/>
    <mergeCell ref="A1:AZ1"/>
    <mergeCell ref="A2:AZ2"/>
    <mergeCell ref="A3:AZ3"/>
    <mergeCell ref="A4:AZ4"/>
    <mergeCell ref="A5:AZ5"/>
    <mergeCell ref="A6:AZ6"/>
    <mergeCell ref="A7:AZ7"/>
  </mergeCells>
  <conditionalFormatting sqref="X12:AA40 D12:W52 X52:AA52">
    <cfRule type="containsText" dxfId="3" priority="1" operator="containsText" text="A">
      <formula>NOT(ISERROR(SEARCH(("A"),(D12))))</formula>
    </cfRule>
    <cfRule type="containsText" dxfId="2" priority="2" operator="containsText" text="P">
      <formula>NOT(ISERROR(SEARCH(("P"),(D12))))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999"/>
  <sheetViews>
    <sheetView workbookViewId="0">
      <selection sqref="A1:AZ7"/>
    </sheetView>
  </sheetViews>
  <sheetFormatPr defaultColWidth="14.3984375" defaultRowHeight="15" customHeight="1"/>
  <cols>
    <col min="1" max="1" width="8.73046875" customWidth="1"/>
    <col min="2" max="2" width="18.86328125" customWidth="1"/>
    <col min="3" max="3" width="49.73046875" customWidth="1"/>
    <col min="4" max="4" width="4.86328125" customWidth="1"/>
    <col min="5" max="5" width="4.73046875" customWidth="1"/>
    <col min="6" max="6" width="4.86328125" customWidth="1"/>
    <col min="7" max="7" width="5.265625" customWidth="1"/>
    <col min="8" max="11" width="5" customWidth="1"/>
    <col min="12" max="12" width="4.86328125" customWidth="1"/>
    <col min="13" max="15" width="4.3984375" customWidth="1"/>
    <col min="16" max="16" width="4" customWidth="1"/>
    <col min="17" max="19" width="3" customWidth="1"/>
    <col min="20" max="20" width="5.3984375" customWidth="1"/>
    <col min="21" max="21" width="7" customWidth="1"/>
    <col min="22" max="22" width="7.1328125" customWidth="1"/>
    <col min="23" max="23" width="9.1328125" customWidth="1"/>
    <col min="24" max="24" width="14.1328125" customWidth="1"/>
    <col min="25" max="26" width="8.73046875" customWidth="1"/>
  </cols>
  <sheetData>
    <row r="1" spans="1:52" ht="14.25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2"/>
    </row>
    <row r="2" spans="1:52" ht="14.25" customHeight="1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2"/>
    </row>
    <row r="3" spans="1:52" ht="14.25" customHeight="1">
      <c r="A3" s="60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2"/>
    </row>
    <row r="4" spans="1:52" ht="14.25" customHeight="1">
      <c r="A4" s="60" t="s">
        <v>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2"/>
    </row>
    <row r="5" spans="1:52" ht="15" customHeight="1">
      <c r="A5" s="60" t="s">
        <v>183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2"/>
    </row>
    <row r="6" spans="1:52" ht="15" customHeight="1">
      <c r="A6" s="60" t="s">
        <v>5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2"/>
    </row>
    <row r="7" spans="1:52" ht="14.25" customHeight="1">
      <c r="A7" s="60" t="s">
        <v>6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2"/>
    </row>
    <row r="8" spans="1:52" ht="14.25">
      <c r="F8" s="2"/>
      <c r="U8" s="2"/>
      <c r="V8" s="2"/>
      <c r="W8" s="2"/>
      <c r="X8" s="4"/>
    </row>
    <row r="9" spans="1:52" ht="15" customHeight="1">
      <c r="D9" s="51"/>
      <c r="E9" s="49"/>
      <c r="F9" s="49"/>
      <c r="G9" s="50"/>
      <c r="H9" s="51"/>
      <c r="I9" s="49"/>
      <c r="J9" s="49"/>
      <c r="K9" s="49"/>
      <c r="L9" s="50"/>
      <c r="M9" s="56"/>
      <c r="N9" s="49"/>
      <c r="O9" s="49"/>
      <c r="P9" s="49"/>
      <c r="Q9" s="56"/>
      <c r="R9" s="49"/>
      <c r="S9" s="49"/>
      <c r="T9" s="38"/>
      <c r="U9" s="5" t="s">
        <v>12</v>
      </c>
      <c r="V9" s="5" t="s">
        <v>13</v>
      </c>
      <c r="W9" s="5" t="s">
        <v>14</v>
      </c>
      <c r="X9" s="5" t="s">
        <v>15</v>
      </c>
    </row>
    <row r="10" spans="1:52" ht="15" customHeight="1">
      <c r="D10" s="51" t="s">
        <v>8</v>
      </c>
      <c r="E10" s="49"/>
      <c r="F10" s="49"/>
      <c r="G10" s="50"/>
      <c r="H10" s="51" t="s">
        <v>9</v>
      </c>
      <c r="I10" s="49"/>
      <c r="J10" s="49"/>
      <c r="K10" s="49"/>
      <c r="L10" s="50"/>
      <c r="M10" s="51" t="s">
        <v>10</v>
      </c>
      <c r="N10" s="49"/>
      <c r="O10" s="49"/>
      <c r="P10" s="50"/>
      <c r="Q10" s="51" t="s">
        <v>11</v>
      </c>
      <c r="R10" s="49"/>
      <c r="S10" s="50"/>
      <c r="T10" s="5"/>
      <c r="U10" s="5"/>
      <c r="V10" s="5"/>
      <c r="W10" s="5"/>
      <c r="X10" s="5"/>
    </row>
    <row r="11" spans="1:52" ht="14.25">
      <c r="A11" s="7" t="s">
        <v>16</v>
      </c>
      <c r="B11" s="7" t="s">
        <v>179</v>
      </c>
      <c r="C11" s="7" t="s">
        <v>18</v>
      </c>
      <c r="D11" s="7">
        <v>5</v>
      </c>
      <c r="E11" s="7">
        <v>12</v>
      </c>
      <c r="F11" s="8">
        <v>19</v>
      </c>
      <c r="G11" s="7">
        <v>26</v>
      </c>
      <c r="H11" s="7">
        <v>2</v>
      </c>
      <c r="I11" s="7">
        <v>9</v>
      </c>
      <c r="J11" s="7">
        <v>16</v>
      </c>
      <c r="K11" s="7">
        <v>23</v>
      </c>
      <c r="L11" s="7">
        <v>30</v>
      </c>
      <c r="M11" s="7">
        <v>7</v>
      </c>
      <c r="N11" s="7">
        <v>14</v>
      </c>
      <c r="O11" s="7">
        <v>21</v>
      </c>
      <c r="P11" s="7">
        <v>28</v>
      </c>
      <c r="Q11" s="7">
        <v>11</v>
      </c>
      <c r="R11" s="7">
        <v>18</v>
      </c>
      <c r="S11" s="7"/>
      <c r="T11" s="7"/>
      <c r="U11" s="8"/>
      <c r="V11" s="8"/>
      <c r="W11" s="8"/>
      <c r="X11" s="10"/>
    </row>
    <row r="12" spans="1:52" ht="14.25">
      <c r="A12" s="11">
        <v>1</v>
      </c>
      <c r="B12" s="19" t="s">
        <v>101</v>
      </c>
      <c r="C12" s="35" t="s">
        <v>102</v>
      </c>
      <c r="D12" s="11" t="s">
        <v>21</v>
      </c>
      <c r="E12" s="11" t="s">
        <v>21</v>
      </c>
      <c r="F12" s="11" t="s">
        <v>21</v>
      </c>
      <c r="G12" s="11" t="s">
        <v>21</v>
      </c>
      <c r="H12" s="11" t="s">
        <v>21</v>
      </c>
      <c r="I12" s="11" t="s">
        <v>21</v>
      </c>
      <c r="J12" s="11" t="s">
        <v>21</v>
      </c>
      <c r="K12" s="11" t="s">
        <v>21</v>
      </c>
      <c r="L12" s="11" t="s">
        <v>21</v>
      </c>
      <c r="M12" s="11" t="s">
        <v>21</v>
      </c>
      <c r="N12" s="11" t="s">
        <v>21</v>
      </c>
      <c r="O12" s="11" t="s">
        <v>21</v>
      </c>
      <c r="P12" s="11" t="s">
        <v>21</v>
      </c>
      <c r="Q12" s="11" t="s">
        <v>22</v>
      </c>
      <c r="R12" s="16" t="s">
        <v>21</v>
      </c>
      <c r="S12" s="16"/>
      <c r="T12" s="16"/>
      <c r="U12" s="17">
        <f t="shared" ref="U12:U50" si="0">COUNTIF(C12:T12, "*P*")</f>
        <v>14</v>
      </c>
      <c r="V12" s="17">
        <f t="shared" ref="V12:V50" si="1">COUNTIF(C12:T12, "*A*")</f>
        <v>2</v>
      </c>
      <c r="W12" s="17">
        <f t="shared" ref="W12:W50" si="2">SUM(U12,V12)</f>
        <v>16</v>
      </c>
      <c r="X12" s="18">
        <f t="shared" ref="X12:X50" si="3">(U12/W12)*100</f>
        <v>87.5</v>
      </c>
    </row>
    <row r="13" spans="1:52" ht="14.25">
      <c r="A13" s="11">
        <v>2</v>
      </c>
      <c r="B13" s="19" t="s">
        <v>103</v>
      </c>
      <c r="C13" s="35" t="s">
        <v>104</v>
      </c>
      <c r="D13" s="11" t="s">
        <v>21</v>
      </c>
      <c r="E13" s="11" t="s">
        <v>21</v>
      </c>
      <c r="F13" s="11" t="s">
        <v>21</v>
      </c>
      <c r="G13" s="11" t="s">
        <v>21</v>
      </c>
      <c r="H13" s="11" t="s">
        <v>21</v>
      </c>
      <c r="I13" s="11" t="s">
        <v>21</v>
      </c>
      <c r="J13" s="11" t="s">
        <v>21</v>
      </c>
      <c r="K13" s="11" t="s">
        <v>21</v>
      </c>
      <c r="L13" s="14" t="s">
        <v>22</v>
      </c>
      <c r="M13" s="11" t="s">
        <v>21</v>
      </c>
      <c r="N13" s="11" t="s">
        <v>21</v>
      </c>
      <c r="O13" s="11" t="s">
        <v>21</v>
      </c>
      <c r="P13" s="11" t="s">
        <v>21</v>
      </c>
      <c r="Q13" s="21" t="s">
        <v>21</v>
      </c>
      <c r="R13" s="16" t="s">
        <v>21</v>
      </c>
      <c r="S13" s="16"/>
      <c r="T13" s="16"/>
      <c r="U13" s="17">
        <f t="shared" si="0"/>
        <v>14</v>
      </c>
      <c r="V13" s="17">
        <f t="shared" si="1"/>
        <v>2</v>
      </c>
      <c r="W13" s="17">
        <f t="shared" si="2"/>
        <v>16</v>
      </c>
      <c r="X13" s="18">
        <f t="shared" si="3"/>
        <v>87.5</v>
      </c>
    </row>
    <row r="14" spans="1:52" ht="14.25">
      <c r="A14" s="11">
        <v>3</v>
      </c>
      <c r="B14" s="19" t="s">
        <v>105</v>
      </c>
      <c r="C14" s="35" t="s">
        <v>106</v>
      </c>
      <c r="D14" s="11" t="s">
        <v>21</v>
      </c>
      <c r="E14" s="11" t="s">
        <v>21</v>
      </c>
      <c r="F14" s="11" t="s">
        <v>21</v>
      </c>
      <c r="G14" s="14" t="s">
        <v>22</v>
      </c>
      <c r="H14" s="11" t="s">
        <v>21</v>
      </c>
      <c r="I14" s="11" t="s">
        <v>21</v>
      </c>
      <c r="J14" s="11" t="s">
        <v>21</v>
      </c>
      <c r="K14" s="11" t="s">
        <v>21</v>
      </c>
      <c r="L14" s="11" t="s">
        <v>21</v>
      </c>
      <c r="M14" s="11" t="s">
        <v>21</v>
      </c>
      <c r="N14" s="11" t="s">
        <v>21</v>
      </c>
      <c r="O14" s="11" t="s">
        <v>21</v>
      </c>
      <c r="P14" s="11" t="s">
        <v>21</v>
      </c>
      <c r="Q14" s="21" t="s">
        <v>21</v>
      </c>
      <c r="R14" s="16" t="s">
        <v>21</v>
      </c>
      <c r="S14" s="16"/>
      <c r="T14" s="16"/>
      <c r="U14" s="17">
        <f t="shared" si="0"/>
        <v>15</v>
      </c>
      <c r="V14" s="17">
        <f t="shared" si="1"/>
        <v>2</v>
      </c>
      <c r="W14" s="17">
        <f t="shared" si="2"/>
        <v>17</v>
      </c>
      <c r="X14" s="18">
        <f t="shared" si="3"/>
        <v>88.235294117647058</v>
      </c>
    </row>
    <row r="15" spans="1:52" ht="14.25">
      <c r="A15" s="11">
        <v>4</v>
      </c>
      <c r="B15" s="19" t="s">
        <v>107</v>
      </c>
      <c r="C15" s="35" t="s">
        <v>108</v>
      </c>
      <c r="D15" s="11" t="s">
        <v>21</v>
      </c>
      <c r="E15" s="11" t="s">
        <v>21</v>
      </c>
      <c r="F15" s="11" t="s">
        <v>21</v>
      </c>
      <c r="G15" s="11" t="s">
        <v>21</v>
      </c>
      <c r="H15" s="11" t="s">
        <v>21</v>
      </c>
      <c r="I15" s="11" t="s">
        <v>21</v>
      </c>
      <c r="J15" s="14" t="s">
        <v>22</v>
      </c>
      <c r="K15" s="11" t="s">
        <v>21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1" t="s">
        <v>22</v>
      </c>
      <c r="R15" s="16" t="s">
        <v>21</v>
      </c>
      <c r="S15" s="16"/>
      <c r="T15" s="16"/>
      <c r="U15" s="17">
        <f t="shared" si="0"/>
        <v>14</v>
      </c>
      <c r="V15" s="17">
        <f t="shared" si="1"/>
        <v>3</v>
      </c>
      <c r="W15" s="17">
        <f t="shared" si="2"/>
        <v>17</v>
      </c>
      <c r="X15" s="18">
        <f t="shared" si="3"/>
        <v>82.35294117647058</v>
      </c>
    </row>
    <row r="16" spans="1:52" ht="14.25">
      <c r="A16" s="11">
        <v>5</v>
      </c>
      <c r="B16" s="19" t="s">
        <v>109</v>
      </c>
      <c r="C16" s="35" t="s">
        <v>110</v>
      </c>
      <c r="D16" s="11" t="s">
        <v>21</v>
      </c>
      <c r="E16" s="11" t="s">
        <v>21</v>
      </c>
      <c r="F16" s="11" t="s">
        <v>21</v>
      </c>
      <c r="G16" s="11" t="s">
        <v>21</v>
      </c>
      <c r="H16" s="11" t="s">
        <v>21</v>
      </c>
      <c r="I16" s="11" t="s">
        <v>21</v>
      </c>
      <c r="J16" s="11" t="s">
        <v>21</v>
      </c>
      <c r="K16" s="11" t="s">
        <v>21</v>
      </c>
      <c r="L16" s="11" t="s">
        <v>21</v>
      </c>
      <c r="M16" s="11" t="s">
        <v>21</v>
      </c>
      <c r="N16" s="11" t="s">
        <v>21</v>
      </c>
      <c r="O16" s="11" t="s">
        <v>21</v>
      </c>
      <c r="P16" s="11" t="s">
        <v>21</v>
      </c>
      <c r="Q16" s="16" t="s">
        <v>21</v>
      </c>
      <c r="R16" s="21" t="s">
        <v>21</v>
      </c>
      <c r="S16" s="16"/>
      <c r="T16" s="16"/>
      <c r="U16" s="17">
        <f t="shared" si="0"/>
        <v>15</v>
      </c>
      <c r="V16" s="17">
        <f t="shared" si="1"/>
        <v>1</v>
      </c>
      <c r="W16" s="17">
        <f t="shared" si="2"/>
        <v>16</v>
      </c>
      <c r="X16" s="18">
        <f t="shared" si="3"/>
        <v>93.75</v>
      </c>
    </row>
    <row r="17" spans="1:24" ht="14.25">
      <c r="A17" s="11">
        <v>6</v>
      </c>
      <c r="B17" s="19" t="s">
        <v>111</v>
      </c>
      <c r="C17" s="35" t="s">
        <v>112</v>
      </c>
      <c r="D17" s="11" t="s">
        <v>21</v>
      </c>
      <c r="E17" s="14" t="s">
        <v>22</v>
      </c>
      <c r="F17" s="11" t="s">
        <v>21</v>
      </c>
      <c r="G17" s="11" t="s">
        <v>21</v>
      </c>
      <c r="H17" s="11" t="s">
        <v>21</v>
      </c>
      <c r="I17" s="11" t="s">
        <v>21</v>
      </c>
      <c r="J17" s="11" t="s">
        <v>21</v>
      </c>
      <c r="K17" s="11" t="s">
        <v>21</v>
      </c>
      <c r="L17" s="11" t="s">
        <v>21</v>
      </c>
      <c r="M17" s="11" t="s">
        <v>21</v>
      </c>
      <c r="N17" s="11" t="s">
        <v>21</v>
      </c>
      <c r="O17" s="11" t="s">
        <v>21</v>
      </c>
      <c r="P17" s="11" t="s">
        <v>21</v>
      </c>
      <c r="Q17" s="11" t="s">
        <v>22</v>
      </c>
      <c r="R17" s="16" t="s">
        <v>21</v>
      </c>
      <c r="S17" s="16"/>
      <c r="T17" s="16"/>
      <c r="U17" s="17">
        <f t="shared" si="0"/>
        <v>14</v>
      </c>
      <c r="V17" s="17">
        <f t="shared" si="1"/>
        <v>3</v>
      </c>
      <c r="W17" s="17">
        <f t="shared" si="2"/>
        <v>17</v>
      </c>
      <c r="X17" s="18">
        <f t="shared" si="3"/>
        <v>82.35294117647058</v>
      </c>
    </row>
    <row r="18" spans="1:24" ht="14.25">
      <c r="A18" s="11">
        <v>7</v>
      </c>
      <c r="B18" s="19" t="s">
        <v>113</v>
      </c>
      <c r="C18" s="35" t="s">
        <v>114</v>
      </c>
      <c r="D18" s="11" t="s">
        <v>21</v>
      </c>
      <c r="E18" s="11" t="s">
        <v>21</v>
      </c>
      <c r="F18" s="11" t="s">
        <v>21</v>
      </c>
      <c r="G18" s="11" t="s">
        <v>21</v>
      </c>
      <c r="H18" s="11" t="s">
        <v>21</v>
      </c>
      <c r="I18" s="11" t="s">
        <v>21</v>
      </c>
      <c r="J18" s="11" t="s">
        <v>21</v>
      </c>
      <c r="K18" s="11" t="s">
        <v>21</v>
      </c>
      <c r="L18" s="11" t="s">
        <v>21</v>
      </c>
      <c r="M18" s="11" t="s">
        <v>21</v>
      </c>
      <c r="N18" s="11" t="s">
        <v>21</v>
      </c>
      <c r="O18" s="11" t="s">
        <v>21</v>
      </c>
      <c r="P18" s="11" t="s">
        <v>21</v>
      </c>
      <c r="Q18" s="21" t="s">
        <v>21</v>
      </c>
      <c r="R18" s="16" t="s">
        <v>21</v>
      </c>
      <c r="S18" s="16"/>
      <c r="T18" s="16"/>
      <c r="U18" s="17">
        <f t="shared" si="0"/>
        <v>16</v>
      </c>
      <c r="V18" s="17">
        <f t="shared" si="1"/>
        <v>1</v>
      </c>
      <c r="W18" s="17">
        <f t="shared" si="2"/>
        <v>17</v>
      </c>
      <c r="X18" s="18">
        <f t="shared" si="3"/>
        <v>94.117647058823522</v>
      </c>
    </row>
    <row r="19" spans="1:24" ht="14.25">
      <c r="A19" s="11">
        <v>8</v>
      </c>
      <c r="B19" s="19" t="s">
        <v>115</v>
      </c>
      <c r="C19" s="35" t="s">
        <v>116</v>
      </c>
      <c r="D19" s="11" t="s">
        <v>21</v>
      </c>
      <c r="E19" s="11" t="s">
        <v>21</v>
      </c>
      <c r="F19" s="11" t="s">
        <v>21</v>
      </c>
      <c r="G19" s="14" t="s">
        <v>22</v>
      </c>
      <c r="H19" s="11" t="s">
        <v>21</v>
      </c>
      <c r="I19" s="11" t="s">
        <v>21</v>
      </c>
      <c r="J19" s="11" t="s">
        <v>21</v>
      </c>
      <c r="K19" s="11" t="s">
        <v>21</v>
      </c>
      <c r="L19" s="14" t="s">
        <v>22</v>
      </c>
      <c r="M19" s="11" t="s">
        <v>21</v>
      </c>
      <c r="N19" s="11" t="s">
        <v>21</v>
      </c>
      <c r="O19" s="11" t="s">
        <v>21</v>
      </c>
      <c r="P19" s="11" t="s">
        <v>21</v>
      </c>
      <c r="Q19" s="16" t="s">
        <v>21</v>
      </c>
      <c r="R19" s="16" t="s">
        <v>21</v>
      </c>
      <c r="S19" s="16"/>
      <c r="T19" s="16"/>
      <c r="U19" s="17">
        <f t="shared" si="0"/>
        <v>13</v>
      </c>
      <c r="V19" s="17">
        <f t="shared" si="1"/>
        <v>3</v>
      </c>
      <c r="W19" s="17">
        <f t="shared" si="2"/>
        <v>16</v>
      </c>
      <c r="X19" s="18">
        <f t="shared" si="3"/>
        <v>81.25</v>
      </c>
    </row>
    <row r="20" spans="1:24" ht="14.25">
      <c r="A20" s="11">
        <v>9</v>
      </c>
      <c r="B20" s="19" t="s">
        <v>117</v>
      </c>
      <c r="C20" s="35" t="s">
        <v>118</v>
      </c>
      <c r="D20" s="11" t="s">
        <v>21</v>
      </c>
      <c r="E20" s="11" t="s">
        <v>21</v>
      </c>
      <c r="F20" s="11" t="s">
        <v>21</v>
      </c>
      <c r="G20" s="11" t="s">
        <v>21</v>
      </c>
      <c r="H20" s="11" t="s">
        <v>21</v>
      </c>
      <c r="I20" s="11" t="s">
        <v>21</v>
      </c>
      <c r="J20" s="11" t="s">
        <v>21</v>
      </c>
      <c r="K20" s="11" t="s">
        <v>21</v>
      </c>
      <c r="L20" s="11" t="s">
        <v>21</v>
      </c>
      <c r="M20" s="11" t="s">
        <v>21</v>
      </c>
      <c r="N20" s="14" t="s">
        <v>22</v>
      </c>
      <c r="O20" s="11" t="s">
        <v>21</v>
      </c>
      <c r="P20" s="11" t="s">
        <v>21</v>
      </c>
      <c r="Q20" s="16" t="s">
        <v>21</v>
      </c>
      <c r="R20" s="16" t="s">
        <v>21</v>
      </c>
      <c r="S20" s="16"/>
      <c r="T20" s="16"/>
      <c r="U20" s="17">
        <f t="shared" si="0"/>
        <v>15</v>
      </c>
      <c r="V20" s="17">
        <f t="shared" si="1"/>
        <v>2</v>
      </c>
      <c r="W20" s="17">
        <f t="shared" si="2"/>
        <v>17</v>
      </c>
      <c r="X20" s="18">
        <f t="shared" si="3"/>
        <v>88.235294117647058</v>
      </c>
    </row>
    <row r="21" spans="1:24" ht="15.75" customHeight="1">
      <c r="A21" s="11">
        <v>10</v>
      </c>
      <c r="B21" s="19" t="s">
        <v>119</v>
      </c>
      <c r="C21" s="35" t="s">
        <v>120</v>
      </c>
      <c r="D21" s="11" t="s">
        <v>21</v>
      </c>
      <c r="E21" s="11" t="s">
        <v>21</v>
      </c>
      <c r="F21" s="11" t="s">
        <v>21</v>
      </c>
      <c r="G21" s="11" t="s">
        <v>21</v>
      </c>
      <c r="H21" s="11" t="s">
        <v>21</v>
      </c>
      <c r="I21" s="11" t="s">
        <v>21</v>
      </c>
      <c r="J21" s="11" t="s">
        <v>21</v>
      </c>
      <c r="K21" s="14" t="s">
        <v>22</v>
      </c>
      <c r="L21" s="11" t="s">
        <v>21</v>
      </c>
      <c r="M21" s="11" t="s">
        <v>21</v>
      </c>
      <c r="N21" s="11" t="s">
        <v>21</v>
      </c>
      <c r="O21" s="11" t="s">
        <v>21</v>
      </c>
      <c r="P21" s="11" t="s">
        <v>21</v>
      </c>
      <c r="Q21" s="16" t="s">
        <v>21</v>
      </c>
      <c r="R21" s="16" t="s">
        <v>21</v>
      </c>
      <c r="S21" s="16"/>
      <c r="T21" s="16"/>
      <c r="U21" s="17">
        <f t="shared" si="0"/>
        <v>15</v>
      </c>
      <c r="V21" s="17">
        <f t="shared" si="1"/>
        <v>2</v>
      </c>
      <c r="W21" s="17">
        <f t="shared" si="2"/>
        <v>17</v>
      </c>
      <c r="X21" s="18">
        <f t="shared" si="3"/>
        <v>88.235294117647058</v>
      </c>
    </row>
    <row r="22" spans="1:24" ht="15.75" customHeight="1">
      <c r="A22" s="11">
        <v>11</v>
      </c>
      <c r="B22" s="19" t="s">
        <v>121</v>
      </c>
      <c r="C22" s="35" t="s">
        <v>122</v>
      </c>
      <c r="D22" s="11" t="s">
        <v>21</v>
      </c>
      <c r="E22" s="11" t="s">
        <v>21</v>
      </c>
      <c r="F22" s="11" t="s">
        <v>21</v>
      </c>
      <c r="G22" s="11" t="s">
        <v>21</v>
      </c>
      <c r="H22" s="11" t="s">
        <v>21</v>
      </c>
      <c r="I22" s="11" t="s">
        <v>21</v>
      </c>
      <c r="J22" s="11" t="s">
        <v>21</v>
      </c>
      <c r="K22" s="11" t="s">
        <v>21</v>
      </c>
      <c r="L22" s="11" t="s">
        <v>21</v>
      </c>
      <c r="M22" s="11" t="s">
        <v>21</v>
      </c>
      <c r="N22" s="11" t="s">
        <v>21</v>
      </c>
      <c r="O22" s="11" t="s">
        <v>21</v>
      </c>
      <c r="P22" s="11" t="s">
        <v>21</v>
      </c>
      <c r="Q22" s="21" t="s">
        <v>21</v>
      </c>
      <c r="R22" s="16" t="s">
        <v>21</v>
      </c>
      <c r="S22" s="16"/>
      <c r="T22" s="16"/>
      <c r="U22" s="17">
        <f t="shared" si="0"/>
        <v>16</v>
      </c>
      <c r="V22" s="17">
        <f t="shared" si="1"/>
        <v>1</v>
      </c>
      <c r="W22" s="17">
        <f t="shared" si="2"/>
        <v>17</v>
      </c>
      <c r="X22" s="18">
        <f t="shared" si="3"/>
        <v>94.117647058823522</v>
      </c>
    </row>
    <row r="23" spans="1:24" ht="15.75" customHeight="1">
      <c r="A23" s="11">
        <v>12</v>
      </c>
      <c r="B23" s="19" t="s">
        <v>123</v>
      </c>
      <c r="C23" s="35" t="s">
        <v>124</v>
      </c>
      <c r="D23" s="11" t="s">
        <v>21</v>
      </c>
      <c r="E23" s="11" t="s">
        <v>21</v>
      </c>
      <c r="F23" s="11" t="s">
        <v>21</v>
      </c>
      <c r="G23" s="11" t="s">
        <v>21</v>
      </c>
      <c r="H23" s="11" t="s">
        <v>21</v>
      </c>
      <c r="I23" s="11" t="s">
        <v>21</v>
      </c>
      <c r="J23" s="14" t="s">
        <v>22</v>
      </c>
      <c r="K23" s="11" t="s">
        <v>21</v>
      </c>
      <c r="L23" s="11" t="s">
        <v>21</v>
      </c>
      <c r="M23" s="11" t="s">
        <v>21</v>
      </c>
      <c r="N23" s="11" t="s">
        <v>21</v>
      </c>
      <c r="O23" s="11" t="s">
        <v>21</v>
      </c>
      <c r="P23" s="11" t="s">
        <v>21</v>
      </c>
      <c r="Q23" s="16" t="s">
        <v>21</v>
      </c>
      <c r="R23" s="16" t="s">
        <v>21</v>
      </c>
      <c r="S23" s="16"/>
      <c r="T23" s="16"/>
      <c r="U23" s="17">
        <f t="shared" si="0"/>
        <v>15</v>
      </c>
      <c r="V23" s="17">
        <f t="shared" si="1"/>
        <v>2</v>
      </c>
      <c r="W23" s="17">
        <f t="shared" si="2"/>
        <v>17</v>
      </c>
      <c r="X23" s="18">
        <f t="shared" si="3"/>
        <v>88.235294117647058</v>
      </c>
    </row>
    <row r="24" spans="1:24" ht="15.75" customHeight="1">
      <c r="A24" s="11">
        <v>13</v>
      </c>
      <c r="B24" s="19" t="s">
        <v>125</v>
      </c>
      <c r="C24" s="35" t="s">
        <v>126</v>
      </c>
      <c r="D24" s="11" t="s">
        <v>21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 t="s">
        <v>21</v>
      </c>
      <c r="K24" s="11" t="s">
        <v>21</v>
      </c>
      <c r="L24" s="11" t="s">
        <v>21</v>
      </c>
      <c r="M24" s="11" t="s">
        <v>21</v>
      </c>
      <c r="N24" s="11" t="s">
        <v>21</v>
      </c>
      <c r="O24" s="14" t="s">
        <v>22</v>
      </c>
      <c r="P24" s="11" t="s">
        <v>21</v>
      </c>
      <c r="Q24" s="11" t="s">
        <v>22</v>
      </c>
      <c r="R24" s="16" t="s">
        <v>22</v>
      </c>
      <c r="S24" s="16"/>
      <c r="T24" s="16"/>
      <c r="U24" s="17">
        <f t="shared" si="0"/>
        <v>13</v>
      </c>
      <c r="V24" s="17">
        <f t="shared" si="1"/>
        <v>4</v>
      </c>
      <c r="W24" s="17">
        <f t="shared" si="2"/>
        <v>17</v>
      </c>
      <c r="X24" s="18">
        <f t="shared" si="3"/>
        <v>76.470588235294116</v>
      </c>
    </row>
    <row r="25" spans="1:24" ht="15.75" customHeight="1">
      <c r="A25" s="11">
        <v>14</v>
      </c>
      <c r="B25" s="19" t="s">
        <v>127</v>
      </c>
      <c r="C25" s="35" t="s">
        <v>128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21</v>
      </c>
      <c r="I25" s="11" t="s">
        <v>21</v>
      </c>
      <c r="J25" s="11" t="s">
        <v>21</v>
      </c>
      <c r="K25" s="11" t="s">
        <v>21</v>
      </c>
      <c r="L25" s="11" t="s">
        <v>21</v>
      </c>
      <c r="M25" s="11" t="s">
        <v>21</v>
      </c>
      <c r="N25" s="11" t="s">
        <v>21</v>
      </c>
      <c r="O25" s="11" t="s">
        <v>21</v>
      </c>
      <c r="P25" s="11" t="s">
        <v>21</v>
      </c>
      <c r="Q25" s="21" t="s">
        <v>21</v>
      </c>
      <c r="R25" s="21" t="s">
        <v>21</v>
      </c>
      <c r="S25" s="16"/>
      <c r="T25" s="16"/>
      <c r="U25" s="17">
        <f t="shared" si="0"/>
        <v>16</v>
      </c>
      <c r="V25" s="17">
        <f t="shared" si="1"/>
        <v>1</v>
      </c>
      <c r="W25" s="17">
        <f t="shared" si="2"/>
        <v>17</v>
      </c>
      <c r="X25" s="18">
        <f t="shared" si="3"/>
        <v>94.117647058823522</v>
      </c>
    </row>
    <row r="26" spans="1:24" ht="15.75" customHeight="1">
      <c r="A26" s="11">
        <v>15</v>
      </c>
      <c r="B26" s="19" t="s">
        <v>129</v>
      </c>
      <c r="C26" s="35" t="s">
        <v>130</v>
      </c>
      <c r="D26" s="11" t="s">
        <v>21</v>
      </c>
      <c r="E26" s="11" t="s">
        <v>21</v>
      </c>
      <c r="F26" s="11" t="s">
        <v>21</v>
      </c>
      <c r="G26" s="11" t="s">
        <v>21</v>
      </c>
      <c r="H26" s="11" t="s">
        <v>21</v>
      </c>
      <c r="I26" s="11" t="s">
        <v>21</v>
      </c>
      <c r="J26" s="14" t="s">
        <v>21</v>
      </c>
      <c r="K26" s="11" t="s">
        <v>21</v>
      </c>
      <c r="L26" s="14" t="s">
        <v>22</v>
      </c>
      <c r="M26" s="11" t="s">
        <v>21</v>
      </c>
      <c r="N26" s="11" t="s">
        <v>21</v>
      </c>
      <c r="O26" s="11" t="s">
        <v>21</v>
      </c>
      <c r="P26" s="11" t="s">
        <v>21</v>
      </c>
      <c r="Q26" s="16" t="s">
        <v>21</v>
      </c>
      <c r="R26" s="16" t="s">
        <v>21</v>
      </c>
      <c r="S26" s="16"/>
      <c r="T26" s="16"/>
      <c r="U26" s="17">
        <f t="shared" si="0"/>
        <v>15</v>
      </c>
      <c r="V26" s="17">
        <f t="shared" si="1"/>
        <v>2</v>
      </c>
      <c r="W26" s="17">
        <f t="shared" si="2"/>
        <v>17</v>
      </c>
      <c r="X26" s="18">
        <f t="shared" si="3"/>
        <v>88.235294117647058</v>
      </c>
    </row>
    <row r="27" spans="1:24" ht="15.75" customHeight="1">
      <c r="A27" s="11">
        <v>16</v>
      </c>
      <c r="B27" s="19" t="s">
        <v>131</v>
      </c>
      <c r="C27" s="35" t="s">
        <v>132</v>
      </c>
      <c r="D27" s="11" t="s">
        <v>21</v>
      </c>
      <c r="E27" s="11" t="s">
        <v>21</v>
      </c>
      <c r="F27" s="11" t="s">
        <v>21</v>
      </c>
      <c r="G27" s="11" t="s">
        <v>21</v>
      </c>
      <c r="H27" s="14" t="s">
        <v>22</v>
      </c>
      <c r="I27" s="11" t="s">
        <v>21</v>
      </c>
      <c r="J27" s="11" t="s">
        <v>21</v>
      </c>
      <c r="K27" s="11" t="s">
        <v>21</v>
      </c>
      <c r="L27" s="11" t="s">
        <v>21</v>
      </c>
      <c r="M27" s="11" t="s">
        <v>21</v>
      </c>
      <c r="N27" s="11" t="s">
        <v>21</v>
      </c>
      <c r="O27" s="11" t="s">
        <v>21</v>
      </c>
      <c r="P27" s="11" t="s">
        <v>21</v>
      </c>
      <c r="Q27" s="16" t="s">
        <v>21</v>
      </c>
      <c r="R27" s="16" t="s">
        <v>21</v>
      </c>
      <c r="S27" s="16"/>
      <c r="T27" s="16"/>
      <c r="U27" s="17">
        <f t="shared" si="0"/>
        <v>15</v>
      </c>
      <c r="V27" s="17">
        <f t="shared" si="1"/>
        <v>2</v>
      </c>
      <c r="W27" s="17">
        <f t="shared" si="2"/>
        <v>17</v>
      </c>
      <c r="X27" s="18">
        <f t="shared" si="3"/>
        <v>88.235294117647058</v>
      </c>
    </row>
    <row r="28" spans="1:24" ht="15.75" customHeight="1">
      <c r="A28" s="11">
        <v>17</v>
      </c>
      <c r="B28" s="19" t="s">
        <v>133</v>
      </c>
      <c r="C28" s="35" t="s">
        <v>134</v>
      </c>
      <c r="D28" s="11" t="s">
        <v>21</v>
      </c>
      <c r="E28" s="11" t="s">
        <v>21</v>
      </c>
      <c r="F28" s="11" t="s">
        <v>21</v>
      </c>
      <c r="G28" s="11" t="s">
        <v>21</v>
      </c>
      <c r="H28" s="11" t="s">
        <v>21</v>
      </c>
      <c r="I28" s="11" t="s">
        <v>21</v>
      </c>
      <c r="J28" s="11" t="s">
        <v>21</v>
      </c>
      <c r="K28" s="11" t="s">
        <v>21</v>
      </c>
      <c r="L28" s="11" t="s">
        <v>21</v>
      </c>
      <c r="M28" s="11" t="s">
        <v>21</v>
      </c>
      <c r="N28" s="11" t="s">
        <v>21</v>
      </c>
      <c r="O28" s="11" t="s">
        <v>21</v>
      </c>
      <c r="P28" s="11" t="s">
        <v>21</v>
      </c>
      <c r="Q28" s="21" t="s">
        <v>21</v>
      </c>
      <c r="R28" s="21" t="s">
        <v>21</v>
      </c>
      <c r="S28" s="16"/>
      <c r="T28" s="16"/>
      <c r="U28" s="17">
        <f t="shared" si="0"/>
        <v>16</v>
      </c>
      <c r="V28" s="17">
        <f t="shared" si="1"/>
        <v>1</v>
      </c>
      <c r="W28" s="17">
        <f t="shared" si="2"/>
        <v>17</v>
      </c>
      <c r="X28" s="18">
        <f t="shared" si="3"/>
        <v>94.117647058823522</v>
      </c>
    </row>
    <row r="29" spans="1:24" ht="15.75" customHeight="1">
      <c r="A29" s="11">
        <v>18</v>
      </c>
      <c r="B29" s="19" t="s">
        <v>135</v>
      </c>
      <c r="C29" s="35" t="s">
        <v>136</v>
      </c>
      <c r="D29" s="11" t="s">
        <v>21</v>
      </c>
      <c r="E29" s="11" t="s">
        <v>21</v>
      </c>
      <c r="F29" s="14" t="s">
        <v>22</v>
      </c>
      <c r="G29" s="11" t="s">
        <v>21</v>
      </c>
      <c r="H29" s="11" t="s">
        <v>21</v>
      </c>
      <c r="I29" s="11" t="s">
        <v>21</v>
      </c>
      <c r="J29" s="11" t="s">
        <v>21</v>
      </c>
      <c r="K29" s="11" t="s">
        <v>21</v>
      </c>
      <c r="L29" s="11" t="s">
        <v>21</v>
      </c>
      <c r="M29" s="11" t="s">
        <v>21</v>
      </c>
      <c r="N29" s="11" t="s">
        <v>21</v>
      </c>
      <c r="O29" s="14" t="s">
        <v>22</v>
      </c>
      <c r="P29" s="11" t="s">
        <v>21</v>
      </c>
      <c r="Q29" s="11" t="s">
        <v>22</v>
      </c>
      <c r="R29" s="16" t="s">
        <v>21</v>
      </c>
      <c r="S29" s="16"/>
      <c r="T29" s="16"/>
      <c r="U29" s="17">
        <f t="shared" si="0"/>
        <v>13</v>
      </c>
      <c r="V29" s="17">
        <f t="shared" si="1"/>
        <v>4</v>
      </c>
      <c r="W29" s="17">
        <f t="shared" si="2"/>
        <v>17</v>
      </c>
      <c r="X29" s="18">
        <f t="shared" si="3"/>
        <v>76.470588235294116</v>
      </c>
    </row>
    <row r="30" spans="1:24" ht="15.75" customHeight="1">
      <c r="A30" s="11">
        <v>19</v>
      </c>
      <c r="B30" s="19" t="s">
        <v>137</v>
      </c>
      <c r="C30" s="35" t="s">
        <v>138</v>
      </c>
      <c r="D30" s="11" t="s">
        <v>21</v>
      </c>
      <c r="E30" s="11" t="s">
        <v>21</v>
      </c>
      <c r="F30" s="11" t="s">
        <v>21</v>
      </c>
      <c r="G30" s="11" t="s">
        <v>21</v>
      </c>
      <c r="H30" s="11" t="s">
        <v>21</v>
      </c>
      <c r="I30" s="11" t="s">
        <v>21</v>
      </c>
      <c r="J30" s="11" t="s">
        <v>21</v>
      </c>
      <c r="K30" s="11" t="s">
        <v>21</v>
      </c>
      <c r="L30" s="11" t="s">
        <v>21</v>
      </c>
      <c r="M30" s="11" t="s">
        <v>21</v>
      </c>
      <c r="N30" s="11" t="s">
        <v>21</v>
      </c>
      <c r="O30" s="11" t="s">
        <v>21</v>
      </c>
      <c r="P30" s="11" t="s">
        <v>21</v>
      </c>
      <c r="Q30" s="21" t="s">
        <v>21</v>
      </c>
      <c r="R30" s="21" t="s">
        <v>21</v>
      </c>
      <c r="S30" s="16"/>
      <c r="T30" s="16"/>
      <c r="U30" s="17">
        <f t="shared" si="0"/>
        <v>16</v>
      </c>
      <c r="V30" s="17">
        <f t="shared" si="1"/>
        <v>1</v>
      </c>
      <c r="W30" s="17">
        <f t="shared" si="2"/>
        <v>17</v>
      </c>
      <c r="X30" s="18">
        <f t="shared" si="3"/>
        <v>94.117647058823522</v>
      </c>
    </row>
    <row r="31" spans="1:24" ht="15.75" customHeight="1">
      <c r="A31" s="11">
        <v>20</v>
      </c>
      <c r="B31" s="19" t="s">
        <v>139</v>
      </c>
      <c r="C31" s="35" t="s">
        <v>140</v>
      </c>
      <c r="D31" s="11" t="s">
        <v>21</v>
      </c>
      <c r="E31" s="11" t="s">
        <v>21</v>
      </c>
      <c r="F31" s="11" t="s">
        <v>21</v>
      </c>
      <c r="G31" s="11" t="s">
        <v>21</v>
      </c>
      <c r="H31" s="11" t="s">
        <v>21</v>
      </c>
      <c r="I31" s="11" t="s">
        <v>21</v>
      </c>
      <c r="J31" s="11" t="s">
        <v>21</v>
      </c>
      <c r="K31" s="11" t="s">
        <v>21</v>
      </c>
      <c r="L31" s="11" t="s">
        <v>21</v>
      </c>
      <c r="M31" s="11" t="s">
        <v>21</v>
      </c>
      <c r="N31" s="11" t="s">
        <v>21</v>
      </c>
      <c r="O31" s="11" t="s">
        <v>21</v>
      </c>
      <c r="P31" s="11" t="s">
        <v>21</v>
      </c>
      <c r="Q31" s="21" t="s">
        <v>21</v>
      </c>
      <c r="R31" s="16" t="s">
        <v>21</v>
      </c>
      <c r="S31" s="16"/>
      <c r="T31" s="16"/>
      <c r="U31" s="17">
        <f t="shared" si="0"/>
        <v>16</v>
      </c>
      <c r="V31" s="17">
        <f t="shared" si="1"/>
        <v>1</v>
      </c>
      <c r="W31" s="17">
        <f t="shared" si="2"/>
        <v>17</v>
      </c>
      <c r="X31" s="18">
        <f t="shared" si="3"/>
        <v>94.117647058823522</v>
      </c>
    </row>
    <row r="32" spans="1:24" ht="15.75" customHeight="1">
      <c r="A32" s="11">
        <v>21</v>
      </c>
      <c r="B32" s="19" t="s">
        <v>141</v>
      </c>
      <c r="C32" s="35" t="s">
        <v>142</v>
      </c>
      <c r="D32" s="11" t="s">
        <v>21</v>
      </c>
      <c r="E32" s="11" t="s">
        <v>21</v>
      </c>
      <c r="F32" s="11" t="s">
        <v>21</v>
      </c>
      <c r="G32" s="11" t="s">
        <v>21</v>
      </c>
      <c r="H32" s="11" t="s">
        <v>21</v>
      </c>
      <c r="I32" s="11" t="s">
        <v>21</v>
      </c>
      <c r="J32" s="11" t="s">
        <v>21</v>
      </c>
      <c r="K32" s="11" t="s">
        <v>21</v>
      </c>
      <c r="L32" s="11" t="s">
        <v>21</v>
      </c>
      <c r="M32" s="11" t="s">
        <v>21</v>
      </c>
      <c r="N32" s="11" t="s">
        <v>21</v>
      </c>
      <c r="O32" s="11" t="s">
        <v>21</v>
      </c>
      <c r="P32" s="11" t="s">
        <v>21</v>
      </c>
      <c r="Q32" s="11" t="s">
        <v>22</v>
      </c>
      <c r="R32" s="16" t="s">
        <v>21</v>
      </c>
      <c r="S32" s="16"/>
      <c r="T32" s="16"/>
      <c r="U32" s="17">
        <f t="shared" si="0"/>
        <v>14</v>
      </c>
      <c r="V32" s="17">
        <f t="shared" si="1"/>
        <v>2</v>
      </c>
      <c r="W32" s="17">
        <f t="shared" si="2"/>
        <v>16</v>
      </c>
      <c r="X32" s="18">
        <f t="shared" si="3"/>
        <v>87.5</v>
      </c>
    </row>
    <row r="33" spans="1:24" ht="15.75" customHeight="1">
      <c r="A33" s="11">
        <v>22</v>
      </c>
      <c r="B33" s="19" t="s">
        <v>143</v>
      </c>
      <c r="C33" s="35" t="s">
        <v>144</v>
      </c>
      <c r="D33" s="11" t="s">
        <v>21</v>
      </c>
      <c r="E33" s="11" t="s">
        <v>21</v>
      </c>
      <c r="F33" s="11" t="s">
        <v>21</v>
      </c>
      <c r="G33" s="11" t="s">
        <v>21</v>
      </c>
      <c r="H33" s="11" t="s">
        <v>21</v>
      </c>
      <c r="I33" s="11" t="s">
        <v>21</v>
      </c>
      <c r="J33" s="14" t="s">
        <v>22</v>
      </c>
      <c r="K33" s="11" t="s">
        <v>21</v>
      </c>
      <c r="L33" s="11" t="s">
        <v>21</v>
      </c>
      <c r="M33" s="11" t="s">
        <v>21</v>
      </c>
      <c r="N33" s="11" t="s">
        <v>21</v>
      </c>
      <c r="O33" s="11" t="s">
        <v>21</v>
      </c>
      <c r="P33" s="11" t="s">
        <v>21</v>
      </c>
      <c r="Q33" s="21" t="s">
        <v>21</v>
      </c>
      <c r="R33" s="16" t="s">
        <v>21</v>
      </c>
      <c r="S33" s="16"/>
      <c r="T33" s="16"/>
      <c r="U33" s="17">
        <f t="shared" si="0"/>
        <v>15</v>
      </c>
      <c r="V33" s="17">
        <f t="shared" si="1"/>
        <v>2</v>
      </c>
      <c r="W33" s="17">
        <f t="shared" si="2"/>
        <v>17</v>
      </c>
      <c r="X33" s="18">
        <f t="shared" si="3"/>
        <v>88.235294117647058</v>
      </c>
    </row>
    <row r="34" spans="1:24" ht="15.75" customHeight="1">
      <c r="A34" s="11">
        <v>23</v>
      </c>
      <c r="B34" s="19" t="s">
        <v>145</v>
      </c>
      <c r="C34" s="35" t="s">
        <v>146</v>
      </c>
      <c r="D34" s="11" t="s">
        <v>21</v>
      </c>
      <c r="E34" s="11" t="s">
        <v>21</v>
      </c>
      <c r="F34" s="11" t="s">
        <v>21</v>
      </c>
      <c r="G34" s="11" t="s">
        <v>21</v>
      </c>
      <c r="H34" s="11" t="s">
        <v>21</v>
      </c>
      <c r="I34" s="11" t="s">
        <v>21</v>
      </c>
      <c r="J34" s="11" t="s">
        <v>21</v>
      </c>
      <c r="K34" s="11" t="s">
        <v>21</v>
      </c>
      <c r="L34" s="11" t="s">
        <v>21</v>
      </c>
      <c r="M34" s="11" t="s">
        <v>21</v>
      </c>
      <c r="N34" s="11" t="s">
        <v>21</v>
      </c>
      <c r="O34" s="11" t="s">
        <v>21</v>
      </c>
      <c r="P34" s="11" t="s">
        <v>21</v>
      </c>
      <c r="Q34" s="16" t="s">
        <v>21</v>
      </c>
      <c r="R34" s="16" t="s">
        <v>21</v>
      </c>
      <c r="S34" s="16"/>
      <c r="T34" s="16"/>
      <c r="U34" s="17">
        <f t="shared" si="0"/>
        <v>15</v>
      </c>
      <c r="V34" s="17">
        <f t="shared" si="1"/>
        <v>1</v>
      </c>
      <c r="W34" s="17">
        <f t="shared" si="2"/>
        <v>16</v>
      </c>
      <c r="X34" s="18">
        <f t="shared" si="3"/>
        <v>93.75</v>
      </c>
    </row>
    <row r="35" spans="1:24" ht="15.75" customHeight="1">
      <c r="A35" s="11">
        <v>24</v>
      </c>
      <c r="B35" s="19" t="s">
        <v>147</v>
      </c>
      <c r="C35" s="35" t="s">
        <v>148</v>
      </c>
      <c r="D35" s="11" t="s">
        <v>21</v>
      </c>
      <c r="E35" s="11" t="s">
        <v>21</v>
      </c>
      <c r="F35" s="11" t="s">
        <v>21</v>
      </c>
      <c r="G35" s="14" t="s">
        <v>22</v>
      </c>
      <c r="H35" s="11" t="s">
        <v>21</v>
      </c>
      <c r="I35" s="11" t="s">
        <v>21</v>
      </c>
      <c r="J35" s="11" t="s">
        <v>21</v>
      </c>
      <c r="K35" s="11" t="s">
        <v>21</v>
      </c>
      <c r="L35" s="11" t="s">
        <v>21</v>
      </c>
      <c r="M35" s="11" t="s">
        <v>21</v>
      </c>
      <c r="N35" s="11" t="s">
        <v>21</v>
      </c>
      <c r="O35" s="11" t="s">
        <v>21</v>
      </c>
      <c r="P35" s="11" t="s">
        <v>21</v>
      </c>
      <c r="Q35" s="16" t="s">
        <v>21</v>
      </c>
      <c r="R35" s="16" t="s">
        <v>21</v>
      </c>
      <c r="S35" s="16"/>
      <c r="T35" s="16"/>
      <c r="U35" s="17">
        <f t="shared" si="0"/>
        <v>14</v>
      </c>
      <c r="V35" s="17">
        <f t="shared" si="1"/>
        <v>2</v>
      </c>
      <c r="W35" s="17">
        <f t="shared" si="2"/>
        <v>16</v>
      </c>
      <c r="X35" s="18">
        <f t="shared" si="3"/>
        <v>87.5</v>
      </c>
    </row>
    <row r="36" spans="1:24" ht="15.75" customHeight="1">
      <c r="A36" s="11">
        <v>25</v>
      </c>
      <c r="B36" s="19" t="s">
        <v>149</v>
      </c>
      <c r="C36" s="35" t="s">
        <v>150</v>
      </c>
      <c r="D36" s="11" t="s">
        <v>21</v>
      </c>
      <c r="E36" s="11" t="s">
        <v>21</v>
      </c>
      <c r="F36" s="11" t="s">
        <v>21</v>
      </c>
      <c r="G36" s="11" t="s">
        <v>21</v>
      </c>
      <c r="H36" s="11" t="s">
        <v>21</v>
      </c>
      <c r="I36" s="11" t="s">
        <v>21</v>
      </c>
      <c r="J36" s="11" t="s">
        <v>21</v>
      </c>
      <c r="K36" s="11" t="s">
        <v>21</v>
      </c>
      <c r="L36" s="11" t="s">
        <v>21</v>
      </c>
      <c r="M36" s="11" t="s">
        <v>21</v>
      </c>
      <c r="N36" s="11" t="s">
        <v>21</v>
      </c>
      <c r="O36" s="11" t="s">
        <v>21</v>
      </c>
      <c r="P36" s="11" t="s">
        <v>21</v>
      </c>
      <c r="Q36" s="21" t="s">
        <v>21</v>
      </c>
      <c r="R36" s="21" t="s">
        <v>21</v>
      </c>
      <c r="S36" s="16"/>
      <c r="T36" s="16"/>
      <c r="U36" s="17">
        <f t="shared" si="0"/>
        <v>15</v>
      </c>
      <c r="V36" s="17">
        <f t="shared" si="1"/>
        <v>1</v>
      </c>
      <c r="W36" s="17">
        <f t="shared" si="2"/>
        <v>16</v>
      </c>
      <c r="X36" s="18">
        <f t="shared" si="3"/>
        <v>93.75</v>
      </c>
    </row>
    <row r="37" spans="1:24" ht="15.75" customHeight="1">
      <c r="A37" s="11">
        <v>26</v>
      </c>
      <c r="B37" s="19" t="s">
        <v>151</v>
      </c>
      <c r="C37" s="35" t="s">
        <v>152</v>
      </c>
      <c r="D37" s="11" t="s">
        <v>21</v>
      </c>
      <c r="E37" s="11" t="s">
        <v>21</v>
      </c>
      <c r="F37" s="11" t="s">
        <v>21</v>
      </c>
      <c r="G37" s="11" t="s">
        <v>21</v>
      </c>
      <c r="H37" s="11" t="s">
        <v>21</v>
      </c>
      <c r="I37" s="11" t="s">
        <v>21</v>
      </c>
      <c r="J37" s="11" t="s">
        <v>21</v>
      </c>
      <c r="K37" s="11" t="s">
        <v>21</v>
      </c>
      <c r="L37" s="11" t="s">
        <v>21</v>
      </c>
      <c r="M37" s="11" t="s">
        <v>21</v>
      </c>
      <c r="N37" s="11" t="s">
        <v>21</v>
      </c>
      <c r="O37" s="11" t="s">
        <v>21</v>
      </c>
      <c r="P37" s="11" t="s">
        <v>21</v>
      </c>
      <c r="Q37" s="16" t="s">
        <v>21</v>
      </c>
      <c r="R37" s="16" t="s">
        <v>21</v>
      </c>
      <c r="S37" s="16"/>
      <c r="T37" s="16"/>
      <c r="U37" s="17">
        <f t="shared" si="0"/>
        <v>15</v>
      </c>
      <c r="V37" s="17">
        <f t="shared" si="1"/>
        <v>1</v>
      </c>
      <c r="W37" s="17">
        <f t="shared" si="2"/>
        <v>16</v>
      </c>
      <c r="X37" s="18">
        <f t="shared" si="3"/>
        <v>93.75</v>
      </c>
    </row>
    <row r="38" spans="1:24" ht="15.75" customHeight="1">
      <c r="A38" s="11">
        <v>27</v>
      </c>
      <c r="B38" s="19" t="s">
        <v>153</v>
      </c>
      <c r="C38" s="35" t="s">
        <v>154</v>
      </c>
      <c r="D38" s="11" t="s">
        <v>21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11" t="s">
        <v>21</v>
      </c>
      <c r="L38" s="11" t="s">
        <v>21</v>
      </c>
      <c r="M38" s="11" t="s">
        <v>21</v>
      </c>
      <c r="N38" s="14" t="s">
        <v>22</v>
      </c>
      <c r="O38" s="11" t="s">
        <v>21</v>
      </c>
      <c r="P38" s="11" t="s">
        <v>21</v>
      </c>
      <c r="Q38" s="16" t="s">
        <v>21</v>
      </c>
      <c r="R38" s="16" t="s">
        <v>21</v>
      </c>
      <c r="S38" s="16"/>
      <c r="T38" s="16"/>
      <c r="U38" s="17">
        <f t="shared" si="0"/>
        <v>14</v>
      </c>
      <c r="V38" s="17">
        <f t="shared" si="1"/>
        <v>2</v>
      </c>
      <c r="W38" s="17">
        <f t="shared" si="2"/>
        <v>16</v>
      </c>
      <c r="X38" s="18">
        <f t="shared" si="3"/>
        <v>87.5</v>
      </c>
    </row>
    <row r="39" spans="1:24" ht="15.75" customHeight="1">
      <c r="A39" s="11">
        <v>28</v>
      </c>
      <c r="B39" s="19" t="s">
        <v>155</v>
      </c>
      <c r="C39" s="35" t="s">
        <v>156</v>
      </c>
      <c r="D39" s="11" t="s">
        <v>21</v>
      </c>
      <c r="E39" s="11" t="s">
        <v>21</v>
      </c>
      <c r="F39" s="11" t="s">
        <v>21</v>
      </c>
      <c r="G39" s="11" t="s">
        <v>21</v>
      </c>
      <c r="H39" s="11" t="s">
        <v>21</v>
      </c>
      <c r="I39" s="11" t="s">
        <v>21</v>
      </c>
      <c r="J39" s="11" t="s">
        <v>21</v>
      </c>
      <c r="K39" s="11" t="s">
        <v>21</v>
      </c>
      <c r="L39" s="11" t="s">
        <v>21</v>
      </c>
      <c r="M39" s="11" t="s">
        <v>21</v>
      </c>
      <c r="N39" s="11" t="s">
        <v>21</v>
      </c>
      <c r="O39" s="11" t="s">
        <v>21</v>
      </c>
      <c r="P39" s="11" t="s">
        <v>21</v>
      </c>
      <c r="Q39" s="16" t="s">
        <v>21</v>
      </c>
      <c r="R39" s="16" t="s">
        <v>21</v>
      </c>
      <c r="S39" s="16"/>
      <c r="T39" s="16"/>
      <c r="U39" s="17">
        <f t="shared" si="0"/>
        <v>15</v>
      </c>
      <c r="V39" s="17">
        <f t="shared" si="1"/>
        <v>1</v>
      </c>
      <c r="W39" s="17">
        <f t="shared" si="2"/>
        <v>16</v>
      </c>
      <c r="X39" s="18">
        <f t="shared" si="3"/>
        <v>93.75</v>
      </c>
    </row>
    <row r="40" spans="1:24" ht="15.75" customHeight="1">
      <c r="A40" s="11">
        <v>29</v>
      </c>
      <c r="B40" s="19" t="s">
        <v>157</v>
      </c>
      <c r="C40" s="35" t="s">
        <v>158</v>
      </c>
      <c r="D40" s="11" t="s">
        <v>21</v>
      </c>
      <c r="E40" s="11" t="s">
        <v>21</v>
      </c>
      <c r="F40" s="11" t="s">
        <v>21</v>
      </c>
      <c r="G40" s="11" t="s">
        <v>21</v>
      </c>
      <c r="H40" s="11" t="s">
        <v>21</v>
      </c>
      <c r="I40" s="11" t="s">
        <v>21</v>
      </c>
      <c r="J40" s="11" t="s">
        <v>21</v>
      </c>
      <c r="K40" s="11" t="s">
        <v>21</v>
      </c>
      <c r="L40" s="11" t="s">
        <v>21</v>
      </c>
      <c r="M40" s="11" t="s">
        <v>21</v>
      </c>
      <c r="N40" s="11" t="s">
        <v>21</v>
      </c>
      <c r="O40" s="11" t="s">
        <v>21</v>
      </c>
      <c r="P40" s="11" t="s">
        <v>21</v>
      </c>
      <c r="Q40" s="21" t="s">
        <v>21</v>
      </c>
      <c r="R40" s="21" t="s">
        <v>21</v>
      </c>
      <c r="S40" s="16"/>
      <c r="T40" s="16"/>
      <c r="U40" s="17">
        <f t="shared" si="0"/>
        <v>15</v>
      </c>
      <c r="V40" s="17">
        <f t="shared" si="1"/>
        <v>1</v>
      </c>
      <c r="W40" s="17">
        <f t="shared" si="2"/>
        <v>16</v>
      </c>
      <c r="X40" s="18">
        <f t="shared" si="3"/>
        <v>93.75</v>
      </c>
    </row>
    <row r="41" spans="1:24" ht="15.75" customHeight="1">
      <c r="A41" s="11">
        <v>30</v>
      </c>
      <c r="B41" s="19" t="s">
        <v>159</v>
      </c>
      <c r="C41" s="35" t="s">
        <v>160</v>
      </c>
      <c r="D41" s="11" t="s">
        <v>21</v>
      </c>
      <c r="E41" s="11" t="s">
        <v>21</v>
      </c>
      <c r="F41" s="11" t="s">
        <v>21</v>
      </c>
      <c r="G41" s="11" t="s">
        <v>21</v>
      </c>
      <c r="H41" s="11" t="s">
        <v>21</v>
      </c>
      <c r="I41" s="11" t="s">
        <v>21</v>
      </c>
      <c r="J41" s="11" t="s">
        <v>21</v>
      </c>
      <c r="K41" s="11" t="s">
        <v>21</v>
      </c>
      <c r="L41" s="11" t="s">
        <v>21</v>
      </c>
      <c r="M41" s="11" t="s">
        <v>21</v>
      </c>
      <c r="N41" s="11" t="s">
        <v>21</v>
      </c>
      <c r="O41" s="11" t="s">
        <v>21</v>
      </c>
      <c r="P41" s="11" t="s">
        <v>21</v>
      </c>
      <c r="Q41" s="21" t="s">
        <v>21</v>
      </c>
      <c r="R41" s="16" t="s">
        <v>21</v>
      </c>
      <c r="S41" s="16"/>
      <c r="T41" s="16"/>
      <c r="U41" s="17">
        <f t="shared" si="0"/>
        <v>15</v>
      </c>
      <c r="V41" s="17">
        <f t="shared" si="1"/>
        <v>1</v>
      </c>
      <c r="W41" s="17">
        <f t="shared" si="2"/>
        <v>16</v>
      </c>
      <c r="X41" s="18">
        <f t="shared" si="3"/>
        <v>93.75</v>
      </c>
    </row>
    <row r="42" spans="1:24" ht="15.75" customHeight="1">
      <c r="A42" s="11">
        <v>31</v>
      </c>
      <c r="B42" s="19" t="s">
        <v>161</v>
      </c>
      <c r="C42" s="35" t="s">
        <v>162</v>
      </c>
      <c r="D42" s="11" t="s">
        <v>21</v>
      </c>
      <c r="E42" s="14" t="s">
        <v>22</v>
      </c>
      <c r="F42" s="11" t="s">
        <v>21</v>
      </c>
      <c r="G42" s="11" t="s">
        <v>21</v>
      </c>
      <c r="H42" s="11" t="s">
        <v>21</v>
      </c>
      <c r="I42" s="11" t="s">
        <v>21</v>
      </c>
      <c r="J42" s="11" t="s">
        <v>21</v>
      </c>
      <c r="K42" s="11" t="s">
        <v>21</v>
      </c>
      <c r="L42" s="11" t="s">
        <v>21</v>
      </c>
      <c r="M42" s="11" t="s">
        <v>21</v>
      </c>
      <c r="N42" s="11" t="s">
        <v>21</v>
      </c>
      <c r="O42" s="11" t="s">
        <v>21</v>
      </c>
      <c r="P42" s="11" t="s">
        <v>21</v>
      </c>
      <c r="Q42" s="11" t="s">
        <v>22</v>
      </c>
      <c r="R42" s="16" t="s">
        <v>21</v>
      </c>
      <c r="S42" s="16"/>
      <c r="T42" s="16"/>
      <c r="U42" s="17">
        <f t="shared" si="0"/>
        <v>13</v>
      </c>
      <c r="V42" s="17">
        <f t="shared" si="1"/>
        <v>3</v>
      </c>
      <c r="W42" s="17">
        <f t="shared" si="2"/>
        <v>16</v>
      </c>
      <c r="X42" s="18">
        <f t="shared" si="3"/>
        <v>81.25</v>
      </c>
    </row>
    <row r="43" spans="1:24" ht="15.75" customHeight="1">
      <c r="A43" s="11">
        <v>32</v>
      </c>
      <c r="B43" s="19" t="s">
        <v>163</v>
      </c>
      <c r="C43" s="35" t="s">
        <v>164</v>
      </c>
      <c r="D43" s="11" t="s">
        <v>21</v>
      </c>
      <c r="E43" s="11" t="s">
        <v>21</v>
      </c>
      <c r="F43" s="11" t="s">
        <v>21</v>
      </c>
      <c r="G43" s="11" t="s">
        <v>21</v>
      </c>
      <c r="H43" s="11" t="s">
        <v>21</v>
      </c>
      <c r="I43" s="11" t="s">
        <v>21</v>
      </c>
      <c r="J43" s="11" t="s">
        <v>21</v>
      </c>
      <c r="K43" s="11" t="s">
        <v>21</v>
      </c>
      <c r="L43" s="14" t="s">
        <v>22</v>
      </c>
      <c r="M43" s="11" t="s">
        <v>21</v>
      </c>
      <c r="N43" s="11" t="s">
        <v>21</v>
      </c>
      <c r="O43" s="11" t="s">
        <v>21</v>
      </c>
      <c r="P43" s="11" t="s">
        <v>21</v>
      </c>
      <c r="Q43" s="21" t="s">
        <v>21</v>
      </c>
      <c r="R43" s="16" t="s">
        <v>21</v>
      </c>
      <c r="S43" s="16"/>
      <c r="T43" s="16"/>
      <c r="U43" s="17">
        <f t="shared" si="0"/>
        <v>14</v>
      </c>
      <c r="V43" s="17">
        <f t="shared" si="1"/>
        <v>2</v>
      </c>
      <c r="W43" s="17">
        <f t="shared" si="2"/>
        <v>16</v>
      </c>
      <c r="X43" s="18">
        <f t="shared" si="3"/>
        <v>87.5</v>
      </c>
    </row>
    <row r="44" spans="1:24" ht="15.75" customHeight="1">
      <c r="A44" s="11">
        <v>33</v>
      </c>
      <c r="B44" s="19" t="s">
        <v>165</v>
      </c>
      <c r="C44" s="35" t="s">
        <v>166</v>
      </c>
      <c r="D44" s="11" t="s">
        <v>21</v>
      </c>
      <c r="E44" s="11" t="s">
        <v>21</v>
      </c>
      <c r="F44" s="11" t="s">
        <v>21</v>
      </c>
      <c r="G44" s="11" t="s">
        <v>21</v>
      </c>
      <c r="H44" s="11" t="s">
        <v>21</v>
      </c>
      <c r="I44" s="11" t="s">
        <v>21</v>
      </c>
      <c r="J44" s="11" t="s">
        <v>21</v>
      </c>
      <c r="K44" s="11" t="s">
        <v>21</v>
      </c>
      <c r="L44" s="11" t="s">
        <v>21</v>
      </c>
      <c r="M44" s="11" t="s">
        <v>21</v>
      </c>
      <c r="N44" s="11" t="s">
        <v>21</v>
      </c>
      <c r="O44" s="11" t="s">
        <v>21</v>
      </c>
      <c r="P44" s="11" t="s">
        <v>21</v>
      </c>
      <c r="Q44" s="11" t="s">
        <v>22</v>
      </c>
      <c r="R44" s="16" t="s">
        <v>21</v>
      </c>
      <c r="S44" s="16"/>
      <c r="T44" s="16"/>
      <c r="U44" s="17">
        <f t="shared" si="0"/>
        <v>14</v>
      </c>
      <c r="V44" s="17">
        <f t="shared" si="1"/>
        <v>2</v>
      </c>
      <c r="W44" s="17">
        <f t="shared" si="2"/>
        <v>16</v>
      </c>
      <c r="X44" s="18">
        <f t="shared" si="3"/>
        <v>87.5</v>
      </c>
    </row>
    <row r="45" spans="1:24" ht="15.75" customHeight="1">
      <c r="A45" s="11">
        <v>34</v>
      </c>
      <c r="B45" s="19" t="s">
        <v>167</v>
      </c>
      <c r="C45" s="35" t="s">
        <v>168</v>
      </c>
      <c r="D45" s="11" t="s">
        <v>21</v>
      </c>
      <c r="E45" s="11" t="s">
        <v>21</v>
      </c>
      <c r="F45" s="11" t="s">
        <v>21</v>
      </c>
      <c r="G45" s="11" t="s">
        <v>21</v>
      </c>
      <c r="H45" s="11" t="s">
        <v>21</v>
      </c>
      <c r="I45" s="11" t="s">
        <v>21</v>
      </c>
      <c r="J45" s="11" t="s">
        <v>21</v>
      </c>
      <c r="K45" s="11" t="s">
        <v>21</v>
      </c>
      <c r="L45" s="11" t="s">
        <v>21</v>
      </c>
      <c r="M45" s="11" t="s">
        <v>21</v>
      </c>
      <c r="N45" s="11" t="s">
        <v>21</v>
      </c>
      <c r="O45" s="11" t="s">
        <v>21</v>
      </c>
      <c r="P45" s="11" t="s">
        <v>21</v>
      </c>
      <c r="Q45" s="21" t="s">
        <v>21</v>
      </c>
      <c r="R45" s="21" t="s">
        <v>21</v>
      </c>
      <c r="S45" s="16"/>
      <c r="T45" s="16"/>
      <c r="U45" s="17">
        <f t="shared" si="0"/>
        <v>15</v>
      </c>
      <c r="V45" s="17">
        <f t="shared" si="1"/>
        <v>1</v>
      </c>
      <c r="W45" s="17">
        <f t="shared" si="2"/>
        <v>16</v>
      </c>
      <c r="X45" s="18">
        <f t="shared" si="3"/>
        <v>93.75</v>
      </c>
    </row>
    <row r="46" spans="1:24" ht="15.75" customHeight="1">
      <c r="A46" s="11">
        <v>35</v>
      </c>
      <c r="B46" s="19" t="s">
        <v>169</v>
      </c>
      <c r="C46" s="35" t="s">
        <v>170</v>
      </c>
      <c r="D46" s="11" t="s">
        <v>21</v>
      </c>
      <c r="E46" s="11" t="s">
        <v>21</v>
      </c>
      <c r="F46" s="11" t="s">
        <v>21</v>
      </c>
      <c r="G46" s="11" t="s">
        <v>21</v>
      </c>
      <c r="H46" s="11" t="s">
        <v>21</v>
      </c>
      <c r="I46" s="11" t="s">
        <v>21</v>
      </c>
      <c r="J46" s="11" t="s">
        <v>21</v>
      </c>
      <c r="K46" s="11" t="s">
        <v>21</v>
      </c>
      <c r="L46" s="11" t="s">
        <v>21</v>
      </c>
      <c r="M46" s="11" t="s">
        <v>21</v>
      </c>
      <c r="N46" s="11" t="s">
        <v>21</v>
      </c>
      <c r="O46" s="11" t="s">
        <v>21</v>
      </c>
      <c r="P46" s="11" t="s">
        <v>21</v>
      </c>
      <c r="Q46" s="16" t="s">
        <v>21</v>
      </c>
      <c r="R46" s="16" t="s">
        <v>21</v>
      </c>
      <c r="S46" s="16"/>
      <c r="T46" s="16"/>
      <c r="U46" s="17">
        <f t="shared" si="0"/>
        <v>15</v>
      </c>
      <c r="V46" s="17">
        <f t="shared" si="1"/>
        <v>1</v>
      </c>
      <c r="W46" s="17">
        <f t="shared" si="2"/>
        <v>16</v>
      </c>
      <c r="X46" s="18">
        <f t="shared" si="3"/>
        <v>93.75</v>
      </c>
    </row>
    <row r="47" spans="1:24" ht="15.75" customHeight="1">
      <c r="A47" s="26">
        <v>36</v>
      </c>
      <c r="B47" s="31" t="s">
        <v>171</v>
      </c>
      <c r="C47" s="36" t="s">
        <v>172</v>
      </c>
      <c r="D47" s="11" t="s">
        <v>21</v>
      </c>
      <c r="E47" s="11" t="s">
        <v>21</v>
      </c>
      <c r="F47" s="11" t="s">
        <v>21</v>
      </c>
      <c r="G47" s="11" t="s">
        <v>21</v>
      </c>
      <c r="H47" s="14" t="s">
        <v>22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 t="s">
        <v>21</v>
      </c>
      <c r="O47" s="11" t="s">
        <v>21</v>
      </c>
      <c r="P47" s="11" t="s">
        <v>21</v>
      </c>
      <c r="Q47" s="37" t="s">
        <v>21</v>
      </c>
      <c r="R47" s="37" t="s">
        <v>21</v>
      </c>
      <c r="S47" s="37"/>
      <c r="T47" s="37"/>
      <c r="U47" s="17">
        <f t="shared" si="0"/>
        <v>15</v>
      </c>
      <c r="V47" s="17">
        <f t="shared" si="1"/>
        <v>2</v>
      </c>
      <c r="W47" s="17">
        <f t="shared" si="2"/>
        <v>17</v>
      </c>
      <c r="X47" s="27">
        <f t="shared" si="3"/>
        <v>88.235294117647058</v>
      </c>
    </row>
    <row r="48" spans="1:24" ht="15.75" customHeight="1">
      <c r="A48" s="11">
        <v>37</v>
      </c>
      <c r="B48" s="24" t="s">
        <v>173</v>
      </c>
      <c r="C48" s="25" t="s">
        <v>174</v>
      </c>
      <c r="D48" s="11" t="s">
        <v>21</v>
      </c>
      <c r="E48" s="11" t="s">
        <v>21</v>
      </c>
      <c r="F48" s="11" t="s">
        <v>21</v>
      </c>
      <c r="G48" s="11" t="s">
        <v>21</v>
      </c>
      <c r="H48" s="11" t="s">
        <v>21</v>
      </c>
      <c r="I48" s="11" t="s">
        <v>21</v>
      </c>
      <c r="J48" s="11" t="s">
        <v>21</v>
      </c>
      <c r="K48" s="11" t="s">
        <v>21</v>
      </c>
      <c r="L48" s="11" t="s">
        <v>21</v>
      </c>
      <c r="M48" s="11" t="s">
        <v>21</v>
      </c>
      <c r="N48" s="14" t="s">
        <v>22</v>
      </c>
      <c r="O48" s="11" t="s">
        <v>21</v>
      </c>
      <c r="P48" s="11" t="s">
        <v>21</v>
      </c>
      <c r="Q48" s="16" t="s">
        <v>21</v>
      </c>
      <c r="R48" s="16" t="s">
        <v>21</v>
      </c>
      <c r="S48" s="16"/>
      <c r="T48" s="16"/>
      <c r="U48" s="17">
        <f t="shared" si="0"/>
        <v>15</v>
      </c>
      <c r="V48" s="17">
        <f t="shared" si="1"/>
        <v>2</v>
      </c>
      <c r="W48" s="17">
        <f t="shared" si="2"/>
        <v>17</v>
      </c>
      <c r="X48" s="18">
        <f t="shared" si="3"/>
        <v>88.235294117647058</v>
      </c>
    </row>
    <row r="49" spans="1:26" ht="15.75" customHeight="1">
      <c r="A49" s="11">
        <v>38</v>
      </c>
      <c r="B49" s="24" t="s">
        <v>175</v>
      </c>
      <c r="C49" s="25" t="s">
        <v>176</v>
      </c>
      <c r="D49" s="11" t="s">
        <v>21</v>
      </c>
      <c r="E49" s="11" t="s">
        <v>21</v>
      </c>
      <c r="F49" s="11" t="s">
        <v>21</v>
      </c>
      <c r="G49" s="11" t="s">
        <v>21</v>
      </c>
      <c r="H49" s="11" t="s">
        <v>21</v>
      </c>
      <c r="I49" s="11" t="s">
        <v>21</v>
      </c>
      <c r="J49" s="11" t="s">
        <v>21</v>
      </c>
      <c r="K49" s="11" t="s">
        <v>21</v>
      </c>
      <c r="L49" s="11" t="s">
        <v>21</v>
      </c>
      <c r="M49" s="11" t="s">
        <v>21</v>
      </c>
      <c r="N49" s="11" t="s">
        <v>21</v>
      </c>
      <c r="O49" s="11" t="s">
        <v>21</v>
      </c>
      <c r="P49" s="11" t="s">
        <v>21</v>
      </c>
      <c r="Q49" s="11" t="s">
        <v>22</v>
      </c>
      <c r="R49" s="21" t="s">
        <v>21</v>
      </c>
      <c r="S49" s="16"/>
      <c r="T49" s="16"/>
      <c r="U49" s="17">
        <f t="shared" si="0"/>
        <v>14</v>
      </c>
      <c r="V49" s="17">
        <f t="shared" si="1"/>
        <v>1</v>
      </c>
      <c r="W49" s="17">
        <f t="shared" si="2"/>
        <v>15</v>
      </c>
      <c r="X49" s="18">
        <f t="shared" si="3"/>
        <v>93.333333333333329</v>
      </c>
    </row>
    <row r="50" spans="1:26" ht="15.75" customHeight="1">
      <c r="A50" s="11">
        <v>39</v>
      </c>
      <c r="B50" s="24" t="s">
        <v>177</v>
      </c>
      <c r="C50" s="25" t="s">
        <v>178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 t="s">
        <v>21</v>
      </c>
      <c r="M50" s="11" t="s">
        <v>21</v>
      </c>
      <c r="N50" s="11" t="s">
        <v>21</v>
      </c>
      <c r="O50" s="11" t="s">
        <v>21</v>
      </c>
      <c r="P50" s="11" t="s">
        <v>21</v>
      </c>
      <c r="Q50" s="16" t="s">
        <v>21</v>
      </c>
      <c r="R50" s="21" t="s">
        <v>21</v>
      </c>
      <c r="S50" s="16"/>
      <c r="T50" s="16"/>
      <c r="U50" s="17">
        <f t="shared" si="0"/>
        <v>15</v>
      </c>
      <c r="V50" s="17">
        <f t="shared" si="1"/>
        <v>1</v>
      </c>
      <c r="W50" s="17">
        <f t="shared" si="2"/>
        <v>16</v>
      </c>
      <c r="X50" s="18">
        <f t="shared" si="3"/>
        <v>93.75</v>
      </c>
    </row>
    <row r="51" spans="1:26" ht="15.75" customHeight="1">
      <c r="A51" s="4"/>
      <c r="B51" s="2"/>
      <c r="C51" s="28"/>
      <c r="D51" s="2"/>
      <c r="E51" s="2"/>
      <c r="F51" s="2"/>
      <c r="G51" s="28"/>
      <c r="H51" s="28"/>
      <c r="I51" s="28"/>
      <c r="J51" s="28"/>
      <c r="K51" s="28"/>
      <c r="L51" s="39"/>
      <c r="M51" s="39"/>
      <c r="N51" s="39"/>
      <c r="O51" s="28"/>
      <c r="P51" s="28"/>
      <c r="Q51" s="39"/>
      <c r="R51" s="39"/>
      <c r="S51" s="28"/>
      <c r="T51" s="28"/>
      <c r="U51" s="40"/>
      <c r="V51" s="40"/>
      <c r="W51" s="40"/>
      <c r="X51" s="41"/>
      <c r="Y51" s="28"/>
      <c r="Z51" s="28"/>
    </row>
    <row r="52" spans="1:26" ht="15.75" customHeight="1">
      <c r="A52" s="4"/>
      <c r="B52" s="2"/>
      <c r="C52" s="28"/>
      <c r="D52" s="2">
        <f t="shared" ref="D52:H52" si="4">COUNTIF(D12:D50,"P")</f>
        <v>39</v>
      </c>
      <c r="E52" s="2">
        <f t="shared" si="4"/>
        <v>37</v>
      </c>
      <c r="F52" s="2">
        <f t="shared" si="4"/>
        <v>38</v>
      </c>
      <c r="G52" s="2">
        <f t="shared" si="4"/>
        <v>36</v>
      </c>
      <c r="H52" s="2">
        <f t="shared" si="4"/>
        <v>37</v>
      </c>
      <c r="I52" s="2"/>
      <c r="J52" s="2"/>
      <c r="K52" s="2">
        <f t="shared" ref="K52:L52" si="5">COUNTIF(K12:K50,"P")</f>
        <v>38</v>
      </c>
      <c r="L52" s="2">
        <f t="shared" si="5"/>
        <v>35</v>
      </c>
      <c r="M52" s="2"/>
      <c r="N52" s="2">
        <f>COUNTIF(N12:N50,"P")</f>
        <v>36</v>
      </c>
      <c r="O52" s="2"/>
      <c r="P52" s="2">
        <f t="shared" ref="P52:T52" si="6">COUNTIF(P12:P50,"P")</f>
        <v>39</v>
      </c>
      <c r="Q52" s="2">
        <f t="shared" si="6"/>
        <v>30</v>
      </c>
      <c r="R52" s="2">
        <f t="shared" si="6"/>
        <v>38</v>
      </c>
      <c r="S52" s="2">
        <f t="shared" si="6"/>
        <v>0</v>
      </c>
      <c r="T52" s="2">
        <f t="shared" si="6"/>
        <v>0</v>
      </c>
      <c r="U52" s="40"/>
      <c r="V52" s="40"/>
      <c r="W52" s="40"/>
      <c r="X52" s="41"/>
      <c r="Y52" s="28"/>
      <c r="Z52" s="28"/>
    </row>
    <row r="53" spans="1:26" ht="15.75" customHeight="1">
      <c r="A53" s="4"/>
      <c r="B53" s="2"/>
      <c r="C53" s="28"/>
      <c r="D53" s="2"/>
      <c r="E53" s="2"/>
      <c r="F53" s="2"/>
      <c r="G53" s="28"/>
      <c r="H53" s="28"/>
      <c r="I53" s="28"/>
      <c r="J53" s="28"/>
      <c r="K53" s="28"/>
      <c r="L53" s="39"/>
      <c r="M53" s="28"/>
      <c r="N53" s="28"/>
      <c r="O53" s="28"/>
      <c r="P53" s="28"/>
      <c r="Q53" s="39"/>
      <c r="R53" s="28"/>
      <c r="S53" s="28"/>
      <c r="T53" s="28"/>
      <c r="U53" s="40"/>
      <c r="V53" s="40"/>
      <c r="W53" s="40"/>
      <c r="X53" s="41"/>
      <c r="Y53" s="28"/>
      <c r="Z53" s="28"/>
    </row>
    <row r="54" spans="1:26" ht="15.75" customHeight="1">
      <c r="F54" s="2"/>
      <c r="U54" s="2"/>
      <c r="V54" s="2"/>
      <c r="W54" s="2"/>
      <c r="X54" s="4"/>
    </row>
    <row r="55" spans="1:26" ht="15.75" customHeight="1">
      <c r="F55" s="2"/>
      <c r="U55" s="2"/>
      <c r="V55" s="2"/>
      <c r="W55" s="2"/>
      <c r="X55" s="4"/>
    </row>
    <row r="56" spans="1:26" ht="15.75" customHeight="1">
      <c r="F56" s="2"/>
      <c r="U56" s="2"/>
      <c r="V56" s="2"/>
      <c r="W56" s="2"/>
      <c r="X56" s="4"/>
    </row>
    <row r="57" spans="1:26" ht="15.75" customHeight="1">
      <c r="F57" s="2"/>
      <c r="U57" s="2"/>
      <c r="V57" s="2"/>
      <c r="W57" s="2"/>
      <c r="X57" s="4"/>
    </row>
    <row r="58" spans="1:26" ht="15.75" customHeight="1">
      <c r="F58" s="2"/>
      <c r="U58" s="2"/>
      <c r="V58" s="2"/>
      <c r="W58" s="2"/>
      <c r="X58" s="4"/>
    </row>
    <row r="59" spans="1:26" ht="15.75" customHeight="1">
      <c r="F59" s="2"/>
      <c r="U59" s="2"/>
      <c r="V59" s="2"/>
      <c r="W59" s="2"/>
      <c r="X59" s="4"/>
    </row>
    <row r="60" spans="1:26" ht="15.75" customHeight="1">
      <c r="F60" s="2"/>
      <c r="U60" s="2"/>
      <c r="V60" s="2"/>
      <c r="W60" s="2"/>
      <c r="X60" s="4"/>
    </row>
    <row r="61" spans="1:26" ht="15.75" customHeight="1">
      <c r="F61" s="2"/>
      <c r="U61" s="2"/>
      <c r="V61" s="2"/>
      <c r="W61" s="2"/>
      <c r="X61" s="4"/>
    </row>
    <row r="62" spans="1:26" ht="15.75" customHeight="1">
      <c r="F62" s="2"/>
      <c r="U62" s="2"/>
      <c r="V62" s="2"/>
      <c r="W62" s="2"/>
      <c r="X62" s="4"/>
    </row>
    <row r="63" spans="1:26" ht="15.75" customHeight="1">
      <c r="F63" s="2"/>
      <c r="U63" s="2"/>
      <c r="V63" s="2"/>
      <c r="W63" s="2"/>
      <c r="X63" s="4"/>
    </row>
    <row r="64" spans="1:26" ht="15.75" customHeight="1">
      <c r="F64" s="2"/>
      <c r="U64" s="2"/>
      <c r="V64" s="2"/>
      <c r="W64" s="2"/>
      <c r="X64" s="4"/>
    </row>
    <row r="65" spans="6:24" ht="15.75" customHeight="1">
      <c r="F65" s="2"/>
      <c r="U65" s="2"/>
      <c r="V65" s="2"/>
      <c r="W65" s="2"/>
      <c r="X65" s="4"/>
    </row>
    <row r="66" spans="6:24" ht="15.75" customHeight="1">
      <c r="F66" s="2"/>
      <c r="U66" s="2"/>
      <c r="V66" s="2"/>
      <c r="W66" s="2"/>
      <c r="X66" s="4"/>
    </row>
    <row r="67" spans="6:24" ht="15.75" customHeight="1">
      <c r="F67" s="2"/>
      <c r="U67" s="2"/>
      <c r="V67" s="2"/>
      <c r="W67" s="2"/>
      <c r="X67" s="4"/>
    </row>
    <row r="68" spans="6:24" ht="15.75" customHeight="1">
      <c r="F68" s="2"/>
      <c r="U68" s="2"/>
      <c r="V68" s="2"/>
      <c r="W68" s="2"/>
      <c r="X68" s="4"/>
    </row>
    <row r="69" spans="6:24" ht="15.75" customHeight="1">
      <c r="F69" s="2"/>
      <c r="U69" s="2"/>
      <c r="V69" s="2"/>
      <c r="W69" s="2"/>
      <c r="X69" s="4"/>
    </row>
    <row r="70" spans="6:24" ht="15.75" customHeight="1">
      <c r="F70" s="2"/>
      <c r="U70" s="2"/>
      <c r="V70" s="2"/>
      <c r="W70" s="2"/>
      <c r="X70" s="4"/>
    </row>
    <row r="71" spans="6:24" ht="15.75" customHeight="1">
      <c r="F71" s="2"/>
      <c r="U71" s="2"/>
      <c r="V71" s="2"/>
      <c r="W71" s="2"/>
      <c r="X71" s="4"/>
    </row>
    <row r="72" spans="6:24" ht="15.75" customHeight="1">
      <c r="F72" s="2"/>
      <c r="U72" s="2"/>
      <c r="V72" s="2"/>
      <c r="W72" s="2"/>
      <c r="X72" s="4"/>
    </row>
    <row r="73" spans="6:24" ht="15.75" customHeight="1">
      <c r="F73" s="2"/>
      <c r="U73" s="2"/>
      <c r="V73" s="2"/>
      <c r="W73" s="2"/>
      <c r="X73" s="4"/>
    </row>
    <row r="74" spans="6:24" ht="15.75" customHeight="1">
      <c r="F74" s="2"/>
      <c r="U74" s="2"/>
      <c r="V74" s="2"/>
      <c r="W74" s="2"/>
      <c r="X74" s="4"/>
    </row>
    <row r="75" spans="6:24" ht="15.75" customHeight="1">
      <c r="F75" s="2"/>
      <c r="U75" s="2"/>
      <c r="V75" s="2"/>
      <c r="W75" s="2"/>
      <c r="X75" s="4"/>
    </row>
    <row r="76" spans="6:24" ht="15.75" customHeight="1">
      <c r="F76" s="2"/>
      <c r="U76" s="2"/>
      <c r="V76" s="2"/>
      <c r="W76" s="2"/>
      <c r="X76" s="4"/>
    </row>
    <row r="77" spans="6:24" ht="15.75" customHeight="1">
      <c r="F77" s="2"/>
      <c r="U77" s="2"/>
      <c r="V77" s="2"/>
      <c r="W77" s="2"/>
      <c r="X77" s="4"/>
    </row>
    <row r="78" spans="6:24" ht="15.75" customHeight="1">
      <c r="F78" s="2"/>
      <c r="U78" s="2"/>
      <c r="V78" s="2"/>
      <c r="W78" s="2"/>
      <c r="X78" s="4"/>
    </row>
    <row r="79" spans="6:24" ht="15.75" customHeight="1">
      <c r="F79" s="2"/>
      <c r="U79" s="2"/>
      <c r="V79" s="2"/>
      <c r="W79" s="2"/>
      <c r="X79" s="4"/>
    </row>
    <row r="80" spans="6:24" ht="15.75" customHeight="1">
      <c r="F80" s="2"/>
      <c r="U80" s="2"/>
      <c r="V80" s="2"/>
      <c r="W80" s="2"/>
      <c r="X80" s="4"/>
    </row>
    <row r="81" spans="6:24" ht="15.75" customHeight="1">
      <c r="F81" s="2"/>
      <c r="U81" s="2"/>
      <c r="V81" s="2"/>
      <c r="W81" s="2"/>
      <c r="X81" s="4"/>
    </row>
    <row r="82" spans="6:24" ht="15.75" customHeight="1">
      <c r="F82" s="2"/>
      <c r="U82" s="2"/>
      <c r="V82" s="2"/>
      <c r="W82" s="2"/>
      <c r="X82" s="4"/>
    </row>
    <row r="83" spans="6:24" ht="15.75" customHeight="1">
      <c r="F83" s="2"/>
      <c r="U83" s="2"/>
      <c r="V83" s="2"/>
      <c r="W83" s="2"/>
      <c r="X83" s="4"/>
    </row>
    <row r="84" spans="6:24" ht="15.75" customHeight="1">
      <c r="F84" s="2"/>
      <c r="U84" s="2"/>
      <c r="V84" s="2"/>
      <c r="W84" s="2"/>
      <c r="X84" s="4"/>
    </row>
    <row r="85" spans="6:24" ht="15.75" customHeight="1">
      <c r="F85" s="2"/>
      <c r="U85" s="2"/>
      <c r="V85" s="2"/>
      <c r="W85" s="2"/>
      <c r="X85" s="4"/>
    </row>
    <row r="86" spans="6:24" ht="15.75" customHeight="1">
      <c r="F86" s="2"/>
      <c r="U86" s="2"/>
      <c r="V86" s="2"/>
      <c r="W86" s="2"/>
      <c r="X86" s="4"/>
    </row>
    <row r="87" spans="6:24" ht="15.75" customHeight="1">
      <c r="F87" s="2"/>
      <c r="U87" s="2"/>
      <c r="V87" s="2"/>
      <c r="W87" s="2"/>
      <c r="X87" s="4"/>
    </row>
    <row r="88" spans="6:24" ht="15.75" customHeight="1">
      <c r="F88" s="2"/>
      <c r="U88" s="2"/>
      <c r="V88" s="2"/>
      <c r="W88" s="2"/>
      <c r="X88" s="4"/>
    </row>
    <row r="89" spans="6:24" ht="15.75" customHeight="1">
      <c r="F89" s="2"/>
      <c r="U89" s="2"/>
      <c r="V89" s="2"/>
      <c r="W89" s="2"/>
      <c r="X89" s="4"/>
    </row>
    <row r="90" spans="6:24" ht="15.75" customHeight="1">
      <c r="F90" s="2"/>
      <c r="U90" s="2"/>
      <c r="V90" s="2"/>
      <c r="W90" s="2"/>
      <c r="X90" s="4"/>
    </row>
    <row r="91" spans="6:24" ht="15.75" customHeight="1">
      <c r="F91" s="2"/>
      <c r="U91" s="2"/>
      <c r="V91" s="2"/>
      <c r="W91" s="2"/>
      <c r="X91" s="4"/>
    </row>
    <row r="92" spans="6:24" ht="15.75" customHeight="1">
      <c r="F92" s="2"/>
      <c r="U92" s="2"/>
      <c r="V92" s="2"/>
      <c r="W92" s="2"/>
      <c r="X92" s="4"/>
    </row>
    <row r="93" spans="6:24" ht="15.75" customHeight="1">
      <c r="F93" s="2"/>
      <c r="U93" s="2"/>
      <c r="V93" s="2"/>
      <c r="W93" s="2"/>
      <c r="X93" s="4"/>
    </row>
    <row r="94" spans="6:24" ht="15.75" customHeight="1">
      <c r="F94" s="2"/>
      <c r="U94" s="2"/>
      <c r="V94" s="2"/>
      <c r="W94" s="2"/>
      <c r="X94" s="4"/>
    </row>
    <row r="95" spans="6:24" ht="15.75" customHeight="1">
      <c r="F95" s="2"/>
      <c r="U95" s="2"/>
      <c r="V95" s="2"/>
      <c r="W95" s="2"/>
      <c r="X95" s="4"/>
    </row>
    <row r="96" spans="6:24" ht="15.75" customHeight="1">
      <c r="F96" s="2"/>
      <c r="U96" s="2"/>
      <c r="V96" s="2"/>
      <c r="W96" s="2"/>
      <c r="X96" s="4"/>
    </row>
    <row r="97" spans="6:24" ht="15.75" customHeight="1">
      <c r="F97" s="2"/>
      <c r="U97" s="2"/>
      <c r="V97" s="2"/>
      <c r="W97" s="2"/>
      <c r="X97" s="4"/>
    </row>
    <row r="98" spans="6:24" ht="15.75" customHeight="1">
      <c r="F98" s="2"/>
      <c r="U98" s="2"/>
      <c r="V98" s="2"/>
      <c r="W98" s="2"/>
      <c r="X98" s="4"/>
    </row>
    <row r="99" spans="6:24" ht="15.75" customHeight="1">
      <c r="F99" s="2"/>
      <c r="U99" s="2"/>
      <c r="V99" s="2"/>
      <c r="W99" s="2"/>
      <c r="X99" s="4"/>
    </row>
    <row r="100" spans="6:24" ht="15.75" customHeight="1">
      <c r="F100" s="2"/>
      <c r="U100" s="2"/>
      <c r="V100" s="2"/>
      <c r="W100" s="2"/>
      <c r="X100" s="4"/>
    </row>
    <row r="101" spans="6:24" ht="15.75" customHeight="1">
      <c r="F101" s="2"/>
      <c r="U101" s="2"/>
      <c r="V101" s="2"/>
      <c r="W101" s="2"/>
      <c r="X101" s="4"/>
    </row>
    <row r="102" spans="6:24" ht="15.75" customHeight="1">
      <c r="F102" s="2"/>
      <c r="U102" s="2"/>
      <c r="V102" s="2"/>
      <c r="W102" s="2"/>
      <c r="X102" s="4"/>
    </row>
    <row r="103" spans="6:24" ht="15.75" customHeight="1">
      <c r="F103" s="2"/>
      <c r="U103" s="2"/>
      <c r="V103" s="2"/>
      <c r="W103" s="2"/>
      <c r="X103" s="4"/>
    </row>
    <row r="104" spans="6:24" ht="15.75" customHeight="1">
      <c r="F104" s="2"/>
      <c r="U104" s="2"/>
      <c r="V104" s="2"/>
      <c r="W104" s="2"/>
      <c r="X104" s="4"/>
    </row>
    <row r="105" spans="6:24" ht="15.75" customHeight="1">
      <c r="F105" s="2"/>
      <c r="U105" s="2"/>
      <c r="V105" s="2"/>
      <c r="W105" s="2"/>
      <c r="X105" s="4"/>
    </row>
    <row r="106" spans="6:24" ht="15.75" customHeight="1">
      <c r="F106" s="2"/>
      <c r="U106" s="2"/>
      <c r="V106" s="2"/>
      <c r="W106" s="2"/>
      <c r="X106" s="4"/>
    </row>
    <row r="107" spans="6:24" ht="15.75" customHeight="1">
      <c r="F107" s="2"/>
      <c r="U107" s="2"/>
      <c r="V107" s="2"/>
      <c r="W107" s="2"/>
      <c r="X107" s="4"/>
    </row>
    <row r="108" spans="6:24" ht="15.75" customHeight="1">
      <c r="F108" s="2"/>
      <c r="U108" s="2"/>
      <c r="V108" s="2"/>
      <c r="W108" s="2"/>
      <c r="X108" s="4"/>
    </row>
    <row r="109" spans="6:24" ht="15.75" customHeight="1">
      <c r="F109" s="2"/>
      <c r="U109" s="2"/>
      <c r="V109" s="2"/>
      <c r="W109" s="2"/>
      <c r="X109" s="4"/>
    </row>
    <row r="110" spans="6:24" ht="15.75" customHeight="1">
      <c r="F110" s="2"/>
      <c r="U110" s="2"/>
      <c r="V110" s="2"/>
      <c r="W110" s="2"/>
      <c r="X110" s="4"/>
    </row>
    <row r="111" spans="6:24" ht="15.75" customHeight="1">
      <c r="F111" s="2"/>
      <c r="U111" s="2"/>
      <c r="V111" s="2"/>
      <c r="W111" s="2"/>
      <c r="X111" s="4"/>
    </row>
    <row r="112" spans="6:24" ht="15.75" customHeight="1">
      <c r="F112" s="2"/>
      <c r="U112" s="2"/>
      <c r="V112" s="2"/>
      <c r="W112" s="2"/>
      <c r="X112" s="4"/>
    </row>
    <row r="113" spans="6:24" ht="15.75" customHeight="1">
      <c r="F113" s="2"/>
      <c r="U113" s="2"/>
      <c r="V113" s="2"/>
      <c r="W113" s="2"/>
      <c r="X113" s="4"/>
    </row>
    <row r="114" spans="6:24" ht="15.75" customHeight="1">
      <c r="F114" s="2"/>
      <c r="U114" s="2"/>
      <c r="V114" s="2"/>
      <c r="W114" s="2"/>
      <c r="X114" s="4"/>
    </row>
    <row r="115" spans="6:24" ht="15.75" customHeight="1">
      <c r="F115" s="2"/>
      <c r="U115" s="2"/>
      <c r="V115" s="2"/>
      <c r="W115" s="2"/>
      <c r="X115" s="4"/>
    </row>
    <row r="116" spans="6:24" ht="15.75" customHeight="1">
      <c r="F116" s="2"/>
      <c r="U116" s="2"/>
      <c r="V116" s="2"/>
      <c r="W116" s="2"/>
      <c r="X116" s="4"/>
    </row>
    <row r="117" spans="6:24" ht="15.75" customHeight="1">
      <c r="F117" s="2"/>
      <c r="U117" s="2"/>
      <c r="V117" s="2"/>
      <c r="W117" s="2"/>
      <c r="X117" s="4"/>
    </row>
    <row r="118" spans="6:24" ht="15.75" customHeight="1">
      <c r="F118" s="2"/>
      <c r="U118" s="2"/>
      <c r="V118" s="2"/>
      <c r="W118" s="2"/>
      <c r="X118" s="4"/>
    </row>
    <row r="119" spans="6:24" ht="15.75" customHeight="1">
      <c r="F119" s="2"/>
      <c r="U119" s="2"/>
      <c r="V119" s="2"/>
      <c r="W119" s="2"/>
      <c r="X119" s="4"/>
    </row>
    <row r="120" spans="6:24" ht="15.75" customHeight="1">
      <c r="F120" s="2"/>
      <c r="U120" s="2"/>
      <c r="V120" s="2"/>
      <c r="W120" s="2"/>
      <c r="X120" s="4"/>
    </row>
    <row r="121" spans="6:24" ht="15.75" customHeight="1">
      <c r="F121" s="2"/>
      <c r="U121" s="2"/>
      <c r="V121" s="2"/>
      <c r="W121" s="2"/>
      <c r="X121" s="4"/>
    </row>
    <row r="122" spans="6:24" ht="15.75" customHeight="1">
      <c r="F122" s="2"/>
      <c r="U122" s="2"/>
      <c r="V122" s="2"/>
      <c r="W122" s="2"/>
      <c r="X122" s="4"/>
    </row>
    <row r="123" spans="6:24" ht="15.75" customHeight="1">
      <c r="F123" s="2"/>
      <c r="U123" s="2"/>
      <c r="V123" s="2"/>
      <c r="W123" s="2"/>
      <c r="X123" s="4"/>
    </row>
    <row r="124" spans="6:24" ht="15.75" customHeight="1">
      <c r="F124" s="2"/>
      <c r="U124" s="2"/>
      <c r="V124" s="2"/>
      <c r="W124" s="2"/>
      <c r="X124" s="4"/>
    </row>
    <row r="125" spans="6:24" ht="15.75" customHeight="1">
      <c r="F125" s="2"/>
      <c r="U125" s="2"/>
      <c r="V125" s="2"/>
      <c r="W125" s="2"/>
      <c r="X125" s="4"/>
    </row>
    <row r="126" spans="6:24" ht="15.75" customHeight="1">
      <c r="F126" s="2"/>
      <c r="U126" s="2"/>
      <c r="V126" s="2"/>
      <c r="W126" s="2"/>
      <c r="X126" s="4"/>
    </row>
    <row r="127" spans="6:24" ht="15.75" customHeight="1">
      <c r="F127" s="2"/>
      <c r="U127" s="2"/>
      <c r="V127" s="2"/>
      <c r="W127" s="2"/>
      <c r="X127" s="4"/>
    </row>
    <row r="128" spans="6:24" ht="15.75" customHeight="1">
      <c r="F128" s="2"/>
      <c r="U128" s="2"/>
      <c r="V128" s="2"/>
      <c r="W128" s="2"/>
      <c r="X128" s="4"/>
    </row>
    <row r="129" spans="6:24" ht="15.75" customHeight="1">
      <c r="F129" s="2"/>
      <c r="U129" s="2"/>
      <c r="V129" s="2"/>
      <c r="W129" s="2"/>
      <c r="X129" s="4"/>
    </row>
    <row r="130" spans="6:24" ht="15.75" customHeight="1">
      <c r="F130" s="2"/>
      <c r="U130" s="2"/>
      <c r="V130" s="2"/>
      <c r="W130" s="2"/>
      <c r="X130" s="4"/>
    </row>
    <row r="131" spans="6:24" ht="15.75" customHeight="1">
      <c r="F131" s="2"/>
      <c r="U131" s="2"/>
      <c r="V131" s="2"/>
      <c r="W131" s="2"/>
      <c r="X131" s="4"/>
    </row>
    <row r="132" spans="6:24" ht="15.75" customHeight="1">
      <c r="F132" s="2"/>
      <c r="U132" s="2"/>
      <c r="V132" s="2"/>
      <c r="W132" s="2"/>
      <c r="X132" s="4"/>
    </row>
    <row r="133" spans="6:24" ht="15.75" customHeight="1">
      <c r="F133" s="2"/>
      <c r="U133" s="2"/>
      <c r="V133" s="2"/>
      <c r="W133" s="2"/>
      <c r="X133" s="4"/>
    </row>
    <row r="134" spans="6:24" ht="15.75" customHeight="1">
      <c r="F134" s="2"/>
      <c r="U134" s="2"/>
      <c r="V134" s="2"/>
      <c r="W134" s="2"/>
      <c r="X134" s="4"/>
    </row>
    <row r="135" spans="6:24" ht="15.75" customHeight="1">
      <c r="F135" s="2"/>
      <c r="U135" s="2"/>
      <c r="V135" s="2"/>
      <c r="W135" s="2"/>
      <c r="X135" s="4"/>
    </row>
    <row r="136" spans="6:24" ht="15.75" customHeight="1">
      <c r="F136" s="2"/>
      <c r="U136" s="2"/>
      <c r="V136" s="2"/>
      <c r="W136" s="2"/>
      <c r="X136" s="4"/>
    </row>
    <row r="137" spans="6:24" ht="15.75" customHeight="1">
      <c r="F137" s="2"/>
      <c r="U137" s="2"/>
      <c r="V137" s="2"/>
      <c r="W137" s="2"/>
      <c r="X137" s="4"/>
    </row>
    <row r="138" spans="6:24" ht="15.75" customHeight="1">
      <c r="F138" s="2"/>
      <c r="U138" s="2"/>
      <c r="V138" s="2"/>
      <c r="W138" s="2"/>
      <c r="X138" s="4"/>
    </row>
    <row r="139" spans="6:24" ht="15.75" customHeight="1">
      <c r="F139" s="2"/>
      <c r="U139" s="2"/>
      <c r="V139" s="2"/>
      <c r="W139" s="2"/>
      <c r="X139" s="4"/>
    </row>
    <row r="140" spans="6:24" ht="15.75" customHeight="1">
      <c r="F140" s="2"/>
      <c r="U140" s="2"/>
      <c r="V140" s="2"/>
      <c r="W140" s="2"/>
      <c r="X140" s="4"/>
    </row>
    <row r="141" spans="6:24" ht="15.75" customHeight="1">
      <c r="F141" s="2"/>
      <c r="U141" s="2"/>
      <c r="V141" s="2"/>
      <c r="W141" s="2"/>
      <c r="X141" s="4"/>
    </row>
    <row r="142" spans="6:24" ht="15.75" customHeight="1">
      <c r="F142" s="2"/>
      <c r="U142" s="2"/>
      <c r="V142" s="2"/>
      <c r="W142" s="2"/>
      <c r="X142" s="4"/>
    </row>
    <row r="143" spans="6:24" ht="15.75" customHeight="1">
      <c r="F143" s="2"/>
      <c r="U143" s="2"/>
      <c r="V143" s="2"/>
      <c r="W143" s="2"/>
      <c r="X143" s="4"/>
    </row>
    <row r="144" spans="6:24" ht="15.75" customHeight="1">
      <c r="F144" s="2"/>
      <c r="U144" s="2"/>
      <c r="V144" s="2"/>
      <c r="W144" s="2"/>
      <c r="X144" s="4"/>
    </row>
    <row r="145" spans="6:24" ht="15.75" customHeight="1">
      <c r="F145" s="2"/>
      <c r="U145" s="2"/>
      <c r="V145" s="2"/>
      <c r="W145" s="2"/>
      <c r="X145" s="4"/>
    </row>
    <row r="146" spans="6:24" ht="15.75" customHeight="1">
      <c r="F146" s="2"/>
      <c r="U146" s="2"/>
      <c r="V146" s="2"/>
      <c r="W146" s="2"/>
      <c r="X146" s="4"/>
    </row>
    <row r="147" spans="6:24" ht="15.75" customHeight="1">
      <c r="F147" s="2"/>
      <c r="U147" s="2"/>
      <c r="V147" s="2"/>
      <c r="W147" s="2"/>
      <c r="X147" s="4"/>
    </row>
    <row r="148" spans="6:24" ht="15.75" customHeight="1">
      <c r="F148" s="2"/>
      <c r="U148" s="2"/>
      <c r="V148" s="2"/>
      <c r="W148" s="2"/>
      <c r="X148" s="4"/>
    </row>
    <row r="149" spans="6:24" ht="15.75" customHeight="1">
      <c r="F149" s="2"/>
      <c r="U149" s="2"/>
      <c r="V149" s="2"/>
      <c r="W149" s="2"/>
      <c r="X149" s="4"/>
    </row>
    <row r="150" spans="6:24" ht="15.75" customHeight="1">
      <c r="F150" s="2"/>
      <c r="U150" s="2"/>
      <c r="V150" s="2"/>
      <c r="W150" s="2"/>
      <c r="X150" s="4"/>
    </row>
    <row r="151" spans="6:24" ht="15.75" customHeight="1">
      <c r="F151" s="2"/>
      <c r="U151" s="2"/>
      <c r="V151" s="2"/>
      <c r="W151" s="2"/>
      <c r="X151" s="4"/>
    </row>
    <row r="152" spans="6:24" ht="15.75" customHeight="1">
      <c r="F152" s="2"/>
      <c r="U152" s="2"/>
      <c r="V152" s="2"/>
      <c r="W152" s="2"/>
      <c r="X152" s="4"/>
    </row>
    <row r="153" spans="6:24" ht="15.75" customHeight="1">
      <c r="F153" s="2"/>
      <c r="U153" s="2"/>
      <c r="V153" s="2"/>
      <c r="W153" s="2"/>
      <c r="X153" s="4"/>
    </row>
    <row r="154" spans="6:24" ht="15.75" customHeight="1">
      <c r="F154" s="2"/>
      <c r="U154" s="2"/>
      <c r="V154" s="2"/>
      <c r="W154" s="2"/>
      <c r="X154" s="4"/>
    </row>
    <row r="155" spans="6:24" ht="15.75" customHeight="1">
      <c r="F155" s="2"/>
      <c r="U155" s="2"/>
      <c r="V155" s="2"/>
      <c r="W155" s="2"/>
      <c r="X155" s="4"/>
    </row>
    <row r="156" spans="6:24" ht="15.75" customHeight="1">
      <c r="F156" s="2"/>
      <c r="U156" s="2"/>
      <c r="V156" s="2"/>
      <c r="W156" s="2"/>
      <c r="X156" s="4"/>
    </row>
    <row r="157" spans="6:24" ht="15.75" customHeight="1">
      <c r="F157" s="2"/>
      <c r="U157" s="2"/>
      <c r="V157" s="2"/>
      <c r="W157" s="2"/>
      <c r="X157" s="4"/>
    </row>
    <row r="158" spans="6:24" ht="15.75" customHeight="1">
      <c r="F158" s="2"/>
      <c r="U158" s="2"/>
      <c r="V158" s="2"/>
      <c r="W158" s="2"/>
      <c r="X158" s="4"/>
    </row>
    <row r="159" spans="6:24" ht="15.75" customHeight="1">
      <c r="F159" s="2"/>
      <c r="U159" s="2"/>
      <c r="V159" s="2"/>
      <c r="W159" s="2"/>
      <c r="X159" s="4"/>
    </row>
    <row r="160" spans="6:24" ht="15.75" customHeight="1">
      <c r="F160" s="2"/>
      <c r="U160" s="2"/>
      <c r="V160" s="2"/>
      <c r="W160" s="2"/>
      <c r="X160" s="4"/>
    </row>
    <row r="161" spans="6:24" ht="15.75" customHeight="1">
      <c r="F161" s="2"/>
      <c r="U161" s="2"/>
      <c r="V161" s="2"/>
      <c r="W161" s="2"/>
      <c r="X161" s="4"/>
    </row>
    <row r="162" spans="6:24" ht="15.75" customHeight="1">
      <c r="F162" s="2"/>
      <c r="U162" s="2"/>
      <c r="V162" s="2"/>
      <c r="W162" s="2"/>
      <c r="X162" s="4"/>
    </row>
    <row r="163" spans="6:24" ht="15.75" customHeight="1">
      <c r="F163" s="2"/>
      <c r="U163" s="2"/>
      <c r="V163" s="2"/>
      <c r="W163" s="2"/>
      <c r="X163" s="4"/>
    </row>
    <row r="164" spans="6:24" ht="15.75" customHeight="1">
      <c r="F164" s="2"/>
      <c r="U164" s="2"/>
      <c r="V164" s="2"/>
      <c r="W164" s="2"/>
      <c r="X164" s="4"/>
    </row>
    <row r="165" spans="6:24" ht="15.75" customHeight="1">
      <c r="F165" s="2"/>
      <c r="U165" s="2"/>
      <c r="V165" s="2"/>
      <c r="W165" s="2"/>
      <c r="X165" s="4"/>
    </row>
    <row r="166" spans="6:24" ht="15.75" customHeight="1">
      <c r="F166" s="2"/>
      <c r="U166" s="2"/>
      <c r="V166" s="2"/>
      <c r="W166" s="2"/>
      <c r="X166" s="4"/>
    </row>
    <row r="167" spans="6:24" ht="15.75" customHeight="1">
      <c r="F167" s="2"/>
      <c r="U167" s="2"/>
      <c r="V167" s="2"/>
      <c r="W167" s="2"/>
      <c r="X167" s="4"/>
    </row>
    <row r="168" spans="6:24" ht="15.75" customHeight="1">
      <c r="F168" s="2"/>
      <c r="U168" s="2"/>
      <c r="V168" s="2"/>
      <c r="W168" s="2"/>
      <c r="X168" s="4"/>
    </row>
    <row r="169" spans="6:24" ht="15.75" customHeight="1">
      <c r="F169" s="2"/>
      <c r="U169" s="2"/>
      <c r="V169" s="2"/>
      <c r="W169" s="2"/>
      <c r="X169" s="4"/>
    </row>
    <row r="170" spans="6:24" ht="15.75" customHeight="1">
      <c r="F170" s="2"/>
      <c r="U170" s="2"/>
      <c r="V170" s="2"/>
      <c r="W170" s="2"/>
      <c r="X170" s="4"/>
    </row>
    <row r="171" spans="6:24" ht="15.75" customHeight="1">
      <c r="F171" s="2"/>
      <c r="U171" s="2"/>
      <c r="V171" s="2"/>
      <c r="W171" s="2"/>
      <c r="X171" s="4"/>
    </row>
    <row r="172" spans="6:24" ht="15.75" customHeight="1">
      <c r="F172" s="2"/>
      <c r="U172" s="2"/>
      <c r="V172" s="2"/>
      <c r="W172" s="2"/>
      <c r="X172" s="4"/>
    </row>
    <row r="173" spans="6:24" ht="15.75" customHeight="1">
      <c r="F173" s="2"/>
      <c r="U173" s="2"/>
      <c r="V173" s="2"/>
      <c r="W173" s="2"/>
      <c r="X173" s="4"/>
    </row>
    <row r="174" spans="6:24" ht="15.75" customHeight="1">
      <c r="F174" s="2"/>
      <c r="U174" s="2"/>
      <c r="V174" s="2"/>
      <c r="W174" s="2"/>
      <c r="X174" s="4"/>
    </row>
    <row r="175" spans="6:24" ht="15.75" customHeight="1">
      <c r="F175" s="2"/>
      <c r="U175" s="2"/>
      <c r="V175" s="2"/>
      <c r="W175" s="2"/>
      <c r="X175" s="4"/>
    </row>
    <row r="176" spans="6:24" ht="15.75" customHeight="1">
      <c r="F176" s="2"/>
      <c r="U176" s="2"/>
      <c r="V176" s="2"/>
      <c r="W176" s="2"/>
      <c r="X176" s="4"/>
    </row>
    <row r="177" spans="6:24" ht="15.75" customHeight="1">
      <c r="F177" s="2"/>
      <c r="U177" s="2"/>
      <c r="V177" s="2"/>
      <c r="W177" s="2"/>
      <c r="X177" s="4"/>
    </row>
    <row r="178" spans="6:24" ht="15.75" customHeight="1">
      <c r="F178" s="2"/>
      <c r="U178" s="2"/>
      <c r="V178" s="2"/>
      <c r="W178" s="2"/>
      <c r="X178" s="4"/>
    </row>
    <row r="179" spans="6:24" ht="15.75" customHeight="1">
      <c r="F179" s="2"/>
      <c r="U179" s="2"/>
      <c r="V179" s="2"/>
      <c r="W179" s="2"/>
      <c r="X179" s="4"/>
    </row>
    <row r="180" spans="6:24" ht="15.75" customHeight="1">
      <c r="F180" s="2"/>
      <c r="U180" s="2"/>
      <c r="V180" s="2"/>
      <c r="W180" s="2"/>
      <c r="X180" s="4"/>
    </row>
    <row r="181" spans="6:24" ht="15.75" customHeight="1">
      <c r="F181" s="2"/>
      <c r="U181" s="2"/>
      <c r="V181" s="2"/>
      <c r="W181" s="2"/>
      <c r="X181" s="4"/>
    </row>
    <row r="182" spans="6:24" ht="15.75" customHeight="1">
      <c r="F182" s="2"/>
      <c r="U182" s="2"/>
      <c r="V182" s="2"/>
      <c r="W182" s="2"/>
      <c r="X182" s="4"/>
    </row>
    <row r="183" spans="6:24" ht="15.75" customHeight="1">
      <c r="F183" s="2"/>
      <c r="U183" s="2"/>
      <c r="V183" s="2"/>
      <c r="W183" s="2"/>
      <c r="X183" s="4"/>
    </row>
    <row r="184" spans="6:24" ht="15.75" customHeight="1">
      <c r="F184" s="2"/>
      <c r="U184" s="2"/>
      <c r="V184" s="2"/>
      <c r="W184" s="2"/>
      <c r="X184" s="4"/>
    </row>
    <row r="185" spans="6:24" ht="15.75" customHeight="1">
      <c r="F185" s="2"/>
      <c r="U185" s="2"/>
      <c r="V185" s="2"/>
      <c r="W185" s="2"/>
      <c r="X185" s="4"/>
    </row>
    <row r="186" spans="6:24" ht="15.75" customHeight="1">
      <c r="F186" s="2"/>
      <c r="U186" s="2"/>
      <c r="V186" s="2"/>
      <c r="W186" s="2"/>
      <c r="X186" s="4"/>
    </row>
    <row r="187" spans="6:24" ht="15.75" customHeight="1">
      <c r="F187" s="2"/>
      <c r="U187" s="2"/>
      <c r="V187" s="2"/>
      <c r="W187" s="2"/>
      <c r="X187" s="4"/>
    </row>
    <row r="188" spans="6:24" ht="15.75" customHeight="1">
      <c r="F188" s="2"/>
      <c r="U188" s="2"/>
      <c r="V188" s="2"/>
      <c r="W188" s="2"/>
      <c r="X188" s="4"/>
    </row>
    <row r="189" spans="6:24" ht="15.75" customHeight="1">
      <c r="F189" s="2"/>
      <c r="U189" s="2"/>
      <c r="V189" s="2"/>
      <c r="W189" s="2"/>
      <c r="X189" s="4"/>
    </row>
    <row r="190" spans="6:24" ht="15.75" customHeight="1">
      <c r="F190" s="2"/>
      <c r="U190" s="2"/>
      <c r="V190" s="2"/>
      <c r="W190" s="2"/>
      <c r="X190" s="4"/>
    </row>
    <row r="191" spans="6:24" ht="15.75" customHeight="1">
      <c r="F191" s="2"/>
      <c r="U191" s="2"/>
      <c r="V191" s="2"/>
      <c r="W191" s="2"/>
      <c r="X191" s="4"/>
    </row>
    <row r="192" spans="6:24" ht="15.75" customHeight="1">
      <c r="F192" s="2"/>
      <c r="U192" s="2"/>
      <c r="V192" s="2"/>
      <c r="W192" s="2"/>
      <c r="X192" s="4"/>
    </row>
    <row r="193" spans="6:24" ht="15.75" customHeight="1">
      <c r="F193" s="2"/>
      <c r="U193" s="2"/>
      <c r="V193" s="2"/>
      <c r="W193" s="2"/>
      <c r="X193" s="4"/>
    </row>
    <row r="194" spans="6:24" ht="15.75" customHeight="1">
      <c r="F194" s="2"/>
      <c r="U194" s="2"/>
      <c r="V194" s="2"/>
      <c r="W194" s="2"/>
      <c r="X194" s="4"/>
    </row>
    <row r="195" spans="6:24" ht="15.75" customHeight="1">
      <c r="F195" s="2"/>
      <c r="U195" s="2"/>
      <c r="V195" s="2"/>
      <c r="W195" s="2"/>
      <c r="X195" s="4"/>
    </row>
    <row r="196" spans="6:24" ht="15.75" customHeight="1">
      <c r="F196" s="2"/>
      <c r="U196" s="2"/>
      <c r="V196" s="2"/>
      <c r="W196" s="2"/>
      <c r="X196" s="4"/>
    </row>
    <row r="197" spans="6:24" ht="15.75" customHeight="1">
      <c r="F197" s="2"/>
      <c r="U197" s="2"/>
      <c r="V197" s="2"/>
      <c r="W197" s="2"/>
      <c r="X197" s="4"/>
    </row>
    <row r="198" spans="6:24" ht="15.75" customHeight="1">
      <c r="F198" s="2"/>
      <c r="U198" s="2"/>
      <c r="V198" s="2"/>
      <c r="W198" s="2"/>
      <c r="X198" s="4"/>
    </row>
    <row r="199" spans="6:24" ht="15.75" customHeight="1">
      <c r="F199" s="2"/>
      <c r="U199" s="2"/>
      <c r="V199" s="2"/>
      <c r="W199" s="2"/>
      <c r="X199" s="4"/>
    </row>
    <row r="200" spans="6:24" ht="15.75" customHeight="1">
      <c r="F200" s="2"/>
      <c r="U200" s="2"/>
      <c r="V200" s="2"/>
      <c r="W200" s="2"/>
      <c r="X200" s="4"/>
    </row>
    <row r="201" spans="6:24" ht="15.75" customHeight="1">
      <c r="F201" s="2"/>
      <c r="U201" s="2"/>
      <c r="V201" s="2"/>
      <c r="W201" s="2"/>
      <c r="X201" s="4"/>
    </row>
    <row r="202" spans="6:24" ht="15.75" customHeight="1">
      <c r="F202" s="2"/>
      <c r="U202" s="2"/>
      <c r="V202" s="2"/>
      <c r="W202" s="2"/>
      <c r="X202" s="4"/>
    </row>
    <row r="203" spans="6:24" ht="15.75" customHeight="1">
      <c r="F203" s="2"/>
      <c r="U203" s="2"/>
      <c r="V203" s="2"/>
      <c r="W203" s="2"/>
      <c r="X203" s="4"/>
    </row>
    <row r="204" spans="6:24" ht="15.75" customHeight="1">
      <c r="F204" s="2"/>
      <c r="U204" s="2"/>
      <c r="V204" s="2"/>
      <c r="W204" s="2"/>
      <c r="X204" s="4"/>
    </row>
    <row r="205" spans="6:24" ht="15.75" customHeight="1">
      <c r="F205" s="2"/>
      <c r="U205" s="2"/>
      <c r="V205" s="2"/>
      <c r="W205" s="2"/>
      <c r="X205" s="4"/>
    </row>
    <row r="206" spans="6:24" ht="15.75" customHeight="1">
      <c r="F206" s="2"/>
      <c r="U206" s="2"/>
      <c r="V206" s="2"/>
      <c r="W206" s="2"/>
      <c r="X206" s="4"/>
    </row>
    <row r="207" spans="6:24" ht="15.75" customHeight="1">
      <c r="F207" s="2"/>
      <c r="U207" s="2"/>
      <c r="V207" s="2"/>
      <c r="W207" s="2"/>
      <c r="X207" s="4"/>
    </row>
    <row r="208" spans="6:24" ht="15.75" customHeight="1">
      <c r="F208" s="2"/>
      <c r="U208" s="2"/>
      <c r="V208" s="2"/>
      <c r="W208" s="2"/>
      <c r="X208" s="4"/>
    </row>
    <row r="209" spans="6:24" ht="15.75" customHeight="1">
      <c r="F209" s="2"/>
      <c r="U209" s="2"/>
      <c r="V209" s="2"/>
      <c r="W209" s="2"/>
      <c r="X209" s="4"/>
    </row>
    <row r="210" spans="6:24" ht="15.75" customHeight="1">
      <c r="F210" s="2"/>
      <c r="U210" s="2"/>
      <c r="V210" s="2"/>
      <c r="W210" s="2"/>
      <c r="X210" s="4"/>
    </row>
    <row r="211" spans="6:24" ht="15.75" customHeight="1">
      <c r="F211" s="2"/>
      <c r="U211" s="2"/>
      <c r="V211" s="2"/>
      <c r="W211" s="2"/>
      <c r="X211" s="4"/>
    </row>
    <row r="212" spans="6:24" ht="15.75" customHeight="1">
      <c r="F212" s="2"/>
      <c r="U212" s="2"/>
      <c r="V212" s="2"/>
      <c r="W212" s="2"/>
      <c r="X212" s="4"/>
    </row>
    <row r="213" spans="6:24" ht="15.75" customHeight="1">
      <c r="F213" s="2"/>
      <c r="U213" s="2"/>
      <c r="V213" s="2"/>
      <c r="W213" s="2"/>
      <c r="X213" s="4"/>
    </row>
    <row r="214" spans="6:24" ht="15.75" customHeight="1">
      <c r="F214" s="2"/>
      <c r="U214" s="2"/>
      <c r="V214" s="2"/>
      <c r="W214" s="2"/>
      <c r="X214" s="4"/>
    </row>
    <row r="215" spans="6:24" ht="15.75" customHeight="1">
      <c r="F215" s="2"/>
      <c r="U215" s="2"/>
      <c r="V215" s="2"/>
      <c r="W215" s="2"/>
      <c r="X215" s="4"/>
    </row>
    <row r="216" spans="6:24" ht="15.75" customHeight="1">
      <c r="F216" s="2"/>
      <c r="U216" s="2"/>
      <c r="V216" s="2"/>
      <c r="W216" s="2"/>
      <c r="X216" s="4"/>
    </row>
    <row r="217" spans="6:24" ht="15.75" customHeight="1">
      <c r="F217" s="2"/>
      <c r="U217" s="2"/>
      <c r="V217" s="2"/>
      <c r="W217" s="2"/>
      <c r="X217" s="4"/>
    </row>
    <row r="218" spans="6:24" ht="15.75" customHeight="1">
      <c r="F218" s="2"/>
      <c r="U218" s="2"/>
      <c r="V218" s="2"/>
      <c r="W218" s="2"/>
      <c r="X218" s="4"/>
    </row>
    <row r="219" spans="6:24" ht="15.75" customHeight="1">
      <c r="F219" s="2"/>
      <c r="U219" s="2"/>
      <c r="V219" s="2"/>
      <c r="W219" s="2"/>
      <c r="X219" s="4"/>
    </row>
    <row r="220" spans="6:24" ht="15.75" customHeight="1">
      <c r="F220" s="2"/>
      <c r="U220" s="2"/>
      <c r="V220" s="2"/>
      <c r="W220" s="2"/>
      <c r="X220" s="4"/>
    </row>
    <row r="221" spans="6:24" ht="15.75" customHeight="1">
      <c r="F221" s="2"/>
      <c r="U221" s="2"/>
      <c r="V221" s="2"/>
      <c r="W221" s="2"/>
      <c r="X221" s="4"/>
    </row>
    <row r="222" spans="6:24" ht="15.75" customHeight="1">
      <c r="F222" s="2"/>
      <c r="U222" s="2"/>
      <c r="V222" s="2"/>
      <c r="W222" s="2"/>
      <c r="X222" s="4"/>
    </row>
    <row r="223" spans="6:24" ht="15.75" customHeight="1">
      <c r="F223" s="2"/>
      <c r="U223" s="2"/>
      <c r="V223" s="2"/>
      <c r="W223" s="2"/>
      <c r="X223" s="4"/>
    </row>
    <row r="224" spans="6:24" ht="15.75" customHeight="1">
      <c r="F224" s="2"/>
      <c r="U224" s="2"/>
      <c r="V224" s="2"/>
      <c r="W224" s="2"/>
      <c r="X224" s="4"/>
    </row>
    <row r="225" spans="6:24" ht="15.75" customHeight="1">
      <c r="F225" s="2"/>
      <c r="U225" s="2"/>
      <c r="V225" s="2"/>
      <c r="W225" s="2"/>
      <c r="X225" s="4"/>
    </row>
    <row r="226" spans="6:24" ht="15.75" customHeight="1">
      <c r="F226" s="2"/>
      <c r="U226" s="2"/>
      <c r="V226" s="2"/>
      <c r="W226" s="2"/>
      <c r="X226" s="4"/>
    </row>
    <row r="227" spans="6:24" ht="15.75" customHeight="1">
      <c r="F227" s="2"/>
      <c r="U227" s="2"/>
      <c r="V227" s="2"/>
      <c r="W227" s="2"/>
      <c r="X227" s="4"/>
    </row>
    <row r="228" spans="6:24" ht="15.75" customHeight="1">
      <c r="F228" s="2"/>
      <c r="U228" s="2"/>
      <c r="V228" s="2"/>
      <c r="W228" s="2"/>
      <c r="X228" s="4"/>
    </row>
    <row r="229" spans="6:24" ht="15.75" customHeight="1">
      <c r="F229" s="2"/>
      <c r="U229" s="2"/>
      <c r="V229" s="2"/>
      <c r="W229" s="2"/>
      <c r="X229" s="4"/>
    </row>
    <row r="230" spans="6:24" ht="15.75" customHeight="1">
      <c r="F230" s="2"/>
      <c r="U230" s="2"/>
      <c r="V230" s="2"/>
      <c r="W230" s="2"/>
      <c r="X230" s="4"/>
    </row>
    <row r="231" spans="6:24" ht="15.75" customHeight="1">
      <c r="F231" s="2"/>
      <c r="U231" s="2"/>
      <c r="V231" s="2"/>
      <c r="W231" s="2"/>
      <c r="X231" s="4"/>
    </row>
    <row r="232" spans="6:24" ht="15.75" customHeight="1">
      <c r="F232" s="2"/>
      <c r="U232" s="2"/>
      <c r="V232" s="2"/>
      <c r="W232" s="2"/>
      <c r="X232" s="4"/>
    </row>
    <row r="233" spans="6:24" ht="15.75" customHeight="1">
      <c r="F233" s="2"/>
      <c r="U233" s="2"/>
      <c r="V233" s="2"/>
      <c r="W233" s="2"/>
      <c r="X233" s="4"/>
    </row>
    <row r="234" spans="6:24" ht="15.75" customHeight="1">
      <c r="F234" s="2"/>
      <c r="U234" s="2"/>
      <c r="V234" s="2"/>
      <c r="W234" s="2"/>
      <c r="X234" s="4"/>
    </row>
    <row r="235" spans="6:24" ht="15.75" customHeight="1">
      <c r="F235" s="2"/>
      <c r="U235" s="2"/>
      <c r="V235" s="2"/>
      <c r="W235" s="2"/>
      <c r="X235" s="4"/>
    </row>
    <row r="236" spans="6:24" ht="15.75" customHeight="1">
      <c r="F236" s="2"/>
      <c r="U236" s="2"/>
      <c r="V236" s="2"/>
      <c r="W236" s="2"/>
      <c r="X236" s="4"/>
    </row>
    <row r="237" spans="6:24" ht="15.75" customHeight="1">
      <c r="F237" s="2"/>
      <c r="U237" s="2"/>
      <c r="V237" s="2"/>
      <c r="W237" s="2"/>
      <c r="X237" s="4"/>
    </row>
    <row r="238" spans="6:24" ht="15.75" customHeight="1">
      <c r="F238" s="2"/>
      <c r="U238" s="2"/>
      <c r="V238" s="2"/>
      <c r="W238" s="2"/>
      <c r="X238" s="4"/>
    </row>
    <row r="239" spans="6:24" ht="15.75" customHeight="1">
      <c r="F239" s="2"/>
      <c r="U239" s="2"/>
      <c r="V239" s="2"/>
      <c r="W239" s="2"/>
      <c r="X239" s="4"/>
    </row>
    <row r="240" spans="6:24" ht="15.75" customHeight="1">
      <c r="F240" s="2"/>
      <c r="U240" s="2"/>
      <c r="V240" s="2"/>
      <c r="W240" s="2"/>
      <c r="X240" s="4"/>
    </row>
    <row r="241" spans="6:24" ht="15.75" customHeight="1">
      <c r="F241" s="2"/>
      <c r="U241" s="2"/>
      <c r="V241" s="2"/>
      <c r="W241" s="2"/>
      <c r="X241" s="4"/>
    </row>
    <row r="242" spans="6:24" ht="15.75" customHeight="1">
      <c r="F242" s="2"/>
      <c r="U242" s="2"/>
      <c r="V242" s="2"/>
      <c r="W242" s="2"/>
      <c r="X242" s="4"/>
    </row>
    <row r="243" spans="6:24" ht="15.75" customHeight="1">
      <c r="F243" s="2"/>
      <c r="U243" s="2"/>
      <c r="V243" s="2"/>
      <c r="W243" s="2"/>
      <c r="X243" s="4"/>
    </row>
    <row r="244" spans="6:24" ht="15.75" customHeight="1">
      <c r="F244" s="2"/>
      <c r="U244" s="2"/>
      <c r="V244" s="2"/>
      <c r="W244" s="2"/>
      <c r="X244" s="4"/>
    </row>
    <row r="245" spans="6:24" ht="15.75" customHeight="1">
      <c r="F245" s="2"/>
      <c r="U245" s="2"/>
      <c r="V245" s="2"/>
      <c r="W245" s="2"/>
      <c r="X245" s="4"/>
    </row>
    <row r="246" spans="6:24" ht="15.75" customHeight="1">
      <c r="F246" s="2"/>
      <c r="U246" s="2"/>
      <c r="V246" s="2"/>
      <c r="W246" s="2"/>
      <c r="X246" s="4"/>
    </row>
    <row r="247" spans="6:24" ht="15.75" customHeight="1">
      <c r="F247" s="2"/>
      <c r="U247" s="2"/>
      <c r="V247" s="2"/>
      <c r="W247" s="2"/>
      <c r="X247" s="4"/>
    </row>
    <row r="248" spans="6:24" ht="15.75" customHeight="1">
      <c r="F248" s="2"/>
      <c r="U248" s="2"/>
      <c r="V248" s="2"/>
      <c r="W248" s="2"/>
      <c r="X248" s="4"/>
    </row>
    <row r="249" spans="6:24" ht="15.75" customHeight="1">
      <c r="F249" s="2"/>
      <c r="U249" s="2"/>
      <c r="V249" s="2"/>
      <c r="W249" s="2"/>
      <c r="X249" s="4"/>
    </row>
    <row r="250" spans="6:24" ht="15.75" customHeight="1">
      <c r="F250" s="2"/>
      <c r="U250" s="2"/>
      <c r="V250" s="2"/>
      <c r="W250" s="2"/>
      <c r="X250" s="4"/>
    </row>
    <row r="251" spans="6:24" ht="15.75" customHeight="1">
      <c r="F251" s="2"/>
      <c r="U251" s="2"/>
      <c r="V251" s="2"/>
      <c r="W251" s="2"/>
      <c r="X251" s="4"/>
    </row>
    <row r="252" spans="6:24" ht="15.75" customHeight="1">
      <c r="F252" s="2"/>
      <c r="U252" s="2"/>
      <c r="V252" s="2"/>
      <c r="W252" s="2"/>
      <c r="X252" s="4"/>
    </row>
    <row r="253" spans="6:24" ht="15.75" customHeight="1">
      <c r="F253" s="2"/>
      <c r="U253" s="2"/>
      <c r="V253" s="2"/>
      <c r="W253" s="2"/>
      <c r="X253" s="4"/>
    </row>
    <row r="254" spans="6:24" ht="15.75" customHeight="1">
      <c r="F254" s="2"/>
      <c r="U254" s="2"/>
      <c r="V254" s="2"/>
      <c r="W254" s="2"/>
      <c r="X254" s="4"/>
    </row>
    <row r="255" spans="6:24" ht="15.75" customHeight="1">
      <c r="F255" s="2"/>
      <c r="U255" s="2"/>
      <c r="V255" s="2"/>
      <c r="W255" s="2"/>
      <c r="X255" s="4"/>
    </row>
    <row r="256" spans="6:24" ht="15.75" customHeight="1">
      <c r="F256" s="2"/>
      <c r="U256" s="2"/>
      <c r="V256" s="2"/>
      <c r="W256" s="2"/>
      <c r="X256" s="4"/>
    </row>
    <row r="257" spans="6:24" ht="15.75" customHeight="1">
      <c r="F257" s="2"/>
      <c r="U257" s="2"/>
      <c r="V257" s="2"/>
      <c r="W257" s="2"/>
      <c r="X257" s="4"/>
    </row>
    <row r="258" spans="6:24" ht="15.75" customHeight="1">
      <c r="F258" s="2"/>
      <c r="U258" s="2"/>
      <c r="V258" s="2"/>
      <c r="W258" s="2"/>
      <c r="X258" s="4"/>
    </row>
    <row r="259" spans="6:24" ht="15.75" customHeight="1">
      <c r="F259" s="2"/>
      <c r="U259" s="2"/>
      <c r="V259" s="2"/>
      <c r="W259" s="2"/>
      <c r="X259" s="4"/>
    </row>
    <row r="260" spans="6:24" ht="15.75" customHeight="1">
      <c r="F260" s="2"/>
      <c r="U260" s="2"/>
      <c r="V260" s="2"/>
      <c r="W260" s="2"/>
      <c r="X260" s="4"/>
    </row>
    <row r="261" spans="6:24" ht="15.75" customHeight="1">
      <c r="F261" s="2"/>
      <c r="U261" s="2"/>
      <c r="V261" s="2"/>
      <c r="W261" s="2"/>
      <c r="X261" s="4"/>
    </row>
    <row r="262" spans="6:24" ht="15.75" customHeight="1">
      <c r="F262" s="2"/>
      <c r="U262" s="2"/>
      <c r="V262" s="2"/>
      <c r="W262" s="2"/>
      <c r="X262" s="4"/>
    </row>
    <row r="263" spans="6:24" ht="15.75" customHeight="1">
      <c r="F263" s="2"/>
      <c r="U263" s="2"/>
      <c r="V263" s="2"/>
      <c r="W263" s="2"/>
      <c r="X263" s="4"/>
    </row>
    <row r="264" spans="6:24" ht="15.75" customHeight="1">
      <c r="F264" s="2"/>
      <c r="U264" s="2"/>
      <c r="V264" s="2"/>
      <c r="W264" s="2"/>
      <c r="X264" s="4"/>
    </row>
    <row r="265" spans="6:24" ht="15.75" customHeight="1">
      <c r="F265" s="2"/>
      <c r="U265" s="2"/>
      <c r="V265" s="2"/>
      <c r="W265" s="2"/>
      <c r="X265" s="4"/>
    </row>
    <row r="266" spans="6:24" ht="15.75" customHeight="1">
      <c r="F266" s="2"/>
      <c r="U266" s="2"/>
      <c r="V266" s="2"/>
      <c r="W266" s="2"/>
      <c r="X266" s="4"/>
    </row>
    <row r="267" spans="6:24" ht="15.75" customHeight="1">
      <c r="F267" s="2"/>
      <c r="U267" s="2"/>
      <c r="V267" s="2"/>
      <c r="W267" s="2"/>
      <c r="X267" s="4"/>
    </row>
    <row r="268" spans="6:24" ht="15.75" customHeight="1">
      <c r="F268" s="2"/>
      <c r="U268" s="2"/>
      <c r="V268" s="2"/>
      <c r="W268" s="2"/>
      <c r="X268" s="4"/>
    </row>
    <row r="269" spans="6:24" ht="15.75" customHeight="1">
      <c r="F269" s="2"/>
      <c r="U269" s="2"/>
      <c r="V269" s="2"/>
      <c r="W269" s="2"/>
      <c r="X269" s="4"/>
    </row>
    <row r="270" spans="6:24" ht="15.75" customHeight="1">
      <c r="F270" s="2"/>
      <c r="U270" s="2"/>
      <c r="V270" s="2"/>
      <c r="W270" s="2"/>
      <c r="X270" s="4"/>
    </row>
    <row r="271" spans="6:24" ht="15.75" customHeight="1">
      <c r="F271" s="2"/>
      <c r="U271" s="2"/>
      <c r="V271" s="2"/>
      <c r="W271" s="2"/>
      <c r="X271" s="4"/>
    </row>
    <row r="272" spans="6:24" ht="15.75" customHeight="1">
      <c r="F272" s="2"/>
      <c r="U272" s="2"/>
      <c r="V272" s="2"/>
      <c r="W272" s="2"/>
      <c r="X272" s="4"/>
    </row>
    <row r="273" spans="6:24" ht="15.75" customHeight="1">
      <c r="F273" s="2"/>
      <c r="U273" s="2"/>
      <c r="V273" s="2"/>
      <c r="W273" s="2"/>
      <c r="X273" s="4"/>
    </row>
    <row r="274" spans="6:24" ht="15.75" customHeight="1">
      <c r="F274" s="2"/>
      <c r="U274" s="2"/>
      <c r="V274" s="2"/>
      <c r="W274" s="2"/>
      <c r="X274" s="4"/>
    </row>
    <row r="275" spans="6:24" ht="15.75" customHeight="1">
      <c r="F275" s="2"/>
      <c r="U275" s="2"/>
      <c r="V275" s="2"/>
      <c r="W275" s="2"/>
      <c r="X275" s="4"/>
    </row>
    <row r="276" spans="6:24" ht="15.75" customHeight="1">
      <c r="F276" s="2"/>
      <c r="U276" s="2"/>
      <c r="V276" s="2"/>
      <c r="W276" s="2"/>
      <c r="X276" s="4"/>
    </row>
    <row r="277" spans="6:24" ht="15.75" customHeight="1">
      <c r="F277" s="2"/>
      <c r="U277" s="2"/>
      <c r="V277" s="2"/>
      <c r="W277" s="2"/>
      <c r="X277" s="4"/>
    </row>
    <row r="278" spans="6:24" ht="15.75" customHeight="1">
      <c r="F278" s="2"/>
      <c r="U278" s="2"/>
      <c r="V278" s="2"/>
      <c r="W278" s="2"/>
      <c r="X278" s="4"/>
    </row>
    <row r="279" spans="6:24" ht="15.75" customHeight="1">
      <c r="F279" s="2"/>
      <c r="U279" s="2"/>
      <c r="V279" s="2"/>
      <c r="W279" s="2"/>
      <c r="X279" s="4"/>
    </row>
    <row r="280" spans="6:24" ht="15.75" customHeight="1">
      <c r="F280" s="2"/>
      <c r="U280" s="2"/>
      <c r="V280" s="2"/>
      <c r="W280" s="2"/>
      <c r="X280" s="4"/>
    </row>
    <row r="281" spans="6:24" ht="15.75" customHeight="1">
      <c r="F281" s="2"/>
      <c r="U281" s="2"/>
      <c r="V281" s="2"/>
      <c r="W281" s="2"/>
      <c r="X281" s="4"/>
    </row>
    <row r="282" spans="6:24" ht="15.75" customHeight="1">
      <c r="F282" s="2"/>
      <c r="U282" s="2"/>
      <c r="V282" s="2"/>
      <c r="W282" s="2"/>
      <c r="X282" s="4"/>
    </row>
    <row r="283" spans="6:24" ht="15.75" customHeight="1">
      <c r="F283" s="2"/>
      <c r="U283" s="2"/>
      <c r="V283" s="2"/>
      <c r="W283" s="2"/>
      <c r="X283" s="4"/>
    </row>
    <row r="284" spans="6:24" ht="15.75" customHeight="1">
      <c r="F284" s="2"/>
      <c r="U284" s="2"/>
      <c r="V284" s="2"/>
      <c r="W284" s="2"/>
      <c r="X284" s="4"/>
    </row>
    <row r="285" spans="6:24" ht="15.75" customHeight="1">
      <c r="F285" s="2"/>
      <c r="U285" s="2"/>
      <c r="V285" s="2"/>
      <c r="W285" s="2"/>
      <c r="X285" s="4"/>
    </row>
    <row r="286" spans="6:24" ht="15.75" customHeight="1">
      <c r="F286" s="2"/>
      <c r="U286" s="2"/>
      <c r="V286" s="2"/>
      <c r="W286" s="2"/>
      <c r="X286" s="4"/>
    </row>
    <row r="287" spans="6:24" ht="15.75" customHeight="1">
      <c r="F287" s="2"/>
      <c r="U287" s="2"/>
      <c r="V287" s="2"/>
      <c r="W287" s="2"/>
      <c r="X287" s="4"/>
    </row>
    <row r="288" spans="6:24" ht="15.75" customHeight="1">
      <c r="F288" s="2"/>
      <c r="U288" s="2"/>
      <c r="V288" s="2"/>
      <c r="W288" s="2"/>
      <c r="X288" s="4"/>
    </row>
    <row r="289" spans="6:24" ht="15.75" customHeight="1">
      <c r="F289" s="2"/>
      <c r="U289" s="2"/>
      <c r="V289" s="2"/>
      <c r="W289" s="2"/>
      <c r="X289" s="4"/>
    </row>
    <row r="290" spans="6:24" ht="15.75" customHeight="1">
      <c r="F290" s="2"/>
      <c r="U290" s="2"/>
      <c r="V290" s="2"/>
      <c r="W290" s="2"/>
      <c r="X290" s="4"/>
    </row>
    <row r="291" spans="6:24" ht="15.75" customHeight="1">
      <c r="F291" s="2"/>
      <c r="U291" s="2"/>
      <c r="V291" s="2"/>
      <c r="W291" s="2"/>
      <c r="X291" s="4"/>
    </row>
    <row r="292" spans="6:24" ht="15.75" customHeight="1">
      <c r="F292" s="2"/>
      <c r="U292" s="2"/>
      <c r="V292" s="2"/>
      <c r="W292" s="2"/>
      <c r="X292" s="4"/>
    </row>
    <row r="293" spans="6:24" ht="15.75" customHeight="1">
      <c r="F293" s="2"/>
      <c r="U293" s="2"/>
      <c r="V293" s="2"/>
      <c r="W293" s="2"/>
      <c r="X293" s="4"/>
    </row>
    <row r="294" spans="6:24" ht="15.75" customHeight="1">
      <c r="F294" s="2"/>
      <c r="U294" s="2"/>
      <c r="V294" s="2"/>
      <c r="W294" s="2"/>
      <c r="X294" s="4"/>
    </row>
    <row r="295" spans="6:24" ht="15.75" customHeight="1">
      <c r="F295" s="2"/>
      <c r="U295" s="2"/>
      <c r="V295" s="2"/>
      <c r="W295" s="2"/>
      <c r="X295" s="4"/>
    </row>
    <row r="296" spans="6:24" ht="15.75" customHeight="1">
      <c r="F296" s="2"/>
      <c r="U296" s="2"/>
      <c r="V296" s="2"/>
      <c r="W296" s="2"/>
      <c r="X296" s="4"/>
    </row>
    <row r="297" spans="6:24" ht="15.75" customHeight="1">
      <c r="F297" s="2"/>
      <c r="U297" s="2"/>
      <c r="V297" s="2"/>
      <c r="W297" s="2"/>
      <c r="X297" s="4"/>
    </row>
    <row r="298" spans="6:24" ht="15.75" customHeight="1">
      <c r="F298" s="2"/>
      <c r="U298" s="2"/>
      <c r="V298" s="2"/>
      <c r="W298" s="2"/>
      <c r="X298" s="4"/>
    </row>
    <row r="299" spans="6:24" ht="15.75" customHeight="1">
      <c r="F299" s="2"/>
      <c r="U299" s="2"/>
      <c r="V299" s="2"/>
      <c r="W299" s="2"/>
      <c r="X299" s="4"/>
    </row>
    <row r="300" spans="6:24" ht="15.75" customHeight="1">
      <c r="F300" s="2"/>
      <c r="U300" s="2"/>
      <c r="V300" s="2"/>
      <c r="W300" s="2"/>
      <c r="X300" s="4"/>
    </row>
    <row r="301" spans="6:24" ht="15.75" customHeight="1">
      <c r="F301" s="2"/>
      <c r="U301" s="2"/>
      <c r="V301" s="2"/>
      <c r="W301" s="2"/>
      <c r="X301" s="4"/>
    </row>
    <row r="302" spans="6:24" ht="15.75" customHeight="1">
      <c r="F302" s="2"/>
      <c r="U302" s="2"/>
      <c r="V302" s="2"/>
      <c r="W302" s="2"/>
      <c r="X302" s="4"/>
    </row>
    <row r="303" spans="6:24" ht="15.75" customHeight="1">
      <c r="F303" s="2"/>
      <c r="U303" s="2"/>
      <c r="V303" s="2"/>
      <c r="W303" s="2"/>
      <c r="X303" s="4"/>
    </row>
    <row r="304" spans="6:24" ht="15.75" customHeight="1">
      <c r="F304" s="2"/>
      <c r="U304" s="2"/>
      <c r="V304" s="2"/>
      <c r="W304" s="2"/>
      <c r="X304" s="4"/>
    </row>
    <row r="305" spans="6:24" ht="15.75" customHeight="1">
      <c r="F305" s="2"/>
      <c r="U305" s="2"/>
      <c r="V305" s="2"/>
      <c r="W305" s="2"/>
      <c r="X305" s="4"/>
    </row>
    <row r="306" spans="6:24" ht="15.75" customHeight="1">
      <c r="F306" s="2"/>
      <c r="U306" s="2"/>
      <c r="V306" s="2"/>
      <c r="W306" s="2"/>
      <c r="X306" s="4"/>
    </row>
    <row r="307" spans="6:24" ht="15.75" customHeight="1">
      <c r="F307" s="2"/>
      <c r="U307" s="2"/>
      <c r="V307" s="2"/>
      <c r="W307" s="2"/>
      <c r="X307" s="4"/>
    </row>
    <row r="308" spans="6:24" ht="15.75" customHeight="1">
      <c r="F308" s="2"/>
      <c r="U308" s="2"/>
      <c r="V308" s="2"/>
      <c r="W308" s="2"/>
      <c r="X308" s="4"/>
    </row>
    <row r="309" spans="6:24" ht="15.75" customHeight="1">
      <c r="F309" s="2"/>
      <c r="U309" s="2"/>
      <c r="V309" s="2"/>
      <c r="W309" s="2"/>
      <c r="X309" s="4"/>
    </row>
    <row r="310" spans="6:24" ht="15.75" customHeight="1">
      <c r="F310" s="2"/>
      <c r="U310" s="2"/>
      <c r="V310" s="2"/>
      <c r="W310" s="2"/>
      <c r="X310" s="4"/>
    </row>
    <row r="311" spans="6:24" ht="15.75" customHeight="1">
      <c r="F311" s="2"/>
      <c r="U311" s="2"/>
      <c r="V311" s="2"/>
      <c r="W311" s="2"/>
      <c r="X311" s="4"/>
    </row>
    <row r="312" spans="6:24" ht="15.75" customHeight="1">
      <c r="F312" s="2"/>
      <c r="U312" s="2"/>
      <c r="V312" s="2"/>
      <c r="W312" s="2"/>
      <c r="X312" s="4"/>
    </row>
    <row r="313" spans="6:24" ht="15.75" customHeight="1">
      <c r="F313" s="2"/>
      <c r="U313" s="2"/>
      <c r="V313" s="2"/>
      <c r="W313" s="2"/>
      <c r="X313" s="4"/>
    </row>
    <row r="314" spans="6:24" ht="15.75" customHeight="1">
      <c r="F314" s="2"/>
      <c r="U314" s="2"/>
      <c r="V314" s="2"/>
      <c r="W314" s="2"/>
      <c r="X314" s="4"/>
    </row>
    <row r="315" spans="6:24" ht="15.75" customHeight="1">
      <c r="F315" s="2"/>
      <c r="U315" s="2"/>
      <c r="V315" s="2"/>
      <c r="W315" s="2"/>
      <c r="X315" s="4"/>
    </row>
    <row r="316" spans="6:24" ht="15.75" customHeight="1">
      <c r="F316" s="2"/>
      <c r="U316" s="2"/>
      <c r="V316" s="2"/>
      <c r="W316" s="2"/>
      <c r="X316" s="4"/>
    </row>
    <row r="317" spans="6:24" ht="15.75" customHeight="1">
      <c r="F317" s="2"/>
      <c r="U317" s="2"/>
      <c r="V317" s="2"/>
      <c r="W317" s="2"/>
      <c r="X317" s="4"/>
    </row>
    <row r="318" spans="6:24" ht="15.75" customHeight="1">
      <c r="F318" s="2"/>
      <c r="U318" s="2"/>
      <c r="V318" s="2"/>
      <c r="W318" s="2"/>
      <c r="X318" s="4"/>
    </row>
    <row r="319" spans="6:24" ht="15.75" customHeight="1">
      <c r="F319" s="2"/>
      <c r="U319" s="2"/>
      <c r="V319" s="2"/>
      <c r="W319" s="2"/>
      <c r="X319" s="4"/>
    </row>
    <row r="320" spans="6:24" ht="15.75" customHeight="1">
      <c r="F320" s="2"/>
      <c r="U320" s="2"/>
      <c r="V320" s="2"/>
      <c r="W320" s="2"/>
      <c r="X320" s="4"/>
    </row>
    <row r="321" spans="6:24" ht="15.75" customHeight="1">
      <c r="F321" s="2"/>
      <c r="U321" s="2"/>
      <c r="V321" s="2"/>
      <c r="W321" s="2"/>
      <c r="X321" s="4"/>
    </row>
    <row r="322" spans="6:24" ht="15.75" customHeight="1">
      <c r="F322" s="2"/>
      <c r="U322" s="2"/>
      <c r="V322" s="2"/>
      <c r="W322" s="2"/>
      <c r="X322" s="4"/>
    </row>
    <row r="323" spans="6:24" ht="15.75" customHeight="1">
      <c r="F323" s="2"/>
      <c r="U323" s="2"/>
      <c r="V323" s="2"/>
      <c r="W323" s="2"/>
      <c r="X323" s="4"/>
    </row>
    <row r="324" spans="6:24" ht="15.75" customHeight="1">
      <c r="F324" s="2"/>
      <c r="U324" s="2"/>
      <c r="V324" s="2"/>
      <c r="W324" s="2"/>
      <c r="X324" s="4"/>
    </row>
    <row r="325" spans="6:24" ht="15.75" customHeight="1">
      <c r="F325" s="2"/>
      <c r="U325" s="2"/>
      <c r="V325" s="2"/>
      <c r="W325" s="2"/>
      <c r="X325" s="4"/>
    </row>
    <row r="326" spans="6:24" ht="15.75" customHeight="1">
      <c r="F326" s="2"/>
      <c r="U326" s="2"/>
      <c r="V326" s="2"/>
      <c r="W326" s="2"/>
      <c r="X326" s="4"/>
    </row>
    <row r="327" spans="6:24" ht="15.75" customHeight="1">
      <c r="F327" s="2"/>
      <c r="U327" s="2"/>
      <c r="V327" s="2"/>
      <c r="W327" s="2"/>
      <c r="X327" s="4"/>
    </row>
    <row r="328" spans="6:24" ht="15.75" customHeight="1">
      <c r="F328" s="2"/>
      <c r="U328" s="2"/>
      <c r="V328" s="2"/>
      <c r="W328" s="2"/>
      <c r="X328" s="4"/>
    </row>
    <row r="329" spans="6:24" ht="15.75" customHeight="1">
      <c r="F329" s="2"/>
      <c r="U329" s="2"/>
      <c r="V329" s="2"/>
      <c r="W329" s="2"/>
      <c r="X329" s="4"/>
    </row>
    <row r="330" spans="6:24" ht="15.75" customHeight="1">
      <c r="F330" s="2"/>
      <c r="U330" s="2"/>
      <c r="V330" s="2"/>
      <c r="W330" s="2"/>
      <c r="X330" s="4"/>
    </row>
    <row r="331" spans="6:24" ht="15.75" customHeight="1">
      <c r="F331" s="2"/>
      <c r="U331" s="2"/>
      <c r="V331" s="2"/>
      <c r="W331" s="2"/>
      <c r="X331" s="4"/>
    </row>
    <row r="332" spans="6:24" ht="15.75" customHeight="1">
      <c r="F332" s="2"/>
      <c r="U332" s="2"/>
      <c r="V332" s="2"/>
      <c r="W332" s="2"/>
      <c r="X332" s="4"/>
    </row>
    <row r="333" spans="6:24" ht="15.75" customHeight="1">
      <c r="F333" s="2"/>
      <c r="U333" s="2"/>
      <c r="V333" s="2"/>
      <c r="W333" s="2"/>
      <c r="X333" s="4"/>
    </row>
    <row r="334" spans="6:24" ht="15.75" customHeight="1">
      <c r="F334" s="2"/>
      <c r="U334" s="2"/>
      <c r="V334" s="2"/>
      <c r="W334" s="2"/>
      <c r="X334" s="4"/>
    </row>
    <row r="335" spans="6:24" ht="15.75" customHeight="1">
      <c r="F335" s="2"/>
      <c r="U335" s="2"/>
      <c r="V335" s="2"/>
      <c r="W335" s="2"/>
      <c r="X335" s="4"/>
    </row>
    <row r="336" spans="6:24" ht="15.75" customHeight="1">
      <c r="F336" s="2"/>
      <c r="U336" s="2"/>
      <c r="V336" s="2"/>
      <c r="W336" s="2"/>
      <c r="X336" s="4"/>
    </row>
    <row r="337" spans="6:24" ht="15.75" customHeight="1">
      <c r="F337" s="2"/>
      <c r="U337" s="2"/>
      <c r="V337" s="2"/>
      <c r="W337" s="2"/>
      <c r="X337" s="4"/>
    </row>
    <row r="338" spans="6:24" ht="15.75" customHeight="1">
      <c r="F338" s="2"/>
      <c r="U338" s="2"/>
      <c r="V338" s="2"/>
      <c r="W338" s="2"/>
      <c r="X338" s="4"/>
    </row>
    <row r="339" spans="6:24" ht="15.75" customHeight="1">
      <c r="F339" s="2"/>
      <c r="U339" s="2"/>
      <c r="V339" s="2"/>
      <c r="W339" s="2"/>
      <c r="X339" s="4"/>
    </row>
    <row r="340" spans="6:24" ht="15.75" customHeight="1">
      <c r="F340" s="2"/>
      <c r="U340" s="2"/>
      <c r="V340" s="2"/>
      <c r="W340" s="2"/>
      <c r="X340" s="4"/>
    </row>
    <row r="341" spans="6:24" ht="15.75" customHeight="1">
      <c r="F341" s="2"/>
      <c r="U341" s="2"/>
      <c r="V341" s="2"/>
      <c r="W341" s="2"/>
      <c r="X341" s="4"/>
    </row>
    <row r="342" spans="6:24" ht="15.75" customHeight="1">
      <c r="F342" s="2"/>
      <c r="U342" s="2"/>
      <c r="V342" s="2"/>
      <c r="W342" s="2"/>
      <c r="X342" s="4"/>
    </row>
    <row r="343" spans="6:24" ht="15.75" customHeight="1">
      <c r="F343" s="2"/>
      <c r="U343" s="2"/>
      <c r="V343" s="2"/>
      <c r="W343" s="2"/>
      <c r="X343" s="4"/>
    </row>
    <row r="344" spans="6:24" ht="15.75" customHeight="1">
      <c r="F344" s="2"/>
      <c r="U344" s="2"/>
      <c r="V344" s="2"/>
      <c r="W344" s="2"/>
      <c r="X344" s="4"/>
    </row>
    <row r="345" spans="6:24" ht="15.75" customHeight="1">
      <c r="F345" s="2"/>
      <c r="U345" s="2"/>
      <c r="V345" s="2"/>
      <c r="W345" s="2"/>
      <c r="X345" s="4"/>
    </row>
    <row r="346" spans="6:24" ht="15.75" customHeight="1">
      <c r="F346" s="2"/>
      <c r="U346" s="2"/>
      <c r="V346" s="2"/>
      <c r="W346" s="2"/>
      <c r="X346" s="4"/>
    </row>
    <row r="347" spans="6:24" ht="15.75" customHeight="1">
      <c r="F347" s="2"/>
      <c r="U347" s="2"/>
      <c r="V347" s="2"/>
      <c r="W347" s="2"/>
      <c r="X347" s="4"/>
    </row>
    <row r="348" spans="6:24" ht="15.75" customHeight="1">
      <c r="F348" s="2"/>
      <c r="U348" s="2"/>
      <c r="V348" s="2"/>
      <c r="W348" s="2"/>
      <c r="X348" s="4"/>
    </row>
    <row r="349" spans="6:24" ht="15.75" customHeight="1">
      <c r="F349" s="2"/>
      <c r="U349" s="2"/>
      <c r="V349" s="2"/>
      <c r="W349" s="2"/>
      <c r="X349" s="4"/>
    </row>
    <row r="350" spans="6:24" ht="15.75" customHeight="1">
      <c r="F350" s="2"/>
      <c r="U350" s="2"/>
      <c r="V350" s="2"/>
      <c r="W350" s="2"/>
      <c r="X350" s="4"/>
    </row>
    <row r="351" spans="6:24" ht="15.75" customHeight="1">
      <c r="F351" s="2"/>
      <c r="U351" s="2"/>
      <c r="V351" s="2"/>
      <c r="W351" s="2"/>
      <c r="X351" s="4"/>
    </row>
    <row r="352" spans="6:24" ht="15.75" customHeight="1">
      <c r="F352" s="2"/>
      <c r="U352" s="2"/>
      <c r="V352" s="2"/>
      <c r="W352" s="2"/>
      <c r="X352" s="4"/>
    </row>
    <row r="353" spans="6:24" ht="15.75" customHeight="1">
      <c r="F353" s="2"/>
      <c r="U353" s="2"/>
      <c r="V353" s="2"/>
      <c r="W353" s="2"/>
      <c r="X353" s="4"/>
    </row>
    <row r="354" spans="6:24" ht="15.75" customHeight="1">
      <c r="F354" s="2"/>
      <c r="U354" s="2"/>
      <c r="V354" s="2"/>
      <c r="W354" s="2"/>
      <c r="X354" s="4"/>
    </row>
    <row r="355" spans="6:24" ht="15.75" customHeight="1">
      <c r="F355" s="2"/>
      <c r="U355" s="2"/>
      <c r="V355" s="2"/>
      <c r="W355" s="2"/>
      <c r="X355" s="4"/>
    </row>
    <row r="356" spans="6:24" ht="15.75" customHeight="1">
      <c r="F356" s="2"/>
      <c r="U356" s="2"/>
      <c r="V356" s="2"/>
      <c r="W356" s="2"/>
      <c r="X356" s="4"/>
    </row>
    <row r="357" spans="6:24" ht="15.75" customHeight="1">
      <c r="F357" s="2"/>
      <c r="U357" s="2"/>
      <c r="V357" s="2"/>
      <c r="W357" s="2"/>
      <c r="X357" s="4"/>
    </row>
    <row r="358" spans="6:24" ht="15.75" customHeight="1">
      <c r="F358" s="2"/>
      <c r="U358" s="2"/>
      <c r="V358" s="2"/>
      <c r="W358" s="2"/>
      <c r="X358" s="4"/>
    </row>
    <row r="359" spans="6:24" ht="15.75" customHeight="1">
      <c r="F359" s="2"/>
      <c r="U359" s="2"/>
      <c r="V359" s="2"/>
      <c r="W359" s="2"/>
      <c r="X359" s="4"/>
    </row>
    <row r="360" spans="6:24" ht="15.75" customHeight="1">
      <c r="F360" s="2"/>
      <c r="U360" s="2"/>
      <c r="V360" s="2"/>
      <c r="W360" s="2"/>
      <c r="X360" s="4"/>
    </row>
    <row r="361" spans="6:24" ht="15.75" customHeight="1">
      <c r="F361" s="2"/>
      <c r="U361" s="2"/>
      <c r="V361" s="2"/>
      <c r="W361" s="2"/>
      <c r="X361" s="4"/>
    </row>
    <row r="362" spans="6:24" ht="15.75" customHeight="1">
      <c r="F362" s="2"/>
      <c r="U362" s="2"/>
      <c r="V362" s="2"/>
      <c r="W362" s="2"/>
      <c r="X362" s="4"/>
    </row>
    <row r="363" spans="6:24" ht="15.75" customHeight="1">
      <c r="F363" s="2"/>
      <c r="U363" s="2"/>
      <c r="V363" s="2"/>
      <c r="W363" s="2"/>
      <c r="X363" s="4"/>
    </row>
    <row r="364" spans="6:24" ht="15.75" customHeight="1">
      <c r="F364" s="2"/>
      <c r="U364" s="2"/>
      <c r="V364" s="2"/>
      <c r="W364" s="2"/>
      <c r="X364" s="4"/>
    </row>
    <row r="365" spans="6:24" ht="15.75" customHeight="1">
      <c r="F365" s="2"/>
      <c r="U365" s="2"/>
      <c r="V365" s="2"/>
      <c r="W365" s="2"/>
      <c r="X365" s="4"/>
    </row>
    <row r="366" spans="6:24" ht="15.75" customHeight="1">
      <c r="F366" s="2"/>
      <c r="U366" s="2"/>
      <c r="V366" s="2"/>
      <c r="W366" s="2"/>
      <c r="X366" s="4"/>
    </row>
    <row r="367" spans="6:24" ht="15.75" customHeight="1">
      <c r="F367" s="2"/>
      <c r="U367" s="2"/>
      <c r="V367" s="2"/>
      <c r="W367" s="2"/>
      <c r="X367" s="4"/>
    </row>
    <row r="368" spans="6:24" ht="15.75" customHeight="1">
      <c r="F368" s="2"/>
      <c r="U368" s="2"/>
      <c r="V368" s="2"/>
      <c r="W368" s="2"/>
      <c r="X368" s="4"/>
    </row>
    <row r="369" spans="6:24" ht="15.75" customHeight="1">
      <c r="F369" s="2"/>
      <c r="U369" s="2"/>
      <c r="V369" s="2"/>
      <c r="W369" s="2"/>
      <c r="X369" s="4"/>
    </row>
    <row r="370" spans="6:24" ht="15.75" customHeight="1">
      <c r="F370" s="2"/>
      <c r="U370" s="2"/>
      <c r="V370" s="2"/>
      <c r="W370" s="2"/>
      <c r="X370" s="4"/>
    </row>
    <row r="371" spans="6:24" ht="15.75" customHeight="1">
      <c r="F371" s="2"/>
      <c r="U371" s="2"/>
      <c r="V371" s="2"/>
      <c r="W371" s="2"/>
      <c r="X371" s="4"/>
    </row>
    <row r="372" spans="6:24" ht="15.75" customHeight="1">
      <c r="F372" s="2"/>
      <c r="U372" s="2"/>
      <c r="V372" s="2"/>
      <c r="W372" s="2"/>
      <c r="X372" s="4"/>
    </row>
    <row r="373" spans="6:24" ht="15.75" customHeight="1">
      <c r="F373" s="2"/>
      <c r="U373" s="2"/>
      <c r="V373" s="2"/>
      <c r="W373" s="2"/>
      <c r="X373" s="4"/>
    </row>
    <row r="374" spans="6:24" ht="15.75" customHeight="1">
      <c r="F374" s="2"/>
      <c r="U374" s="2"/>
      <c r="V374" s="2"/>
      <c r="W374" s="2"/>
      <c r="X374" s="4"/>
    </row>
    <row r="375" spans="6:24" ht="15.75" customHeight="1">
      <c r="F375" s="2"/>
      <c r="U375" s="2"/>
      <c r="V375" s="2"/>
      <c r="W375" s="2"/>
      <c r="X375" s="4"/>
    </row>
    <row r="376" spans="6:24" ht="15.75" customHeight="1">
      <c r="F376" s="2"/>
      <c r="U376" s="2"/>
      <c r="V376" s="2"/>
      <c r="W376" s="2"/>
      <c r="X376" s="4"/>
    </row>
    <row r="377" spans="6:24" ht="15.75" customHeight="1">
      <c r="F377" s="2"/>
      <c r="U377" s="2"/>
      <c r="V377" s="2"/>
      <c r="W377" s="2"/>
      <c r="X377" s="4"/>
    </row>
    <row r="378" spans="6:24" ht="15.75" customHeight="1">
      <c r="F378" s="2"/>
      <c r="U378" s="2"/>
      <c r="V378" s="2"/>
      <c r="W378" s="2"/>
      <c r="X378" s="4"/>
    </row>
    <row r="379" spans="6:24" ht="15.75" customHeight="1">
      <c r="F379" s="2"/>
      <c r="U379" s="2"/>
      <c r="V379" s="2"/>
      <c r="W379" s="2"/>
      <c r="X379" s="4"/>
    </row>
    <row r="380" spans="6:24" ht="15.75" customHeight="1">
      <c r="F380" s="2"/>
      <c r="U380" s="2"/>
      <c r="V380" s="2"/>
      <c r="W380" s="2"/>
      <c r="X380" s="4"/>
    </row>
    <row r="381" spans="6:24" ht="15.75" customHeight="1">
      <c r="F381" s="2"/>
      <c r="U381" s="2"/>
      <c r="V381" s="2"/>
      <c r="W381" s="2"/>
      <c r="X381" s="4"/>
    </row>
    <row r="382" spans="6:24" ht="15.75" customHeight="1">
      <c r="F382" s="2"/>
      <c r="U382" s="2"/>
      <c r="V382" s="2"/>
      <c r="W382" s="2"/>
      <c r="X382" s="4"/>
    </row>
    <row r="383" spans="6:24" ht="15.75" customHeight="1">
      <c r="F383" s="2"/>
      <c r="U383" s="2"/>
      <c r="V383" s="2"/>
      <c r="W383" s="2"/>
      <c r="X383" s="4"/>
    </row>
    <row r="384" spans="6:24" ht="15.75" customHeight="1">
      <c r="F384" s="2"/>
      <c r="U384" s="2"/>
      <c r="V384" s="2"/>
      <c r="W384" s="2"/>
      <c r="X384" s="4"/>
    </row>
    <row r="385" spans="6:24" ht="15.75" customHeight="1">
      <c r="F385" s="2"/>
      <c r="U385" s="2"/>
      <c r="V385" s="2"/>
      <c r="W385" s="2"/>
      <c r="X385" s="4"/>
    </row>
    <row r="386" spans="6:24" ht="15.75" customHeight="1">
      <c r="F386" s="2"/>
      <c r="U386" s="2"/>
      <c r="V386" s="2"/>
      <c r="W386" s="2"/>
      <c r="X386" s="4"/>
    </row>
    <row r="387" spans="6:24" ht="15.75" customHeight="1">
      <c r="F387" s="2"/>
      <c r="U387" s="2"/>
      <c r="V387" s="2"/>
      <c r="W387" s="2"/>
      <c r="X387" s="4"/>
    </row>
    <row r="388" spans="6:24" ht="15.75" customHeight="1">
      <c r="F388" s="2"/>
      <c r="U388" s="2"/>
      <c r="V388" s="2"/>
      <c r="W388" s="2"/>
      <c r="X388" s="4"/>
    </row>
    <row r="389" spans="6:24" ht="15.75" customHeight="1">
      <c r="F389" s="2"/>
      <c r="U389" s="2"/>
      <c r="V389" s="2"/>
      <c r="W389" s="2"/>
      <c r="X389" s="4"/>
    </row>
    <row r="390" spans="6:24" ht="15.75" customHeight="1">
      <c r="F390" s="2"/>
      <c r="U390" s="2"/>
      <c r="V390" s="2"/>
      <c r="W390" s="2"/>
      <c r="X390" s="4"/>
    </row>
    <row r="391" spans="6:24" ht="15.75" customHeight="1">
      <c r="F391" s="2"/>
      <c r="U391" s="2"/>
      <c r="V391" s="2"/>
      <c r="W391" s="2"/>
      <c r="X391" s="4"/>
    </row>
    <row r="392" spans="6:24" ht="15.75" customHeight="1">
      <c r="F392" s="2"/>
      <c r="U392" s="2"/>
      <c r="V392" s="2"/>
      <c r="W392" s="2"/>
      <c r="X392" s="4"/>
    </row>
    <row r="393" spans="6:24" ht="15.75" customHeight="1">
      <c r="F393" s="2"/>
      <c r="U393" s="2"/>
      <c r="V393" s="2"/>
      <c r="W393" s="2"/>
      <c r="X393" s="4"/>
    </row>
    <row r="394" spans="6:24" ht="15.75" customHeight="1">
      <c r="F394" s="2"/>
      <c r="U394" s="2"/>
      <c r="V394" s="2"/>
      <c r="W394" s="2"/>
      <c r="X394" s="4"/>
    </row>
    <row r="395" spans="6:24" ht="15.75" customHeight="1">
      <c r="F395" s="2"/>
      <c r="U395" s="2"/>
      <c r="V395" s="2"/>
      <c r="W395" s="2"/>
      <c r="X395" s="4"/>
    </row>
    <row r="396" spans="6:24" ht="15.75" customHeight="1">
      <c r="F396" s="2"/>
      <c r="U396" s="2"/>
      <c r="V396" s="2"/>
      <c r="W396" s="2"/>
      <c r="X396" s="4"/>
    </row>
    <row r="397" spans="6:24" ht="15.75" customHeight="1">
      <c r="F397" s="2"/>
      <c r="U397" s="2"/>
      <c r="V397" s="2"/>
      <c r="W397" s="2"/>
      <c r="X397" s="4"/>
    </row>
    <row r="398" spans="6:24" ht="15.75" customHeight="1">
      <c r="F398" s="2"/>
      <c r="U398" s="2"/>
      <c r="V398" s="2"/>
      <c r="W398" s="2"/>
      <c r="X398" s="4"/>
    </row>
    <row r="399" spans="6:24" ht="15.75" customHeight="1">
      <c r="F399" s="2"/>
      <c r="U399" s="2"/>
      <c r="V399" s="2"/>
      <c r="W399" s="2"/>
      <c r="X399" s="4"/>
    </row>
    <row r="400" spans="6:24" ht="15.75" customHeight="1">
      <c r="F400" s="2"/>
      <c r="U400" s="2"/>
      <c r="V400" s="2"/>
      <c r="W400" s="2"/>
      <c r="X400" s="4"/>
    </row>
    <row r="401" spans="6:24" ht="15.75" customHeight="1">
      <c r="F401" s="2"/>
      <c r="U401" s="2"/>
      <c r="V401" s="2"/>
      <c r="W401" s="2"/>
      <c r="X401" s="4"/>
    </row>
    <row r="402" spans="6:24" ht="15.75" customHeight="1">
      <c r="F402" s="2"/>
      <c r="U402" s="2"/>
      <c r="V402" s="2"/>
      <c r="W402" s="2"/>
      <c r="X402" s="4"/>
    </row>
    <row r="403" spans="6:24" ht="15.75" customHeight="1">
      <c r="F403" s="2"/>
      <c r="U403" s="2"/>
      <c r="V403" s="2"/>
      <c r="W403" s="2"/>
      <c r="X403" s="4"/>
    </row>
    <row r="404" spans="6:24" ht="15.75" customHeight="1">
      <c r="F404" s="2"/>
      <c r="U404" s="2"/>
      <c r="V404" s="2"/>
      <c r="W404" s="2"/>
      <c r="X404" s="4"/>
    </row>
    <row r="405" spans="6:24" ht="15.75" customHeight="1">
      <c r="F405" s="2"/>
      <c r="U405" s="2"/>
      <c r="V405" s="2"/>
      <c r="W405" s="2"/>
      <c r="X405" s="4"/>
    </row>
    <row r="406" spans="6:24" ht="15.75" customHeight="1">
      <c r="F406" s="2"/>
      <c r="U406" s="2"/>
      <c r="V406" s="2"/>
      <c r="W406" s="2"/>
      <c r="X406" s="4"/>
    </row>
    <row r="407" spans="6:24" ht="15.75" customHeight="1">
      <c r="F407" s="2"/>
      <c r="U407" s="2"/>
      <c r="V407" s="2"/>
      <c r="W407" s="2"/>
      <c r="X407" s="4"/>
    </row>
    <row r="408" spans="6:24" ht="15.75" customHeight="1">
      <c r="F408" s="2"/>
      <c r="U408" s="2"/>
      <c r="V408" s="2"/>
      <c r="W408" s="2"/>
      <c r="X408" s="4"/>
    </row>
    <row r="409" spans="6:24" ht="15.75" customHeight="1">
      <c r="F409" s="2"/>
      <c r="U409" s="2"/>
      <c r="V409" s="2"/>
      <c r="W409" s="2"/>
      <c r="X409" s="4"/>
    </row>
    <row r="410" spans="6:24" ht="15.75" customHeight="1">
      <c r="F410" s="2"/>
      <c r="U410" s="2"/>
      <c r="V410" s="2"/>
      <c r="W410" s="2"/>
      <c r="X410" s="4"/>
    </row>
    <row r="411" spans="6:24" ht="15.75" customHeight="1">
      <c r="F411" s="2"/>
      <c r="U411" s="2"/>
      <c r="V411" s="2"/>
      <c r="W411" s="2"/>
      <c r="X411" s="4"/>
    </row>
    <row r="412" spans="6:24" ht="15.75" customHeight="1">
      <c r="F412" s="2"/>
      <c r="U412" s="2"/>
      <c r="V412" s="2"/>
      <c r="W412" s="2"/>
      <c r="X412" s="4"/>
    </row>
    <row r="413" spans="6:24" ht="15.75" customHeight="1">
      <c r="F413" s="2"/>
      <c r="U413" s="2"/>
      <c r="V413" s="2"/>
      <c r="W413" s="2"/>
      <c r="X413" s="4"/>
    </row>
    <row r="414" spans="6:24" ht="15.75" customHeight="1">
      <c r="F414" s="2"/>
      <c r="U414" s="2"/>
      <c r="V414" s="2"/>
      <c r="W414" s="2"/>
      <c r="X414" s="4"/>
    </row>
    <row r="415" spans="6:24" ht="15.75" customHeight="1">
      <c r="F415" s="2"/>
      <c r="U415" s="2"/>
      <c r="V415" s="2"/>
      <c r="W415" s="2"/>
      <c r="X415" s="4"/>
    </row>
    <row r="416" spans="6:24" ht="15.75" customHeight="1">
      <c r="F416" s="2"/>
      <c r="U416" s="2"/>
      <c r="V416" s="2"/>
      <c r="W416" s="2"/>
      <c r="X416" s="4"/>
    </row>
    <row r="417" spans="6:24" ht="15.75" customHeight="1">
      <c r="F417" s="2"/>
      <c r="U417" s="2"/>
      <c r="V417" s="2"/>
      <c r="W417" s="2"/>
      <c r="X417" s="4"/>
    </row>
    <row r="418" spans="6:24" ht="15.75" customHeight="1">
      <c r="F418" s="2"/>
      <c r="U418" s="2"/>
      <c r="V418" s="2"/>
      <c r="W418" s="2"/>
      <c r="X418" s="4"/>
    </row>
    <row r="419" spans="6:24" ht="15.75" customHeight="1">
      <c r="F419" s="2"/>
      <c r="U419" s="2"/>
      <c r="V419" s="2"/>
      <c r="W419" s="2"/>
      <c r="X419" s="4"/>
    </row>
    <row r="420" spans="6:24" ht="15.75" customHeight="1">
      <c r="F420" s="2"/>
      <c r="U420" s="2"/>
      <c r="V420" s="2"/>
      <c r="W420" s="2"/>
      <c r="X420" s="4"/>
    </row>
    <row r="421" spans="6:24" ht="15.75" customHeight="1">
      <c r="F421" s="2"/>
      <c r="U421" s="2"/>
      <c r="V421" s="2"/>
      <c r="W421" s="2"/>
      <c r="X421" s="4"/>
    </row>
    <row r="422" spans="6:24" ht="15.75" customHeight="1">
      <c r="F422" s="2"/>
      <c r="U422" s="2"/>
      <c r="V422" s="2"/>
      <c r="W422" s="2"/>
      <c r="X422" s="4"/>
    </row>
    <row r="423" spans="6:24" ht="15.75" customHeight="1">
      <c r="F423" s="2"/>
      <c r="U423" s="2"/>
      <c r="V423" s="2"/>
      <c r="W423" s="2"/>
      <c r="X423" s="4"/>
    </row>
    <row r="424" spans="6:24" ht="15.75" customHeight="1">
      <c r="F424" s="2"/>
      <c r="U424" s="2"/>
      <c r="V424" s="2"/>
      <c r="W424" s="2"/>
      <c r="X424" s="4"/>
    </row>
    <row r="425" spans="6:24" ht="15.75" customHeight="1">
      <c r="F425" s="2"/>
      <c r="U425" s="2"/>
      <c r="V425" s="2"/>
      <c r="W425" s="2"/>
      <c r="X425" s="4"/>
    </row>
    <row r="426" spans="6:24" ht="15.75" customHeight="1">
      <c r="F426" s="2"/>
      <c r="U426" s="2"/>
      <c r="V426" s="2"/>
      <c r="W426" s="2"/>
      <c r="X426" s="4"/>
    </row>
    <row r="427" spans="6:24" ht="15.75" customHeight="1">
      <c r="F427" s="2"/>
      <c r="U427" s="2"/>
      <c r="V427" s="2"/>
      <c r="W427" s="2"/>
      <c r="X427" s="4"/>
    </row>
    <row r="428" spans="6:24" ht="15.75" customHeight="1">
      <c r="F428" s="2"/>
      <c r="U428" s="2"/>
      <c r="V428" s="2"/>
      <c r="W428" s="2"/>
      <c r="X428" s="4"/>
    </row>
    <row r="429" spans="6:24" ht="15.75" customHeight="1">
      <c r="F429" s="2"/>
      <c r="U429" s="2"/>
      <c r="V429" s="2"/>
      <c r="W429" s="2"/>
      <c r="X429" s="4"/>
    </row>
    <row r="430" spans="6:24" ht="15.75" customHeight="1">
      <c r="F430" s="2"/>
      <c r="U430" s="2"/>
      <c r="V430" s="2"/>
      <c r="W430" s="2"/>
      <c r="X430" s="4"/>
    </row>
    <row r="431" spans="6:24" ht="15.75" customHeight="1">
      <c r="F431" s="2"/>
      <c r="U431" s="2"/>
      <c r="V431" s="2"/>
      <c r="W431" s="2"/>
      <c r="X431" s="4"/>
    </row>
    <row r="432" spans="6:24" ht="15.75" customHeight="1">
      <c r="F432" s="2"/>
      <c r="U432" s="2"/>
      <c r="V432" s="2"/>
      <c r="W432" s="2"/>
      <c r="X432" s="4"/>
    </row>
    <row r="433" spans="6:24" ht="15.75" customHeight="1">
      <c r="F433" s="2"/>
      <c r="U433" s="2"/>
      <c r="V433" s="2"/>
      <c r="W433" s="2"/>
      <c r="X433" s="4"/>
    </row>
    <row r="434" spans="6:24" ht="15.75" customHeight="1">
      <c r="F434" s="2"/>
      <c r="U434" s="2"/>
      <c r="V434" s="2"/>
      <c r="W434" s="2"/>
      <c r="X434" s="4"/>
    </row>
    <row r="435" spans="6:24" ht="15.75" customHeight="1">
      <c r="F435" s="2"/>
      <c r="U435" s="2"/>
      <c r="V435" s="2"/>
      <c r="W435" s="2"/>
      <c r="X435" s="4"/>
    </row>
    <row r="436" spans="6:24" ht="15.75" customHeight="1">
      <c r="F436" s="2"/>
      <c r="U436" s="2"/>
      <c r="V436" s="2"/>
      <c r="W436" s="2"/>
      <c r="X436" s="4"/>
    </row>
    <row r="437" spans="6:24" ht="15.75" customHeight="1">
      <c r="F437" s="2"/>
      <c r="U437" s="2"/>
      <c r="V437" s="2"/>
      <c r="W437" s="2"/>
      <c r="X437" s="4"/>
    </row>
    <row r="438" spans="6:24" ht="15.75" customHeight="1">
      <c r="F438" s="2"/>
      <c r="U438" s="2"/>
      <c r="V438" s="2"/>
      <c r="W438" s="2"/>
      <c r="X438" s="4"/>
    </row>
    <row r="439" spans="6:24" ht="15.75" customHeight="1">
      <c r="F439" s="2"/>
      <c r="U439" s="2"/>
      <c r="V439" s="2"/>
      <c r="W439" s="2"/>
      <c r="X439" s="4"/>
    </row>
    <row r="440" spans="6:24" ht="15.75" customHeight="1">
      <c r="F440" s="2"/>
      <c r="U440" s="2"/>
      <c r="V440" s="2"/>
      <c r="W440" s="2"/>
      <c r="X440" s="4"/>
    </row>
    <row r="441" spans="6:24" ht="15.75" customHeight="1">
      <c r="F441" s="2"/>
      <c r="U441" s="2"/>
      <c r="V441" s="2"/>
      <c r="W441" s="2"/>
      <c r="X441" s="4"/>
    </row>
    <row r="442" spans="6:24" ht="15.75" customHeight="1">
      <c r="F442" s="2"/>
      <c r="U442" s="2"/>
      <c r="V442" s="2"/>
      <c r="W442" s="2"/>
      <c r="X442" s="4"/>
    </row>
    <row r="443" spans="6:24" ht="15.75" customHeight="1">
      <c r="F443" s="2"/>
      <c r="U443" s="2"/>
      <c r="V443" s="2"/>
      <c r="W443" s="2"/>
      <c r="X443" s="4"/>
    </row>
    <row r="444" spans="6:24" ht="15.75" customHeight="1">
      <c r="F444" s="2"/>
      <c r="U444" s="2"/>
      <c r="V444" s="2"/>
      <c r="W444" s="2"/>
      <c r="X444" s="4"/>
    </row>
    <row r="445" spans="6:24" ht="15.75" customHeight="1">
      <c r="F445" s="2"/>
      <c r="U445" s="2"/>
      <c r="V445" s="2"/>
      <c r="W445" s="2"/>
      <c r="X445" s="4"/>
    </row>
    <row r="446" spans="6:24" ht="15.75" customHeight="1">
      <c r="F446" s="2"/>
      <c r="U446" s="2"/>
      <c r="V446" s="2"/>
      <c r="W446" s="2"/>
      <c r="X446" s="4"/>
    </row>
    <row r="447" spans="6:24" ht="15.75" customHeight="1">
      <c r="F447" s="2"/>
      <c r="U447" s="2"/>
      <c r="V447" s="2"/>
      <c r="W447" s="2"/>
      <c r="X447" s="4"/>
    </row>
    <row r="448" spans="6:24" ht="15.75" customHeight="1">
      <c r="F448" s="2"/>
      <c r="U448" s="2"/>
      <c r="V448" s="2"/>
      <c r="W448" s="2"/>
      <c r="X448" s="4"/>
    </row>
    <row r="449" spans="6:24" ht="15.75" customHeight="1">
      <c r="F449" s="2"/>
      <c r="U449" s="2"/>
      <c r="V449" s="2"/>
      <c r="W449" s="2"/>
      <c r="X449" s="4"/>
    </row>
    <row r="450" spans="6:24" ht="15.75" customHeight="1">
      <c r="F450" s="2"/>
      <c r="U450" s="2"/>
      <c r="V450" s="2"/>
      <c r="W450" s="2"/>
      <c r="X450" s="4"/>
    </row>
    <row r="451" spans="6:24" ht="15.75" customHeight="1">
      <c r="F451" s="2"/>
      <c r="U451" s="2"/>
      <c r="V451" s="2"/>
      <c r="W451" s="2"/>
      <c r="X451" s="4"/>
    </row>
    <row r="452" spans="6:24" ht="15.75" customHeight="1">
      <c r="F452" s="2"/>
      <c r="U452" s="2"/>
      <c r="V452" s="2"/>
      <c r="W452" s="2"/>
      <c r="X452" s="4"/>
    </row>
    <row r="453" spans="6:24" ht="15.75" customHeight="1">
      <c r="F453" s="2"/>
      <c r="U453" s="2"/>
      <c r="V453" s="2"/>
      <c r="W453" s="2"/>
      <c r="X453" s="4"/>
    </row>
    <row r="454" spans="6:24" ht="15.75" customHeight="1">
      <c r="F454" s="2"/>
      <c r="U454" s="2"/>
      <c r="V454" s="2"/>
      <c r="W454" s="2"/>
      <c r="X454" s="4"/>
    </row>
    <row r="455" spans="6:24" ht="15.75" customHeight="1">
      <c r="F455" s="2"/>
      <c r="U455" s="2"/>
      <c r="V455" s="2"/>
      <c r="W455" s="2"/>
      <c r="X455" s="4"/>
    </row>
    <row r="456" spans="6:24" ht="15.75" customHeight="1">
      <c r="F456" s="2"/>
      <c r="U456" s="2"/>
      <c r="V456" s="2"/>
      <c r="W456" s="2"/>
      <c r="X456" s="4"/>
    </row>
    <row r="457" spans="6:24" ht="15.75" customHeight="1">
      <c r="F457" s="2"/>
      <c r="U457" s="2"/>
      <c r="V457" s="2"/>
      <c r="W457" s="2"/>
      <c r="X457" s="4"/>
    </row>
    <row r="458" spans="6:24" ht="15.75" customHeight="1">
      <c r="F458" s="2"/>
      <c r="U458" s="2"/>
      <c r="V458" s="2"/>
      <c r="W458" s="2"/>
      <c r="X458" s="4"/>
    </row>
    <row r="459" spans="6:24" ht="15.75" customHeight="1">
      <c r="F459" s="2"/>
      <c r="U459" s="2"/>
      <c r="V459" s="2"/>
      <c r="W459" s="2"/>
      <c r="X459" s="4"/>
    </row>
    <row r="460" spans="6:24" ht="15.75" customHeight="1">
      <c r="F460" s="2"/>
      <c r="U460" s="2"/>
      <c r="V460" s="2"/>
      <c r="W460" s="2"/>
      <c r="X460" s="4"/>
    </row>
    <row r="461" spans="6:24" ht="15.75" customHeight="1">
      <c r="F461" s="2"/>
      <c r="U461" s="2"/>
      <c r="V461" s="2"/>
      <c r="W461" s="2"/>
      <c r="X461" s="4"/>
    </row>
    <row r="462" spans="6:24" ht="15.75" customHeight="1">
      <c r="F462" s="2"/>
      <c r="U462" s="2"/>
      <c r="V462" s="2"/>
      <c r="W462" s="2"/>
      <c r="X462" s="4"/>
    </row>
    <row r="463" spans="6:24" ht="15.75" customHeight="1">
      <c r="F463" s="2"/>
      <c r="U463" s="2"/>
      <c r="V463" s="2"/>
      <c r="W463" s="2"/>
      <c r="X463" s="4"/>
    </row>
    <row r="464" spans="6:24" ht="15.75" customHeight="1">
      <c r="F464" s="2"/>
      <c r="U464" s="2"/>
      <c r="V464" s="2"/>
      <c r="W464" s="2"/>
      <c r="X464" s="4"/>
    </row>
    <row r="465" spans="6:24" ht="15.75" customHeight="1">
      <c r="F465" s="2"/>
      <c r="U465" s="2"/>
      <c r="V465" s="2"/>
      <c r="W465" s="2"/>
      <c r="X465" s="4"/>
    </row>
    <row r="466" spans="6:24" ht="15.75" customHeight="1">
      <c r="F466" s="2"/>
      <c r="U466" s="2"/>
      <c r="V466" s="2"/>
      <c r="W466" s="2"/>
      <c r="X466" s="4"/>
    </row>
    <row r="467" spans="6:24" ht="15.75" customHeight="1">
      <c r="F467" s="2"/>
      <c r="U467" s="2"/>
      <c r="V467" s="2"/>
      <c r="W467" s="2"/>
      <c r="X467" s="4"/>
    </row>
    <row r="468" spans="6:24" ht="15.75" customHeight="1">
      <c r="F468" s="2"/>
      <c r="U468" s="2"/>
      <c r="V468" s="2"/>
      <c r="W468" s="2"/>
      <c r="X468" s="4"/>
    </row>
    <row r="469" spans="6:24" ht="15.75" customHeight="1">
      <c r="F469" s="2"/>
      <c r="U469" s="2"/>
      <c r="V469" s="2"/>
      <c r="W469" s="2"/>
      <c r="X469" s="4"/>
    </row>
    <row r="470" spans="6:24" ht="15.75" customHeight="1">
      <c r="F470" s="2"/>
      <c r="U470" s="2"/>
      <c r="V470" s="2"/>
      <c r="W470" s="2"/>
      <c r="X470" s="4"/>
    </row>
    <row r="471" spans="6:24" ht="15.75" customHeight="1">
      <c r="F471" s="2"/>
      <c r="U471" s="2"/>
      <c r="V471" s="2"/>
      <c r="W471" s="2"/>
      <c r="X471" s="4"/>
    </row>
    <row r="472" spans="6:24" ht="15.75" customHeight="1">
      <c r="F472" s="2"/>
      <c r="U472" s="2"/>
      <c r="V472" s="2"/>
      <c r="W472" s="2"/>
      <c r="X472" s="4"/>
    </row>
    <row r="473" spans="6:24" ht="15.75" customHeight="1">
      <c r="F473" s="2"/>
      <c r="U473" s="2"/>
      <c r="V473" s="2"/>
      <c r="W473" s="2"/>
      <c r="X473" s="4"/>
    </row>
    <row r="474" spans="6:24" ht="15.75" customHeight="1">
      <c r="F474" s="2"/>
      <c r="U474" s="2"/>
      <c r="V474" s="2"/>
      <c r="W474" s="2"/>
      <c r="X474" s="4"/>
    </row>
    <row r="475" spans="6:24" ht="15.75" customHeight="1">
      <c r="F475" s="2"/>
      <c r="U475" s="2"/>
      <c r="V475" s="2"/>
      <c r="W475" s="2"/>
      <c r="X475" s="4"/>
    </row>
    <row r="476" spans="6:24" ht="15.75" customHeight="1">
      <c r="F476" s="2"/>
      <c r="U476" s="2"/>
      <c r="V476" s="2"/>
      <c r="W476" s="2"/>
      <c r="X476" s="4"/>
    </row>
    <row r="477" spans="6:24" ht="15.75" customHeight="1">
      <c r="F477" s="2"/>
      <c r="U477" s="2"/>
      <c r="V477" s="2"/>
      <c r="W477" s="2"/>
      <c r="X477" s="4"/>
    </row>
    <row r="478" spans="6:24" ht="15.75" customHeight="1">
      <c r="F478" s="2"/>
      <c r="U478" s="2"/>
      <c r="V478" s="2"/>
      <c r="W478" s="2"/>
      <c r="X478" s="4"/>
    </row>
    <row r="479" spans="6:24" ht="15.75" customHeight="1">
      <c r="F479" s="2"/>
      <c r="U479" s="2"/>
      <c r="V479" s="2"/>
      <c r="W479" s="2"/>
      <c r="X479" s="4"/>
    </row>
    <row r="480" spans="6:24" ht="15.75" customHeight="1">
      <c r="F480" s="2"/>
      <c r="U480" s="2"/>
      <c r="V480" s="2"/>
      <c r="W480" s="2"/>
      <c r="X480" s="4"/>
    </row>
    <row r="481" spans="6:24" ht="15.75" customHeight="1">
      <c r="F481" s="2"/>
      <c r="U481" s="2"/>
      <c r="V481" s="2"/>
      <c r="W481" s="2"/>
      <c r="X481" s="4"/>
    </row>
    <row r="482" spans="6:24" ht="15.75" customHeight="1">
      <c r="F482" s="2"/>
      <c r="U482" s="2"/>
      <c r="V482" s="2"/>
      <c r="W482" s="2"/>
      <c r="X482" s="4"/>
    </row>
    <row r="483" spans="6:24" ht="15.75" customHeight="1">
      <c r="F483" s="2"/>
      <c r="U483" s="2"/>
      <c r="V483" s="2"/>
      <c r="W483" s="2"/>
      <c r="X483" s="4"/>
    </row>
    <row r="484" spans="6:24" ht="15.75" customHeight="1">
      <c r="F484" s="2"/>
      <c r="U484" s="2"/>
      <c r="V484" s="2"/>
      <c r="W484" s="2"/>
      <c r="X484" s="4"/>
    </row>
    <row r="485" spans="6:24" ht="15.75" customHeight="1">
      <c r="F485" s="2"/>
      <c r="U485" s="2"/>
      <c r="V485" s="2"/>
      <c r="W485" s="2"/>
      <c r="X485" s="4"/>
    </row>
    <row r="486" spans="6:24" ht="15.75" customHeight="1">
      <c r="F486" s="2"/>
      <c r="U486" s="2"/>
      <c r="V486" s="2"/>
      <c r="W486" s="2"/>
      <c r="X486" s="4"/>
    </row>
    <row r="487" spans="6:24" ht="15.75" customHeight="1">
      <c r="F487" s="2"/>
      <c r="U487" s="2"/>
      <c r="V487" s="2"/>
      <c r="W487" s="2"/>
      <c r="X487" s="4"/>
    </row>
    <row r="488" spans="6:24" ht="15.75" customHeight="1">
      <c r="F488" s="2"/>
      <c r="U488" s="2"/>
      <c r="V488" s="2"/>
      <c r="W488" s="2"/>
      <c r="X488" s="4"/>
    </row>
    <row r="489" spans="6:24" ht="15.75" customHeight="1">
      <c r="F489" s="2"/>
      <c r="U489" s="2"/>
      <c r="V489" s="2"/>
      <c r="W489" s="2"/>
      <c r="X489" s="4"/>
    </row>
    <row r="490" spans="6:24" ht="15.75" customHeight="1">
      <c r="F490" s="2"/>
      <c r="U490" s="2"/>
      <c r="V490" s="2"/>
      <c r="W490" s="2"/>
      <c r="X490" s="4"/>
    </row>
    <row r="491" spans="6:24" ht="15.75" customHeight="1">
      <c r="F491" s="2"/>
      <c r="U491" s="2"/>
      <c r="V491" s="2"/>
      <c r="W491" s="2"/>
      <c r="X491" s="4"/>
    </row>
    <row r="492" spans="6:24" ht="15.75" customHeight="1">
      <c r="F492" s="2"/>
      <c r="U492" s="2"/>
      <c r="V492" s="2"/>
      <c r="W492" s="2"/>
      <c r="X492" s="4"/>
    </row>
    <row r="493" spans="6:24" ht="15.75" customHeight="1">
      <c r="F493" s="2"/>
      <c r="U493" s="2"/>
      <c r="V493" s="2"/>
      <c r="W493" s="2"/>
      <c r="X493" s="4"/>
    </row>
    <row r="494" spans="6:24" ht="15.75" customHeight="1">
      <c r="F494" s="2"/>
      <c r="U494" s="2"/>
      <c r="V494" s="2"/>
      <c r="W494" s="2"/>
      <c r="X494" s="4"/>
    </row>
    <row r="495" spans="6:24" ht="15.75" customHeight="1">
      <c r="F495" s="2"/>
      <c r="U495" s="2"/>
      <c r="V495" s="2"/>
      <c r="W495" s="2"/>
      <c r="X495" s="4"/>
    </row>
    <row r="496" spans="6:24" ht="15.75" customHeight="1">
      <c r="F496" s="2"/>
      <c r="U496" s="2"/>
      <c r="V496" s="2"/>
      <c r="W496" s="2"/>
      <c r="X496" s="4"/>
    </row>
    <row r="497" spans="6:24" ht="15.75" customHeight="1">
      <c r="F497" s="2"/>
      <c r="U497" s="2"/>
      <c r="V497" s="2"/>
      <c r="W497" s="2"/>
      <c r="X497" s="4"/>
    </row>
    <row r="498" spans="6:24" ht="15.75" customHeight="1">
      <c r="F498" s="2"/>
      <c r="U498" s="2"/>
      <c r="V498" s="2"/>
      <c r="W498" s="2"/>
      <c r="X498" s="4"/>
    </row>
    <row r="499" spans="6:24" ht="15.75" customHeight="1">
      <c r="F499" s="2"/>
      <c r="U499" s="2"/>
      <c r="V499" s="2"/>
      <c r="W499" s="2"/>
      <c r="X499" s="4"/>
    </row>
    <row r="500" spans="6:24" ht="15.75" customHeight="1">
      <c r="F500" s="2"/>
      <c r="U500" s="2"/>
      <c r="V500" s="2"/>
      <c r="W500" s="2"/>
      <c r="X500" s="4"/>
    </row>
    <row r="501" spans="6:24" ht="15.75" customHeight="1">
      <c r="F501" s="2"/>
      <c r="U501" s="2"/>
      <c r="V501" s="2"/>
      <c r="W501" s="2"/>
      <c r="X501" s="4"/>
    </row>
    <row r="502" spans="6:24" ht="15.75" customHeight="1">
      <c r="F502" s="2"/>
      <c r="U502" s="2"/>
      <c r="V502" s="2"/>
      <c r="W502" s="2"/>
      <c r="X502" s="4"/>
    </row>
    <row r="503" spans="6:24" ht="15.75" customHeight="1">
      <c r="F503" s="2"/>
      <c r="U503" s="2"/>
      <c r="V503" s="2"/>
      <c r="W503" s="2"/>
      <c r="X503" s="4"/>
    </row>
    <row r="504" spans="6:24" ht="15.75" customHeight="1">
      <c r="F504" s="2"/>
      <c r="U504" s="2"/>
      <c r="V504" s="2"/>
      <c r="W504" s="2"/>
      <c r="X504" s="4"/>
    </row>
    <row r="505" spans="6:24" ht="15.75" customHeight="1">
      <c r="F505" s="2"/>
      <c r="U505" s="2"/>
      <c r="V505" s="2"/>
      <c r="W505" s="2"/>
      <c r="X505" s="4"/>
    </row>
    <row r="506" spans="6:24" ht="15.75" customHeight="1">
      <c r="F506" s="2"/>
      <c r="U506" s="2"/>
      <c r="V506" s="2"/>
      <c r="W506" s="2"/>
      <c r="X506" s="4"/>
    </row>
    <row r="507" spans="6:24" ht="15.75" customHeight="1">
      <c r="F507" s="2"/>
      <c r="U507" s="2"/>
      <c r="V507" s="2"/>
      <c r="W507" s="2"/>
      <c r="X507" s="4"/>
    </row>
    <row r="508" spans="6:24" ht="15.75" customHeight="1">
      <c r="F508" s="2"/>
      <c r="U508" s="2"/>
      <c r="V508" s="2"/>
      <c r="W508" s="2"/>
      <c r="X508" s="4"/>
    </row>
    <row r="509" spans="6:24" ht="15.75" customHeight="1">
      <c r="F509" s="2"/>
      <c r="U509" s="2"/>
      <c r="V509" s="2"/>
      <c r="W509" s="2"/>
      <c r="X509" s="4"/>
    </row>
    <row r="510" spans="6:24" ht="15.75" customHeight="1">
      <c r="F510" s="2"/>
      <c r="U510" s="2"/>
      <c r="V510" s="2"/>
      <c r="W510" s="2"/>
      <c r="X510" s="4"/>
    </row>
    <row r="511" spans="6:24" ht="15.75" customHeight="1">
      <c r="F511" s="2"/>
      <c r="U511" s="2"/>
      <c r="V511" s="2"/>
      <c r="W511" s="2"/>
      <c r="X511" s="4"/>
    </row>
    <row r="512" spans="6:24" ht="15.75" customHeight="1">
      <c r="F512" s="2"/>
      <c r="U512" s="2"/>
      <c r="V512" s="2"/>
      <c r="W512" s="2"/>
      <c r="X512" s="4"/>
    </row>
    <row r="513" spans="6:24" ht="15.75" customHeight="1">
      <c r="F513" s="2"/>
      <c r="U513" s="2"/>
      <c r="V513" s="2"/>
      <c r="W513" s="2"/>
      <c r="X513" s="4"/>
    </row>
    <row r="514" spans="6:24" ht="15.75" customHeight="1">
      <c r="F514" s="2"/>
      <c r="U514" s="2"/>
      <c r="V514" s="2"/>
      <c r="W514" s="2"/>
      <c r="X514" s="4"/>
    </row>
    <row r="515" spans="6:24" ht="15.75" customHeight="1">
      <c r="F515" s="2"/>
      <c r="U515" s="2"/>
      <c r="V515" s="2"/>
      <c r="W515" s="2"/>
      <c r="X515" s="4"/>
    </row>
    <row r="516" spans="6:24" ht="15.75" customHeight="1">
      <c r="F516" s="2"/>
      <c r="U516" s="2"/>
      <c r="V516" s="2"/>
      <c r="W516" s="2"/>
      <c r="X516" s="4"/>
    </row>
    <row r="517" spans="6:24" ht="15.75" customHeight="1">
      <c r="F517" s="2"/>
      <c r="U517" s="2"/>
      <c r="V517" s="2"/>
      <c r="W517" s="2"/>
      <c r="X517" s="4"/>
    </row>
    <row r="518" spans="6:24" ht="15.75" customHeight="1">
      <c r="F518" s="2"/>
      <c r="U518" s="2"/>
      <c r="V518" s="2"/>
      <c r="W518" s="2"/>
      <c r="X518" s="4"/>
    </row>
    <row r="519" spans="6:24" ht="15.75" customHeight="1">
      <c r="F519" s="2"/>
      <c r="U519" s="2"/>
      <c r="V519" s="2"/>
      <c r="W519" s="2"/>
      <c r="X519" s="4"/>
    </row>
    <row r="520" spans="6:24" ht="15.75" customHeight="1">
      <c r="F520" s="2"/>
      <c r="U520" s="2"/>
      <c r="V520" s="2"/>
      <c r="W520" s="2"/>
      <c r="X520" s="4"/>
    </row>
    <row r="521" spans="6:24" ht="15.75" customHeight="1">
      <c r="F521" s="2"/>
      <c r="U521" s="2"/>
      <c r="V521" s="2"/>
      <c r="W521" s="2"/>
      <c r="X521" s="4"/>
    </row>
    <row r="522" spans="6:24" ht="15.75" customHeight="1">
      <c r="F522" s="2"/>
      <c r="U522" s="2"/>
      <c r="V522" s="2"/>
      <c r="W522" s="2"/>
      <c r="X522" s="4"/>
    </row>
    <row r="523" spans="6:24" ht="15.75" customHeight="1">
      <c r="F523" s="2"/>
      <c r="U523" s="2"/>
      <c r="V523" s="2"/>
      <c r="W523" s="2"/>
      <c r="X523" s="4"/>
    </row>
    <row r="524" spans="6:24" ht="15.75" customHeight="1">
      <c r="F524" s="2"/>
      <c r="U524" s="2"/>
      <c r="V524" s="2"/>
      <c r="W524" s="2"/>
      <c r="X524" s="4"/>
    </row>
    <row r="525" spans="6:24" ht="15.75" customHeight="1">
      <c r="F525" s="2"/>
      <c r="U525" s="2"/>
      <c r="V525" s="2"/>
      <c r="W525" s="2"/>
      <c r="X525" s="4"/>
    </row>
    <row r="526" spans="6:24" ht="15.75" customHeight="1">
      <c r="F526" s="2"/>
      <c r="U526" s="2"/>
      <c r="V526" s="2"/>
      <c r="W526" s="2"/>
      <c r="X526" s="4"/>
    </row>
    <row r="527" spans="6:24" ht="15.75" customHeight="1">
      <c r="F527" s="2"/>
      <c r="U527" s="2"/>
      <c r="V527" s="2"/>
      <c r="W527" s="2"/>
      <c r="X527" s="4"/>
    </row>
    <row r="528" spans="6:24" ht="15.75" customHeight="1">
      <c r="F528" s="2"/>
      <c r="U528" s="2"/>
      <c r="V528" s="2"/>
      <c r="W528" s="2"/>
      <c r="X528" s="4"/>
    </row>
    <row r="529" spans="6:24" ht="15.75" customHeight="1">
      <c r="F529" s="2"/>
      <c r="U529" s="2"/>
      <c r="V529" s="2"/>
      <c r="W529" s="2"/>
      <c r="X529" s="4"/>
    </row>
    <row r="530" spans="6:24" ht="15.75" customHeight="1">
      <c r="F530" s="2"/>
      <c r="U530" s="2"/>
      <c r="V530" s="2"/>
      <c r="W530" s="2"/>
      <c r="X530" s="4"/>
    </row>
    <row r="531" spans="6:24" ht="15.75" customHeight="1">
      <c r="F531" s="2"/>
      <c r="U531" s="2"/>
      <c r="V531" s="2"/>
      <c r="W531" s="2"/>
      <c r="X531" s="4"/>
    </row>
    <row r="532" spans="6:24" ht="15.75" customHeight="1">
      <c r="F532" s="2"/>
      <c r="U532" s="2"/>
      <c r="V532" s="2"/>
      <c r="W532" s="2"/>
      <c r="X532" s="4"/>
    </row>
    <row r="533" spans="6:24" ht="15.75" customHeight="1">
      <c r="F533" s="2"/>
      <c r="U533" s="2"/>
      <c r="V533" s="2"/>
      <c r="W533" s="2"/>
      <c r="X533" s="4"/>
    </row>
    <row r="534" spans="6:24" ht="15.75" customHeight="1">
      <c r="F534" s="2"/>
      <c r="U534" s="2"/>
      <c r="V534" s="2"/>
      <c r="W534" s="2"/>
      <c r="X534" s="4"/>
    </row>
    <row r="535" spans="6:24" ht="15.75" customHeight="1">
      <c r="F535" s="2"/>
      <c r="U535" s="2"/>
      <c r="V535" s="2"/>
      <c r="W535" s="2"/>
      <c r="X535" s="4"/>
    </row>
    <row r="536" spans="6:24" ht="15.75" customHeight="1">
      <c r="F536" s="2"/>
      <c r="U536" s="2"/>
      <c r="V536" s="2"/>
      <c r="W536" s="2"/>
      <c r="X536" s="4"/>
    </row>
    <row r="537" spans="6:24" ht="15.75" customHeight="1">
      <c r="F537" s="2"/>
      <c r="U537" s="2"/>
      <c r="V537" s="2"/>
      <c r="W537" s="2"/>
      <c r="X537" s="4"/>
    </row>
    <row r="538" spans="6:24" ht="15.75" customHeight="1">
      <c r="F538" s="2"/>
      <c r="U538" s="2"/>
      <c r="V538" s="2"/>
      <c r="W538" s="2"/>
      <c r="X538" s="4"/>
    </row>
    <row r="539" spans="6:24" ht="15.75" customHeight="1">
      <c r="F539" s="2"/>
      <c r="U539" s="2"/>
      <c r="V539" s="2"/>
      <c r="W539" s="2"/>
      <c r="X539" s="4"/>
    </row>
    <row r="540" spans="6:24" ht="15.75" customHeight="1">
      <c r="F540" s="2"/>
      <c r="U540" s="2"/>
      <c r="V540" s="2"/>
      <c r="W540" s="2"/>
      <c r="X540" s="4"/>
    </row>
    <row r="541" spans="6:24" ht="15.75" customHeight="1">
      <c r="F541" s="2"/>
      <c r="U541" s="2"/>
      <c r="V541" s="2"/>
      <c r="W541" s="2"/>
      <c r="X541" s="4"/>
    </row>
    <row r="542" spans="6:24" ht="15.75" customHeight="1">
      <c r="F542" s="2"/>
      <c r="U542" s="2"/>
      <c r="V542" s="2"/>
      <c r="W542" s="2"/>
      <c r="X542" s="4"/>
    </row>
    <row r="543" spans="6:24" ht="15.75" customHeight="1">
      <c r="F543" s="2"/>
      <c r="U543" s="2"/>
      <c r="V543" s="2"/>
      <c r="W543" s="2"/>
      <c r="X543" s="4"/>
    </row>
    <row r="544" spans="6:24" ht="15.75" customHeight="1">
      <c r="F544" s="2"/>
      <c r="U544" s="2"/>
      <c r="V544" s="2"/>
      <c r="W544" s="2"/>
      <c r="X544" s="4"/>
    </row>
    <row r="545" spans="6:24" ht="15.75" customHeight="1">
      <c r="F545" s="2"/>
      <c r="U545" s="2"/>
      <c r="V545" s="2"/>
      <c r="W545" s="2"/>
      <c r="X545" s="4"/>
    </row>
    <row r="546" spans="6:24" ht="15.75" customHeight="1">
      <c r="F546" s="2"/>
      <c r="U546" s="2"/>
      <c r="V546" s="2"/>
      <c r="W546" s="2"/>
      <c r="X546" s="4"/>
    </row>
    <row r="547" spans="6:24" ht="15.75" customHeight="1">
      <c r="F547" s="2"/>
      <c r="U547" s="2"/>
      <c r="V547" s="2"/>
      <c r="W547" s="2"/>
      <c r="X547" s="4"/>
    </row>
    <row r="548" spans="6:24" ht="15.75" customHeight="1">
      <c r="F548" s="2"/>
      <c r="U548" s="2"/>
      <c r="V548" s="2"/>
      <c r="W548" s="2"/>
      <c r="X548" s="4"/>
    </row>
    <row r="549" spans="6:24" ht="15.75" customHeight="1">
      <c r="F549" s="2"/>
      <c r="U549" s="2"/>
      <c r="V549" s="2"/>
      <c r="W549" s="2"/>
      <c r="X549" s="4"/>
    </row>
    <row r="550" spans="6:24" ht="15.75" customHeight="1">
      <c r="F550" s="2"/>
      <c r="U550" s="2"/>
      <c r="V550" s="2"/>
      <c r="W550" s="2"/>
      <c r="X550" s="4"/>
    </row>
    <row r="551" spans="6:24" ht="15.75" customHeight="1">
      <c r="F551" s="2"/>
      <c r="U551" s="2"/>
      <c r="V551" s="2"/>
      <c r="W551" s="2"/>
      <c r="X551" s="4"/>
    </row>
    <row r="552" spans="6:24" ht="15.75" customHeight="1">
      <c r="F552" s="2"/>
      <c r="U552" s="2"/>
      <c r="V552" s="2"/>
      <c r="W552" s="2"/>
      <c r="X552" s="4"/>
    </row>
    <row r="553" spans="6:24" ht="15.75" customHeight="1">
      <c r="F553" s="2"/>
      <c r="U553" s="2"/>
      <c r="V553" s="2"/>
      <c r="W553" s="2"/>
      <c r="X553" s="4"/>
    </row>
    <row r="554" spans="6:24" ht="15.75" customHeight="1">
      <c r="F554" s="2"/>
      <c r="U554" s="2"/>
      <c r="V554" s="2"/>
      <c r="W554" s="2"/>
      <c r="X554" s="4"/>
    </row>
    <row r="555" spans="6:24" ht="15.75" customHeight="1">
      <c r="F555" s="2"/>
      <c r="U555" s="2"/>
      <c r="V555" s="2"/>
      <c r="W555" s="2"/>
      <c r="X555" s="4"/>
    </row>
    <row r="556" spans="6:24" ht="15.75" customHeight="1">
      <c r="F556" s="2"/>
      <c r="U556" s="2"/>
      <c r="V556" s="2"/>
      <c r="W556" s="2"/>
      <c r="X556" s="4"/>
    </row>
    <row r="557" spans="6:24" ht="15.75" customHeight="1">
      <c r="F557" s="2"/>
      <c r="U557" s="2"/>
      <c r="V557" s="2"/>
      <c r="W557" s="2"/>
      <c r="X557" s="4"/>
    </row>
    <row r="558" spans="6:24" ht="15.75" customHeight="1">
      <c r="F558" s="2"/>
      <c r="U558" s="2"/>
      <c r="V558" s="2"/>
      <c r="W558" s="2"/>
      <c r="X558" s="4"/>
    </row>
    <row r="559" spans="6:24" ht="15.75" customHeight="1">
      <c r="F559" s="2"/>
      <c r="U559" s="2"/>
      <c r="V559" s="2"/>
      <c r="W559" s="2"/>
      <c r="X559" s="4"/>
    </row>
    <row r="560" spans="6:24" ht="15.75" customHeight="1">
      <c r="F560" s="2"/>
      <c r="U560" s="2"/>
      <c r="V560" s="2"/>
      <c r="W560" s="2"/>
      <c r="X560" s="4"/>
    </row>
    <row r="561" spans="6:24" ht="15.75" customHeight="1">
      <c r="F561" s="2"/>
      <c r="U561" s="2"/>
      <c r="V561" s="2"/>
      <c r="W561" s="2"/>
      <c r="X561" s="4"/>
    </row>
    <row r="562" spans="6:24" ht="15.75" customHeight="1">
      <c r="F562" s="2"/>
      <c r="U562" s="2"/>
      <c r="V562" s="2"/>
      <c r="W562" s="2"/>
      <c r="X562" s="4"/>
    </row>
    <row r="563" spans="6:24" ht="15.75" customHeight="1">
      <c r="F563" s="2"/>
      <c r="U563" s="2"/>
      <c r="V563" s="2"/>
      <c r="W563" s="2"/>
      <c r="X563" s="4"/>
    </row>
    <row r="564" spans="6:24" ht="15.75" customHeight="1">
      <c r="F564" s="2"/>
      <c r="U564" s="2"/>
      <c r="V564" s="2"/>
      <c r="W564" s="2"/>
      <c r="X564" s="4"/>
    </row>
    <row r="565" spans="6:24" ht="15.75" customHeight="1">
      <c r="F565" s="2"/>
      <c r="U565" s="2"/>
      <c r="V565" s="2"/>
      <c r="W565" s="2"/>
      <c r="X565" s="4"/>
    </row>
    <row r="566" spans="6:24" ht="15.75" customHeight="1">
      <c r="F566" s="2"/>
      <c r="U566" s="2"/>
      <c r="V566" s="2"/>
      <c r="W566" s="2"/>
      <c r="X566" s="4"/>
    </row>
    <row r="567" spans="6:24" ht="15.75" customHeight="1">
      <c r="F567" s="2"/>
      <c r="U567" s="2"/>
      <c r="V567" s="2"/>
      <c r="W567" s="2"/>
      <c r="X567" s="4"/>
    </row>
    <row r="568" spans="6:24" ht="15.75" customHeight="1">
      <c r="F568" s="2"/>
      <c r="U568" s="2"/>
      <c r="V568" s="2"/>
      <c r="W568" s="2"/>
      <c r="X568" s="4"/>
    </row>
    <row r="569" spans="6:24" ht="15.75" customHeight="1">
      <c r="F569" s="2"/>
      <c r="U569" s="2"/>
      <c r="V569" s="2"/>
      <c r="W569" s="2"/>
      <c r="X569" s="4"/>
    </row>
    <row r="570" spans="6:24" ht="15.75" customHeight="1">
      <c r="F570" s="2"/>
      <c r="U570" s="2"/>
      <c r="V570" s="2"/>
      <c r="W570" s="2"/>
      <c r="X570" s="4"/>
    </row>
    <row r="571" spans="6:24" ht="15.75" customHeight="1">
      <c r="F571" s="2"/>
      <c r="U571" s="2"/>
      <c r="V571" s="2"/>
      <c r="W571" s="2"/>
      <c r="X571" s="4"/>
    </row>
    <row r="572" spans="6:24" ht="15.75" customHeight="1">
      <c r="F572" s="2"/>
      <c r="U572" s="2"/>
      <c r="V572" s="2"/>
      <c r="W572" s="2"/>
      <c r="X572" s="4"/>
    </row>
    <row r="573" spans="6:24" ht="15.75" customHeight="1">
      <c r="F573" s="2"/>
      <c r="U573" s="2"/>
      <c r="V573" s="2"/>
      <c r="W573" s="2"/>
      <c r="X573" s="4"/>
    </row>
    <row r="574" spans="6:24" ht="15.75" customHeight="1">
      <c r="F574" s="2"/>
      <c r="U574" s="2"/>
      <c r="V574" s="2"/>
      <c r="W574" s="2"/>
      <c r="X574" s="4"/>
    </row>
    <row r="575" spans="6:24" ht="15.75" customHeight="1">
      <c r="F575" s="2"/>
      <c r="U575" s="2"/>
      <c r="V575" s="2"/>
      <c r="W575" s="2"/>
      <c r="X575" s="4"/>
    </row>
    <row r="576" spans="6:24" ht="15.75" customHeight="1">
      <c r="F576" s="2"/>
      <c r="U576" s="2"/>
      <c r="V576" s="2"/>
      <c r="W576" s="2"/>
      <c r="X576" s="4"/>
    </row>
    <row r="577" spans="6:24" ht="15.75" customHeight="1">
      <c r="F577" s="2"/>
      <c r="U577" s="2"/>
      <c r="V577" s="2"/>
      <c r="W577" s="2"/>
      <c r="X577" s="4"/>
    </row>
    <row r="578" spans="6:24" ht="15.75" customHeight="1">
      <c r="F578" s="2"/>
      <c r="U578" s="2"/>
      <c r="V578" s="2"/>
      <c r="W578" s="2"/>
      <c r="X578" s="4"/>
    </row>
    <row r="579" spans="6:24" ht="15.75" customHeight="1">
      <c r="F579" s="2"/>
      <c r="U579" s="2"/>
      <c r="V579" s="2"/>
      <c r="W579" s="2"/>
      <c r="X579" s="4"/>
    </row>
    <row r="580" spans="6:24" ht="15.75" customHeight="1">
      <c r="F580" s="2"/>
      <c r="U580" s="2"/>
      <c r="V580" s="2"/>
      <c r="W580" s="2"/>
      <c r="X580" s="4"/>
    </row>
    <row r="581" spans="6:24" ht="15.75" customHeight="1">
      <c r="F581" s="2"/>
      <c r="U581" s="2"/>
      <c r="V581" s="2"/>
      <c r="W581" s="2"/>
      <c r="X581" s="4"/>
    </row>
    <row r="582" spans="6:24" ht="15.75" customHeight="1">
      <c r="F582" s="2"/>
      <c r="U582" s="2"/>
      <c r="V582" s="2"/>
      <c r="W582" s="2"/>
      <c r="X582" s="4"/>
    </row>
    <row r="583" spans="6:24" ht="15.75" customHeight="1">
      <c r="F583" s="2"/>
      <c r="U583" s="2"/>
      <c r="V583" s="2"/>
      <c r="W583" s="2"/>
      <c r="X583" s="4"/>
    </row>
    <row r="584" spans="6:24" ht="15.75" customHeight="1">
      <c r="F584" s="2"/>
      <c r="U584" s="2"/>
      <c r="V584" s="2"/>
      <c r="W584" s="2"/>
      <c r="X584" s="4"/>
    </row>
    <row r="585" spans="6:24" ht="15.75" customHeight="1">
      <c r="F585" s="2"/>
      <c r="U585" s="2"/>
      <c r="V585" s="2"/>
      <c r="W585" s="2"/>
      <c r="X585" s="4"/>
    </row>
    <row r="586" spans="6:24" ht="15.75" customHeight="1">
      <c r="F586" s="2"/>
      <c r="U586" s="2"/>
      <c r="V586" s="2"/>
      <c r="W586" s="2"/>
      <c r="X586" s="4"/>
    </row>
    <row r="587" spans="6:24" ht="15.75" customHeight="1">
      <c r="F587" s="2"/>
      <c r="U587" s="2"/>
      <c r="V587" s="2"/>
      <c r="W587" s="2"/>
      <c r="X587" s="4"/>
    </row>
    <row r="588" spans="6:24" ht="15.75" customHeight="1">
      <c r="F588" s="2"/>
      <c r="U588" s="2"/>
      <c r="V588" s="2"/>
      <c r="W588" s="2"/>
      <c r="X588" s="4"/>
    </row>
    <row r="589" spans="6:24" ht="15.75" customHeight="1">
      <c r="F589" s="2"/>
      <c r="U589" s="2"/>
      <c r="V589" s="2"/>
      <c r="W589" s="2"/>
      <c r="X589" s="4"/>
    </row>
    <row r="590" spans="6:24" ht="15.75" customHeight="1">
      <c r="F590" s="2"/>
      <c r="U590" s="2"/>
      <c r="V590" s="2"/>
      <c r="W590" s="2"/>
      <c r="X590" s="4"/>
    </row>
    <row r="591" spans="6:24" ht="15.75" customHeight="1">
      <c r="F591" s="2"/>
      <c r="U591" s="2"/>
      <c r="V591" s="2"/>
      <c r="W591" s="2"/>
      <c r="X591" s="4"/>
    </row>
    <row r="592" spans="6:24" ht="15.75" customHeight="1">
      <c r="F592" s="2"/>
      <c r="U592" s="2"/>
      <c r="V592" s="2"/>
      <c r="W592" s="2"/>
      <c r="X592" s="4"/>
    </row>
    <row r="593" spans="6:24" ht="15.75" customHeight="1">
      <c r="F593" s="2"/>
      <c r="U593" s="2"/>
      <c r="V593" s="2"/>
      <c r="W593" s="2"/>
      <c r="X593" s="4"/>
    </row>
    <row r="594" spans="6:24" ht="15.75" customHeight="1">
      <c r="F594" s="2"/>
      <c r="U594" s="2"/>
      <c r="V594" s="2"/>
      <c r="W594" s="2"/>
      <c r="X594" s="4"/>
    </row>
    <row r="595" spans="6:24" ht="15.75" customHeight="1">
      <c r="F595" s="2"/>
      <c r="U595" s="2"/>
      <c r="V595" s="2"/>
      <c r="W595" s="2"/>
      <c r="X595" s="4"/>
    </row>
    <row r="596" spans="6:24" ht="15.75" customHeight="1">
      <c r="F596" s="2"/>
      <c r="U596" s="2"/>
      <c r="V596" s="2"/>
      <c r="W596" s="2"/>
      <c r="X596" s="4"/>
    </row>
    <row r="597" spans="6:24" ht="15.75" customHeight="1">
      <c r="F597" s="2"/>
      <c r="U597" s="2"/>
      <c r="V597" s="2"/>
      <c r="W597" s="2"/>
      <c r="X597" s="4"/>
    </row>
    <row r="598" spans="6:24" ht="15.75" customHeight="1">
      <c r="F598" s="2"/>
      <c r="U598" s="2"/>
      <c r="V598" s="2"/>
      <c r="W598" s="2"/>
      <c r="X598" s="4"/>
    </row>
    <row r="599" spans="6:24" ht="15.75" customHeight="1">
      <c r="F599" s="2"/>
      <c r="U599" s="2"/>
      <c r="V599" s="2"/>
      <c r="W599" s="2"/>
      <c r="X599" s="4"/>
    </row>
    <row r="600" spans="6:24" ht="15.75" customHeight="1">
      <c r="F600" s="2"/>
      <c r="U600" s="2"/>
      <c r="V600" s="2"/>
      <c r="W600" s="2"/>
      <c r="X600" s="4"/>
    </row>
    <row r="601" spans="6:24" ht="15.75" customHeight="1">
      <c r="F601" s="2"/>
      <c r="U601" s="2"/>
      <c r="V601" s="2"/>
      <c r="W601" s="2"/>
      <c r="X601" s="4"/>
    </row>
    <row r="602" spans="6:24" ht="15.75" customHeight="1">
      <c r="F602" s="2"/>
      <c r="U602" s="2"/>
      <c r="V602" s="2"/>
      <c r="W602" s="2"/>
      <c r="X602" s="4"/>
    </row>
    <row r="603" spans="6:24" ht="15.75" customHeight="1">
      <c r="F603" s="2"/>
      <c r="U603" s="2"/>
      <c r="V603" s="2"/>
      <c r="W603" s="2"/>
      <c r="X603" s="4"/>
    </row>
    <row r="604" spans="6:24" ht="15.75" customHeight="1">
      <c r="F604" s="2"/>
      <c r="U604" s="2"/>
      <c r="V604" s="2"/>
      <c r="W604" s="2"/>
      <c r="X604" s="4"/>
    </row>
    <row r="605" spans="6:24" ht="15.75" customHeight="1">
      <c r="F605" s="2"/>
      <c r="U605" s="2"/>
      <c r="V605" s="2"/>
      <c r="W605" s="2"/>
      <c r="X605" s="4"/>
    </row>
    <row r="606" spans="6:24" ht="15.75" customHeight="1">
      <c r="F606" s="2"/>
      <c r="U606" s="2"/>
      <c r="V606" s="2"/>
      <c r="W606" s="2"/>
      <c r="X606" s="4"/>
    </row>
    <row r="607" spans="6:24" ht="15.75" customHeight="1">
      <c r="F607" s="2"/>
      <c r="U607" s="2"/>
      <c r="V607" s="2"/>
      <c r="W607" s="2"/>
      <c r="X607" s="4"/>
    </row>
    <row r="608" spans="6:24" ht="15.75" customHeight="1">
      <c r="F608" s="2"/>
      <c r="U608" s="2"/>
      <c r="V608" s="2"/>
      <c r="W608" s="2"/>
      <c r="X608" s="4"/>
    </row>
    <row r="609" spans="6:24" ht="15.75" customHeight="1">
      <c r="F609" s="2"/>
      <c r="U609" s="2"/>
      <c r="V609" s="2"/>
      <c r="W609" s="2"/>
      <c r="X609" s="4"/>
    </row>
    <row r="610" spans="6:24" ht="15.75" customHeight="1">
      <c r="F610" s="2"/>
      <c r="U610" s="2"/>
      <c r="V610" s="2"/>
      <c r="W610" s="2"/>
      <c r="X610" s="4"/>
    </row>
    <row r="611" spans="6:24" ht="15.75" customHeight="1">
      <c r="F611" s="2"/>
      <c r="U611" s="2"/>
      <c r="V611" s="2"/>
      <c r="W611" s="2"/>
      <c r="X611" s="4"/>
    </row>
    <row r="612" spans="6:24" ht="15.75" customHeight="1">
      <c r="F612" s="2"/>
      <c r="U612" s="2"/>
      <c r="V612" s="2"/>
      <c r="W612" s="2"/>
      <c r="X612" s="4"/>
    </row>
    <row r="613" spans="6:24" ht="15.75" customHeight="1">
      <c r="F613" s="2"/>
      <c r="U613" s="2"/>
      <c r="V613" s="2"/>
      <c r="W613" s="2"/>
      <c r="X613" s="4"/>
    </row>
    <row r="614" spans="6:24" ht="15.75" customHeight="1">
      <c r="F614" s="2"/>
      <c r="U614" s="2"/>
      <c r="V614" s="2"/>
      <c r="W614" s="2"/>
      <c r="X614" s="4"/>
    </row>
    <row r="615" spans="6:24" ht="15.75" customHeight="1">
      <c r="F615" s="2"/>
      <c r="U615" s="2"/>
      <c r="V615" s="2"/>
      <c r="W615" s="2"/>
      <c r="X615" s="4"/>
    </row>
    <row r="616" spans="6:24" ht="15.75" customHeight="1">
      <c r="F616" s="2"/>
      <c r="U616" s="2"/>
      <c r="V616" s="2"/>
      <c r="W616" s="2"/>
      <c r="X616" s="4"/>
    </row>
    <row r="617" spans="6:24" ht="15.75" customHeight="1">
      <c r="F617" s="2"/>
      <c r="U617" s="2"/>
      <c r="V617" s="2"/>
      <c r="W617" s="2"/>
      <c r="X617" s="4"/>
    </row>
    <row r="618" spans="6:24" ht="15.75" customHeight="1">
      <c r="F618" s="2"/>
      <c r="U618" s="2"/>
      <c r="V618" s="2"/>
      <c r="W618" s="2"/>
      <c r="X618" s="4"/>
    </row>
    <row r="619" spans="6:24" ht="15.75" customHeight="1">
      <c r="F619" s="2"/>
      <c r="U619" s="2"/>
      <c r="V619" s="2"/>
      <c r="W619" s="2"/>
      <c r="X619" s="4"/>
    </row>
    <row r="620" spans="6:24" ht="15.75" customHeight="1">
      <c r="F620" s="2"/>
      <c r="U620" s="2"/>
      <c r="V620" s="2"/>
      <c r="W620" s="2"/>
      <c r="X620" s="4"/>
    </row>
    <row r="621" spans="6:24" ht="15.75" customHeight="1">
      <c r="F621" s="2"/>
      <c r="U621" s="2"/>
      <c r="V621" s="2"/>
      <c r="W621" s="2"/>
      <c r="X621" s="4"/>
    </row>
    <row r="622" spans="6:24" ht="15.75" customHeight="1">
      <c r="F622" s="2"/>
      <c r="U622" s="2"/>
      <c r="V622" s="2"/>
      <c r="W622" s="2"/>
      <c r="X622" s="4"/>
    </row>
    <row r="623" spans="6:24" ht="15.75" customHeight="1">
      <c r="F623" s="2"/>
      <c r="U623" s="2"/>
      <c r="V623" s="2"/>
      <c r="W623" s="2"/>
      <c r="X623" s="4"/>
    </row>
    <row r="624" spans="6:24" ht="15.75" customHeight="1">
      <c r="F624" s="2"/>
      <c r="U624" s="2"/>
      <c r="V624" s="2"/>
      <c r="W624" s="2"/>
      <c r="X624" s="4"/>
    </row>
    <row r="625" spans="6:24" ht="15.75" customHeight="1">
      <c r="F625" s="2"/>
      <c r="U625" s="2"/>
      <c r="V625" s="2"/>
      <c r="W625" s="2"/>
      <c r="X625" s="4"/>
    </row>
    <row r="626" spans="6:24" ht="15.75" customHeight="1">
      <c r="F626" s="2"/>
      <c r="U626" s="2"/>
      <c r="V626" s="2"/>
      <c r="W626" s="2"/>
      <c r="X626" s="4"/>
    </row>
    <row r="627" spans="6:24" ht="15.75" customHeight="1">
      <c r="F627" s="2"/>
      <c r="U627" s="2"/>
      <c r="V627" s="2"/>
      <c r="W627" s="2"/>
      <c r="X627" s="4"/>
    </row>
    <row r="628" spans="6:24" ht="15.75" customHeight="1">
      <c r="F628" s="2"/>
      <c r="U628" s="2"/>
      <c r="V628" s="2"/>
      <c r="W628" s="2"/>
      <c r="X628" s="4"/>
    </row>
    <row r="629" spans="6:24" ht="15.75" customHeight="1">
      <c r="F629" s="2"/>
      <c r="U629" s="2"/>
      <c r="V629" s="2"/>
      <c r="W629" s="2"/>
      <c r="X629" s="4"/>
    </row>
    <row r="630" spans="6:24" ht="15.75" customHeight="1">
      <c r="F630" s="2"/>
      <c r="U630" s="2"/>
      <c r="V630" s="2"/>
      <c r="W630" s="2"/>
      <c r="X630" s="4"/>
    </row>
    <row r="631" spans="6:24" ht="15.75" customHeight="1">
      <c r="F631" s="2"/>
      <c r="U631" s="2"/>
      <c r="V631" s="2"/>
      <c r="W631" s="2"/>
      <c r="X631" s="4"/>
    </row>
    <row r="632" spans="6:24" ht="15.75" customHeight="1">
      <c r="F632" s="2"/>
      <c r="U632" s="2"/>
      <c r="V632" s="2"/>
      <c r="W632" s="2"/>
      <c r="X632" s="4"/>
    </row>
    <row r="633" spans="6:24" ht="15.75" customHeight="1">
      <c r="F633" s="2"/>
      <c r="U633" s="2"/>
      <c r="V633" s="2"/>
      <c r="W633" s="2"/>
      <c r="X633" s="4"/>
    </row>
    <row r="634" spans="6:24" ht="15.75" customHeight="1">
      <c r="F634" s="2"/>
      <c r="U634" s="2"/>
      <c r="V634" s="2"/>
      <c r="W634" s="2"/>
      <c r="X634" s="4"/>
    </row>
    <row r="635" spans="6:24" ht="15.75" customHeight="1">
      <c r="F635" s="2"/>
      <c r="U635" s="2"/>
      <c r="V635" s="2"/>
      <c r="W635" s="2"/>
      <c r="X635" s="4"/>
    </row>
    <row r="636" spans="6:24" ht="15.75" customHeight="1">
      <c r="F636" s="2"/>
      <c r="U636" s="2"/>
      <c r="V636" s="2"/>
      <c r="W636" s="2"/>
      <c r="X636" s="4"/>
    </row>
    <row r="637" spans="6:24" ht="15.75" customHeight="1">
      <c r="F637" s="2"/>
      <c r="U637" s="2"/>
      <c r="V637" s="2"/>
      <c r="W637" s="2"/>
      <c r="X637" s="4"/>
    </row>
    <row r="638" spans="6:24" ht="15.75" customHeight="1">
      <c r="F638" s="2"/>
      <c r="U638" s="2"/>
      <c r="V638" s="2"/>
      <c r="W638" s="2"/>
      <c r="X638" s="4"/>
    </row>
    <row r="639" spans="6:24" ht="15.75" customHeight="1">
      <c r="F639" s="2"/>
      <c r="U639" s="2"/>
      <c r="V639" s="2"/>
      <c r="W639" s="2"/>
      <c r="X639" s="4"/>
    </row>
    <row r="640" spans="6:24" ht="15.75" customHeight="1">
      <c r="F640" s="2"/>
      <c r="U640" s="2"/>
      <c r="V640" s="2"/>
      <c r="W640" s="2"/>
      <c r="X640" s="4"/>
    </row>
    <row r="641" spans="6:24" ht="15.75" customHeight="1">
      <c r="F641" s="2"/>
      <c r="U641" s="2"/>
      <c r="V641" s="2"/>
      <c r="W641" s="2"/>
      <c r="X641" s="4"/>
    </row>
    <row r="642" spans="6:24" ht="15.75" customHeight="1">
      <c r="F642" s="2"/>
      <c r="U642" s="2"/>
      <c r="V642" s="2"/>
      <c r="W642" s="2"/>
      <c r="X642" s="4"/>
    </row>
    <row r="643" spans="6:24" ht="15.75" customHeight="1">
      <c r="F643" s="2"/>
      <c r="U643" s="2"/>
      <c r="V643" s="2"/>
      <c r="W643" s="2"/>
      <c r="X643" s="4"/>
    </row>
    <row r="644" spans="6:24" ht="15.75" customHeight="1">
      <c r="F644" s="2"/>
      <c r="U644" s="2"/>
      <c r="V644" s="2"/>
      <c r="W644" s="2"/>
      <c r="X644" s="4"/>
    </row>
    <row r="645" spans="6:24" ht="15.75" customHeight="1">
      <c r="F645" s="2"/>
      <c r="U645" s="2"/>
      <c r="V645" s="2"/>
      <c r="W645" s="2"/>
      <c r="X645" s="4"/>
    </row>
    <row r="646" spans="6:24" ht="15.75" customHeight="1">
      <c r="F646" s="2"/>
      <c r="U646" s="2"/>
      <c r="V646" s="2"/>
      <c r="W646" s="2"/>
      <c r="X646" s="4"/>
    </row>
    <row r="647" spans="6:24" ht="15.75" customHeight="1">
      <c r="F647" s="2"/>
      <c r="U647" s="2"/>
      <c r="V647" s="2"/>
      <c r="W647" s="2"/>
      <c r="X647" s="4"/>
    </row>
    <row r="648" spans="6:24" ht="15.75" customHeight="1">
      <c r="F648" s="2"/>
      <c r="U648" s="2"/>
      <c r="V648" s="2"/>
      <c r="W648" s="2"/>
      <c r="X648" s="4"/>
    </row>
    <row r="649" spans="6:24" ht="15.75" customHeight="1">
      <c r="F649" s="2"/>
      <c r="U649" s="2"/>
      <c r="V649" s="2"/>
      <c r="W649" s="2"/>
      <c r="X649" s="4"/>
    </row>
    <row r="650" spans="6:24" ht="15.75" customHeight="1">
      <c r="F650" s="2"/>
      <c r="U650" s="2"/>
      <c r="V650" s="2"/>
      <c r="W650" s="2"/>
      <c r="X650" s="4"/>
    </row>
    <row r="651" spans="6:24" ht="15.75" customHeight="1">
      <c r="F651" s="2"/>
      <c r="U651" s="2"/>
      <c r="V651" s="2"/>
      <c r="W651" s="2"/>
      <c r="X651" s="4"/>
    </row>
    <row r="652" spans="6:24" ht="15.75" customHeight="1">
      <c r="F652" s="2"/>
      <c r="U652" s="2"/>
      <c r="V652" s="2"/>
      <c r="W652" s="2"/>
      <c r="X652" s="4"/>
    </row>
    <row r="653" spans="6:24" ht="15.75" customHeight="1">
      <c r="F653" s="2"/>
      <c r="U653" s="2"/>
      <c r="V653" s="2"/>
      <c r="W653" s="2"/>
      <c r="X653" s="4"/>
    </row>
    <row r="654" spans="6:24" ht="15.75" customHeight="1">
      <c r="F654" s="2"/>
      <c r="U654" s="2"/>
      <c r="V654" s="2"/>
      <c r="W654" s="2"/>
      <c r="X654" s="4"/>
    </row>
    <row r="655" spans="6:24" ht="15.75" customHeight="1">
      <c r="F655" s="2"/>
      <c r="U655" s="2"/>
      <c r="V655" s="2"/>
      <c r="W655" s="2"/>
      <c r="X655" s="4"/>
    </row>
    <row r="656" spans="6:24" ht="15.75" customHeight="1">
      <c r="F656" s="2"/>
      <c r="U656" s="2"/>
      <c r="V656" s="2"/>
      <c r="W656" s="2"/>
      <c r="X656" s="4"/>
    </row>
    <row r="657" spans="6:24" ht="15.75" customHeight="1">
      <c r="F657" s="2"/>
      <c r="U657" s="2"/>
      <c r="V657" s="2"/>
      <c r="W657" s="2"/>
      <c r="X657" s="4"/>
    </row>
    <row r="658" spans="6:24" ht="15.75" customHeight="1">
      <c r="F658" s="2"/>
      <c r="U658" s="2"/>
      <c r="V658" s="2"/>
      <c r="W658" s="2"/>
      <c r="X658" s="4"/>
    </row>
    <row r="659" spans="6:24" ht="15.75" customHeight="1">
      <c r="F659" s="2"/>
      <c r="U659" s="2"/>
      <c r="V659" s="2"/>
      <c r="W659" s="2"/>
      <c r="X659" s="4"/>
    </row>
    <row r="660" spans="6:24" ht="15.75" customHeight="1">
      <c r="F660" s="2"/>
      <c r="U660" s="2"/>
      <c r="V660" s="2"/>
      <c r="W660" s="2"/>
      <c r="X660" s="4"/>
    </row>
    <row r="661" spans="6:24" ht="15.75" customHeight="1">
      <c r="F661" s="2"/>
      <c r="U661" s="2"/>
      <c r="V661" s="2"/>
      <c r="W661" s="2"/>
      <c r="X661" s="4"/>
    </row>
    <row r="662" spans="6:24" ht="15.75" customHeight="1">
      <c r="F662" s="2"/>
      <c r="U662" s="2"/>
      <c r="V662" s="2"/>
      <c r="W662" s="2"/>
      <c r="X662" s="4"/>
    </row>
    <row r="663" spans="6:24" ht="15.75" customHeight="1">
      <c r="F663" s="2"/>
      <c r="U663" s="2"/>
      <c r="V663" s="2"/>
      <c r="W663" s="2"/>
      <c r="X663" s="4"/>
    </row>
    <row r="664" spans="6:24" ht="15.75" customHeight="1">
      <c r="F664" s="2"/>
      <c r="U664" s="2"/>
      <c r="V664" s="2"/>
      <c r="W664" s="2"/>
      <c r="X664" s="4"/>
    </row>
    <row r="665" spans="6:24" ht="15.75" customHeight="1">
      <c r="F665" s="2"/>
      <c r="U665" s="2"/>
      <c r="V665" s="2"/>
      <c r="W665" s="2"/>
      <c r="X665" s="4"/>
    </row>
    <row r="666" spans="6:24" ht="15.75" customHeight="1">
      <c r="F666" s="2"/>
      <c r="U666" s="2"/>
      <c r="V666" s="2"/>
      <c r="W666" s="2"/>
      <c r="X666" s="4"/>
    </row>
    <row r="667" spans="6:24" ht="15.75" customHeight="1">
      <c r="F667" s="2"/>
      <c r="U667" s="2"/>
      <c r="V667" s="2"/>
      <c r="W667" s="2"/>
      <c r="X667" s="4"/>
    </row>
    <row r="668" spans="6:24" ht="15.75" customHeight="1">
      <c r="F668" s="2"/>
      <c r="U668" s="2"/>
      <c r="V668" s="2"/>
      <c r="W668" s="2"/>
      <c r="X668" s="4"/>
    </row>
    <row r="669" spans="6:24" ht="15.75" customHeight="1">
      <c r="F669" s="2"/>
      <c r="U669" s="2"/>
      <c r="V669" s="2"/>
      <c r="W669" s="2"/>
      <c r="X669" s="4"/>
    </row>
    <row r="670" spans="6:24" ht="15.75" customHeight="1">
      <c r="F670" s="2"/>
      <c r="U670" s="2"/>
      <c r="V670" s="2"/>
      <c r="W670" s="2"/>
      <c r="X670" s="4"/>
    </row>
    <row r="671" spans="6:24" ht="15.75" customHeight="1">
      <c r="F671" s="2"/>
      <c r="U671" s="2"/>
      <c r="V671" s="2"/>
      <c r="W671" s="2"/>
      <c r="X671" s="4"/>
    </row>
    <row r="672" spans="6:24" ht="15.75" customHeight="1">
      <c r="F672" s="2"/>
      <c r="U672" s="2"/>
      <c r="V672" s="2"/>
      <c r="W672" s="2"/>
      <c r="X672" s="4"/>
    </row>
    <row r="673" spans="6:24" ht="15.75" customHeight="1">
      <c r="F673" s="2"/>
      <c r="U673" s="2"/>
      <c r="V673" s="2"/>
      <c r="W673" s="2"/>
      <c r="X673" s="4"/>
    </row>
    <row r="674" spans="6:24" ht="15.75" customHeight="1">
      <c r="F674" s="2"/>
      <c r="U674" s="2"/>
      <c r="V674" s="2"/>
      <c r="W674" s="2"/>
      <c r="X674" s="4"/>
    </row>
    <row r="675" spans="6:24" ht="15.75" customHeight="1">
      <c r="F675" s="2"/>
      <c r="U675" s="2"/>
      <c r="V675" s="2"/>
      <c r="W675" s="2"/>
      <c r="X675" s="4"/>
    </row>
    <row r="676" spans="6:24" ht="15.75" customHeight="1">
      <c r="F676" s="2"/>
      <c r="U676" s="2"/>
      <c r="V676" s="2"/>
      <c r="W676" s="2"/>
      <c r="X676" s="4"/>
    </row>
    <row r="677" spans="6:24" ht="15.75" customHeight="1">
      <c r="F677" s="2"/>
      <c r="U677" s="2"/>
      <c r="V677" s="2"/>
      <c r="W677" s="2"/>
      <c r="X677" s="4"/>
    </row>
    <row r="678" spans="6:24" ht="15.75" customHeight="1">
      <c r="F678" s="2"/>
      <c r="U678" s="2"/>
      <c r="V678" s="2"/>
      <c r="W678" s="2"/>
      <c r="X678" s="4"/>
    </row>
    <row r="679" spans="6:24" ht="15.75" customHeight="1">
      <c r="F679" s="2"/>
      <c r="U679" s="2"/>
      <c r="V679" s="2"/>
      <c r="W679" s="2"/>
      <c r="X679" s="4"/>
    </row>
    <row r="680" spans="6:24" ht="15.75" customHeight="1">
      <c r="F680" s="2"/>
      <c r="U680" s="2"/>
      <c r="V680" s="2"/>
      <c r="W680" s="2"/>
      <c r="X680" s="4"/>
    </row>
    <row r="681" spans="6:24" ht="15.75" customHeight="1">
      <c r="F681" s="2"/>
      <c r="U681" s="2"/>
      <c r="V681" s="2"/>
      <c r="W681" s="2"/>
      <c r="X681" s="4"/>
    </row>
    <row r="682" spans="6:24" ht="15.75" customHeight="1">
      <c r="F682" s="2"/>
      <c r="U682" s="2"/>
      <c r="V682" s="2"/>
      <c r="W682" s="2"/>
      <c r="X682" s="4"/>
    </row>
    <row r="683" spans="6:24" ht="15.75" customHeight="1">
      <c r="F683" s="2"/>
      <c r="U683" s="2"/>
      <c r="V683" s="2"/>
      <c r="W683" s="2"/>
      <c r="X683" s="4"/>
    </row>
    <row r="684" spans="6:24" ht="15.75" customHeight="1">
      <c r="F684" s="2"/>
      <c r="U684" s="2"/>
      <c r="V684" s="2"/>
      <c r="W684" s="2"/>
      <c r="X684" s="4"/>
    </row>
    <row r="685" spans="6:24" ht="15.75" customHeight="1">
      <c r="F685" s="2"/>
      <c r="U685" s="2"/>
      <c r="V685" s="2"/>
      <c r="W685" s="2"/>
      <c r="X685" s="4"/>
    </row>
    <row r="686" spans="6:24" ht="15.75" customHeight="1">
      <c r="F686" s="2"/>
      <c r="U686" s="2"/>
      <c r="V686" s="2"/>
      <c r="W686" s="2"/>
      <c r="X686" s="4"/>
    </row>
    <row r="687" spans="6:24" ht="15.75" customHeight="1">
      <c r="F687" s="2"/>
      <c r="U687" s="2"/>
      <c r="V687" s="2"/>
      <c r="W687" s="2"/>
      <c r="X687" s="4"/>
    </row>
    <row r="688" spans="6:24" ht="15.75" customHeight="1">
      <c r="F688" s="2"/>
      <c r="U688" s="2"/>
      <c r="V688" s="2"/>
      <c r="W688" s="2"/>
      <c r="X688" s="4"/>
    </row>
    <row r="689" spans="6:24" ht="15.75" customHeight="1">
      <c r="F689" s="2"/>
      <c r="U689" s="2"/>
      <c r="V689" s="2"/>
      <c r="W689" s="2"/>
      <c r="X689" s="4"/>
    </row>
    <row r="690" spans="6:24" ht="15.75" customHeight="1">
      <c r="F690" s="2"/>
      <c r="U690" s="2"/>
      <c r="V690" s="2"/>
      <c r="W690" s="2"/>
      <c r="X690" s="4"/>
    </row>
    <row r="691" spans="6:24" ht="15.75" customHeight="1">
      <c r="F691" s="2"/>
      <c r="U691" s="2"/>
      <c r="V691" s="2"/>
      <c r="W691" s="2"/>
      <c r="X691" s="4"/>
    </row>
    <row r="692" spans="6:24" ht="15.75" customHeight="1">
      <c r="F692" s="2"/>
      <c r="U692" s="2"/>
      <c r="V692" s="2"/>
      <c r="W692" s="2"/>
      <c r="X692" s="4"/>
    </row>
    <row r="693" spans="6:24" ht="15.75" customHeight="1">
      <c r="F693" s="2"/>
      <c r="U693" s="2"/>
      <c r="V693" s="2"/>
      <c r="W693" s="2"/>
      <c r="X693" s="4"/>
    </row>
    <row r="694" spans="6:24" ht="15.75" customHeight="1">
      <c r="F694" s="2"/>
      <c r="U694" s="2"/>
      <c r="V694" s="2"/>
      <c r="W694" s="2"/>
      <c r="X694" s="4"/>
    </row>
    <row r="695" spans="6:24" ht="15.75" customHeight="1">
      <c r="F695" s="2"/>
      <c r="U695" s="2"/>
      <c r="V695" s="2"/>
      <c r="W695" s="2"/>
      <c r="X695" s="4"/>
    </row>
    <row r="696" spans="6:24" ht="15.75" customHeight="1">
      <c r="F696" s="2"/>
      <c r="U696" s="2"/>
      <c r="V696" s="2"/>
      <c r="W696" s="2"/>
      <c r="X696" s="4"/>
    </row>
    <row r="697" spans="6:24" ht="15.75" customHeight="1">
      <c r="F697" s="2"/>
      <c r="U697" s="2"/>
      <c r="V697" s="2"/>
      <c r="W697" s="2"/>
      <c r="X697" s="4"/>
    </row>
    <row r="698" spans="6:24" ht="15.75" customHeight="1">
      <c r="F698" s="2"/>
      <c r="U698" s="2"/>
      <c r="V698" s="2"/>
      <c r="W698" s="2"/>
      <c r="X698" s="4"/>
    </row>
    <row r="699" spans="6:24" ht="15.75" customHeight="1">
      <c r="F699" s="2"/>
      <c r="U699" s="2"/>
      <c r="V699" s="2"/>
      <c r="W699" s="2"/>
      <c r="X699" s="4"/>
    </row>
    <row r="700" spans="6:24" ht="15.75" customHeight="1">
      <c r="F700" s="2"/>
      <c r="U700" s="2"/>
      <c r="V700" s="2"/>
      <c r="W700" s="2"/>
      <c r="X700" s="4"/>
    </row>
    <row r="701" spans="6:24" ht="15.75" customHeight="1">
      <c r="F701" s="2"/>
      <c r="U701" s="2"/>
      <c r="V701" s="2"/>
      <c r="W701" s="2"/>
      <c r="X701" s="4"/>
    </row>
    <row r="702" spans="6:24" ht="15.75" customHeight="1">
      <c r="F702" s="2"/>
      <c r="U702" s="2"/>
      <c r="V702" s="2"/>
      <c r="W702" s="2"/>
      <c r="X702" s="4"/>
    </row>
    <row r="703" spans="6:24" ht="15.75" customHeight="1">
      <c r="F703" s="2"/>
      <c r="U703" s="2"/>
      <c r="V703" s="2"/>
      <c r="W703" s="2"/>
      <c r="X703" s="4"/>
    </row>
    <row r="704" spans="6:24" ht="15.75" customHeight="1">
      <c r="F704" s="2"/>
      <c r="U704" s="2"/>
      <c r="V704" s="2"/>
      <c r="W704" s="2"/>
      <c r="X704" s="4"/>
    </row>
    <row r="705" spans="6:24" ht="15.75" customHeight="1">
      <c r="F705" s="2"/>
      <c r="U705" s="2"/>
      <c r="V705" s="2"/>
      <c r="W705" s="2"/>
      <c r="X705" s="4"/>
    </row>
    <row r="706" spans="6:24" ht="15.75" customHeight="1">
      <c r="F706" s="2"/>
      <c r="U706" s="2"/>
      <c r="V706" s="2"/>
      <c r="W706" s="2"/>
      <c r="X706" s="4"/>
    </row>
    <row r="707" spans="6:24" ht="15.75" customHeight="1">
      <c r="F707" s="2"/>
      <c r="U707" s="2"/>
      <c r="V707" s="2"/>
      <c r="W707" s="2"/>
      <c r="X707" s="4"/>
    </row>
    <row r="708" spans="6:24" ht="15.75" customHeight="1">
      <c r="F708" s="2"/>
      <c r="U708" s="2"/>
      <c r="V708" s="2"/>
      <c r="W708" s="2"/>
      <c r="X708" s="4"/>
    </row>
    <row r="709" spans="6:24" ht="15.75" customHeight="1">
      <c r="F709" s="2"/>
      <c r="U709" s="2"/>
      <c r="V709" s="2"/>
      <c r="W709" s="2"/>
      <c r="X709" s="4"/>
    </row>
    <row r="710" spans="6:24" ht="15.75" customHeight="1">
      <c r="F710" s="2"/>
      <c r="U710" s="2"/>
      <c r="V710" s="2"/>
      <c r="W710" s="2"/>
      <c r="X710" s="4"/>
    </row>
    <row r="711" spans="6:24" ht="15.75" customHeight="1">
      <c r="F711" s="2"/>
      <c r="U711" s="2"/>
      <c r="V711" s="2"/>
      <c r="W711" s="2"/>
      <c r="X711" s="4"/>
    </row>
    <row r="712" spans="6:24" ht="15.75" customHeight="1">
      <c r="F712" s="2"/>
      <c r="U712" s="2"/>
      <c r="V712" s="2"/>
      <c r="W712" s="2"/>
      <c r="X712" s="4"/>
    </row>
    <row r="713" spans="6:24" ht="15.75" customHeight="1">
      <c r="F713" s="2"/>
      <c r="U713" s="2"/>
      <c r="V713" s="2"/>
      <c r="W713" s="2"/>
      <c r="X713" s="4"/>
    </row>
    <row r="714" spans="6:24" ht="15.75" customHeight="1">
      <c r="F714" s="2"/>
      <c r="U714" s="2"/>
      <c r="V714" s="2"/>
      <c r="W714" s="2"/>
      <c r="X714" s="4"/>
    </row>
    <row r="715" spans="6:24" ht="15.75" customHeight="1">
      <c r="F715" s="2"/>
      <c r="U715" s="2"/>
      <c r="V715" s="2"/>
      <c r="W715" s="2"/>
      <c r="X715" s="4"/>
    </row>
    <row r="716" spans="6:24" ht="15.75" customHeight="1">
      <c r="F716" s="2"/>
      <c r="U716" s="2"/>
      <c r="V716" s="2"/>
      <c r="W716" s="2"/>
      <c r="X716" s="4"/>
    </row>
    <row r="717" spans="6:24" ht="15.75" customHeight="1">
      <c r="F717" s="2"/>
      <c r="U717" s="2"/>
      <c r="V717" s="2"/>
      <c r="W717" s="2"/>
      <c r="X717" s="4"/>
    </row>
    <row r="718" spans="6:24" ht="15.75" customHeight="1">
      <c r="F718" s="2"/>
      <c r="U718" s="2"/>
      <c r="V718" s="2"/>
      <c r="W718" s="2"/>
      <c r="X718" s="4"/>
    </row>
    <row r="719" spans="6:24" ht="15.75" customHeight="1">
      <c r="F719" s="2"/>
      <c r="U719" s="2"/>
      <c r="V719" s="2"/>
      <c r="W719" s="2"/>
      <c r="X719" s="4"/>
    </row>
    <row r="720" spans="6:24" ht="15.75" customHeight="1">
      <c r="F720" s="2"/>
      <c r="U720" s="2"/>
      <c r="V720" s="2"/>
      <c r="W720" s="2"/>
      <c r="X720" s="4"/>
    </row>
    <row r="721" spans="6:24" ht="15.75" customHeight="1">
      <c r="F721" s="2"/>
      <c r="U721" s="2"/>
      <c r="V721" s="2"/>
      <c r="W721" s="2"/>
      <c r="X721" s="4"/>
    </row>
    <row r="722" spans="6:24" ht="15.75" customHeight="1">
      <c r="F722" s="2"/>
      <c r="U722" s="2"/>
      <c r="V722" s="2"/>
      <c r="W722" s="2"/>
      <c r="X722" s="4"/>
    </row>
    <row r="723" spans="6:24" ht="15.75" customHeight="1">
      <c r="F723" s="2"/>
      <c r="U723" s="2"/>
      <c r="V723" s="2"/>
      <c r="W723" s="2"/>
      <c r="X723" s="4"/>
    </row>
    <row r="724" spans="6:24" ht="15.75" customHeight="1">
      <c r="F724" s="2"/>
      <c r="U724" s="2"/>
      <c r="V724" s="2"/>
      <c r="W724" s="2"/>
      <c r="X724" s="4"/>
    </row>
    <row r="725" spans="6:24" ht="15.75" customHeight="1">
      <c r="F725" s="2"/>
      <c r="U725" s="2"/>
      <c r="V725" s="2"/>
      <c r="W725" s="2"/>
      <c r="X725" s="4"/>
    </row>
    <row r="726" spans="6:24" ht="15.75" customHeight="1">
      <c r="F726" s="2"/>
      <c r="U726" s="2"/>
      <c r="V726" s="2"/>
      <c r="W726" s="2"/>
      <c r="X726" s="4"/>
    </row>
    <row r="727" spans="6:24" ht="15.75" customHeight="1">
      <c r="F727" s="2"/>
      <c r="U727" s="2"/>
      <c r="V727" s="2"/>
      <c r="W727" s="2"/>
      <c r="X727" s="4"/>
    </row>
    <row r="728" spans="6:24" ht="15.75" customHeight="1">
      <c r="F728" s="2"/>
      <c r="U728" s="2"/>
      <c r="V728" s="2"/>
      <c r="W728" s="2"/>
      <c r="X728" s="4"/>
    </row>
    <row r="729" spans="6:24" ht="15.75" customHeight="1">
      <c r="F729" s="2"/>
      <c r="U729" s="2"/>
      <c r="V729" s="2"/>
      <c r="W729" s="2"/>
      <c r="X729" s="4"/>
    </row>
    <row r="730" spans="6:24" ht="15.75" customHeight="1">
      <c r="F730" s="2"/>
      <c r="U730" s="2"/>
      <c r="V730" s="2"/>
      <c r="W730" s="2"/>
      <c r="X730" s="4"/>
    </row>
    <row r="731" spans="6:24" ht="15.75" customHeight="1">
      <c r="F731" s="2"/>
      <c r="U731" s="2"/>
      <c r="V731" s="2"/>
      <c r="W731" s="2"/>
      <c r="X731" s="4"/>
    </row>
    <row r="732" spans="6:24" ht="15.75" customHeight="1">
      <c r="F732" s="2"/>
      <c r="U732" s="2"/>
      <c r="V732" s="2"/>
      <c r="W732" s="2"/>
      <c r="X732" s="4"/>
    </row>
    <row r="733" spans="6:24" ht="15.75" customHeight="1">
      <c r="F733" s="2"/>
      <c r="U733" s="2"/>
      <c r="V733" s="2"/>
      <c r="W733" s="2"/>
      <c r="X733" s="4"/>
    </row>
    <row r="734" spans="6:24" ht="15.75" customHeight="1">
      <c r="F734" s="2"/>
      <c r="U734" s="2"/>
      <c r="V734" s="2"/>
      <c r="W734" s="2"/>
      <c r="X734" s="4"/>
    </row>
    <row r="735" spans="6:24" ht="15.75" customHeight="1">
      <c r="F735" s="2"/>
      <c r="U735" s="2"/>
      <c r="V735" s="2"/>
      <c r="W735" s="2"/>
      <c r="X735" s="4"/>
    </row>
    <row r="736" spans="6:24" ht="15.75" customHeight="1">
      <c r="F736" s="2"/>
      <c r="U736" s="2"/>
      <c r="V736" s="2"/>
      <c r="W736" s="2"/>
      <c r="X736" s="4"/>
    </row>
    <row r="737" spans="6:24" ht="15.75" customHeight="1">
      <c r="F737" s="2"/>
      <c r="U737" s="2"/>
      <c r="V737" s="2"/>
      <c r="W737" s="2"/>
      <c r="X737" s="4"/>
    </row>
    <row r="738" spans="6:24" ht="15.75" customHeight="1">
      <c r="F738" s="2"/>
      <c r="U738" s="2"/>
      <c r="V738" s="2"/>
      <c r="W738" s="2"/>
      <c r="X738" s="4"/>
    </row>
    <row r="739" spans="6:24" ht="15.75" customHeight="1">
      <c r="F739" s="2"/>
      <c r="U739" s="2"/>
      <c r="V739" s="2"/>
      <c r="W739" s="2"/>
      <c r="X739" s="4"/>
    </row>
    <row r="740" spans="6:24" ht="15.75" customHeight="1">
      <c r="F740" s="2"/>
      <c r="U740" s="2"/>
      <c r="V740" s="2"/>
      <c r="W740" s="2"/>
      <c r="X740" s="4"/>
    </row>
    <row r="741" spans="6:24" ht="15.75" customHeight="1">
      <c r="F741" s="2"/>
      <c r="U741" s="2"/>
      <c r="V741" s="2"/>
      <c r="W741" s="2"/>
      <c r="X741" s="4"/>
    </row>
    <row r="742" spans="6:24" ht="15.75" customHeight="1">
      <c r="F742" s="2"/>
      <c r="U742" s="2"/>
      <c r="V742" s="2"/>
      <c r="W742" s="2"/>
      <c r="X742" s="4"/>
    </row>
    <row r="743" spans="6:24" ht="15.75" customHeight="1">
      <c r="F743" s="2"/>
      <c r="U743" s="2"/>
      <c r="V743" s="2"/>
      <c r="W743" s="2"/>
      <c r="X743" s="4"/>
    </row>
    <row r="744" spans="6:24" ht="15.75" customHeight="1">
      <c r="F744" s="2"/>
      <c r="U744" s="2"/>
      <c r="V744" s="2"/>
      <c r="W744" s="2"/>
      <c r="X744" s="4"/>
    </row>
    <row r="745" spans="6:24" ht="15.75" customHeight="1">
      <c r="F745" s="2"/>
      <c r="U745" s="2"/>
      <c r="V745" s="2"/>
      <c r="W745" s="2"/>
      <c r="X745" s="4"/>
    </row>
    <row r="746" spans="6:24" ht="15.75" customHeight="1">
      <c r="F746" s="2"/>
      <c r="U746" s="2"/>
      <c r="V746" s="2"/>
      <c r="W746" s="2"/>
      <c r="X746" s="4"/>
    </row>
    <row r="747" spans="6:24" ht="15.75" customHeight="1">
      <c r="F747" s="2"/>
      <c r="U747" s="2"/>
      <c r="V747" s="2"/>
      <c r="W747" s="2"/>
      <c r="X747" s="4"/>
    </row>
    <row r="748" spans="6:24" ht="15.75" customHeight="1">
      <c r="F748" s="2"/>
      <c r="U748" s="2"/>
      <c r="V748" s="2"/>
      <c r="W748" s="2"/>
      <c r="X748" s="4"/>
    </row>
    <row r="749" spans="6:24" ht="15.75" customHeight="1">
      <c r="F749" s="2"/>
      <c r="U749" s="2"/>
      <c r="V749" s="2"/>
      <c r="W749" s="2"/>
      <c r="X749" s="4"/>
    </row>
    <row r="750" spans="6:24" ht="15.75" customHeight="1">
      <c r="F750" s="2"/>
      <c r="U750" s="2"/>
      <c r="V750" s="2"/>
      <c r="W750" s="2"/>
      <c r="X750" s="4"/>
    </row>
    <row r="751" spans="6:24" ht="15.75" customHeight="1">
      <c r="F751" s="2"/>
      <c r="U751" s="2"/>
      <c r="V751" s="2"/>
      <c r="W751" s="2"/>
      <c r="X751" s="4"/>
    </row>
    <row r="752" spans="6:24" ht="15.75" customHeight="1">
      <c r="F752" s="2"/>
      <c r="U752" s="2"/>
      <c r="V752" s="2"/>
      <c r="W752" s="2"/>
      <c r="X752" s="4"/>
    </row>
    <row r="753" spans="6:24" ht="15.75" customHeight="1">
      <c r="F753" s="2"/>
      <c r="U753" s="2"/>
      <c r="V753" s="2"/>
      <c r="W753" s="2"/>
      <c r="X753" s="4"/>
    </row>
    <row r="754" spans="6:24" ht="15.75" customHeight="1">
      <c r="F754" s="2"/>
      <c r="U754" s="2"/>
      <c r="V754" s="2"/>
      <c r="W754" s="2"/>
      <c r="X754" s="4"/>
    </row>
    <row r="755" spans="6:24" ht="15.75" customHeight="1">
      <c r="F755" s="2"/>
      <c r="U755" s="2"/>
      <c r="V755" s="2"/>
      <c r="W755" s="2"/>
      <c r="X755" s="4"/>
    </row>
    <row r="756" spans="6:24" ht="15.75" customHeight="1">
      <c r="F756" s="2"/>
      <c r="U756" s="2"/>
      <c r="V756" s="2"/>
      <c r="W756" s="2"/>
      <c r="X756" s="4"/>
    </row>
    <row r="757" spans="6:24" ht="15.75" customHeight="1">
      <c r="F757" s="2"/>
      <c r="U757" s="2"/>
      <c r="V757" s="2"/>
      <c r="W757" s="2"/>
      <c r="X757" s="4"/>
    </row>
    <row r="758" spans="6:24" ht="15.75" customHeight="1">
      <c r="F758" s="2"/>
      <c r="U758" s="2"/>
      <c r="V758" s="2"/>
      <c r="W758" s="2"/>
      <c r="X758" s="4"/>
    </row>
    <row r="759" spans="6:24" ht="15.75" customHeight="1">
      <c r="F759" s="2"/>
      <c r="U759" s="2"/>
      <c r="V759" s="2"/>
      <c r="W759" s="2"/>
      <c r="X759" s="4"/>
    </row>
    <row r="760" spans="6:24" ht="15.75" customHeight="1">
      <c r="F760" s="2"/>
      <c r="U760" s="2"/>
      <c r="V760" s="2"/>
      <c r="W760" s="2"/>
      <c r="X760" s="4"/>
    </row>
    <row r="761" spans="6:24" ht="15.75" customHeight="1">
      <c r="F761" s="2"/>
      <c r="U761" s="2"/>
      <c r="V761" s="2"/>
      <c r="W761" s="2"/>
      <c r="X761" s="4"/>
    </row>
    <row r="762" spans="6:24" ht="15.75" customHeight="1">
      <c r="F762" s="2"/>
      <c r="U762" s="2"/>
      <c r="V762" s="2"/>
      <c r="W762" s="2"/>
      <c r="X762" s="4"/>
    </row>
    <row r="763" spans="6:24" ht="15.75" customHeight="1">
      <c r="F763" s="2"/>
      <c r="U763" s="2"/>
      <c r="V763" s="2"/>
      <c r="W763" s="2"/>
      <c r="X763" s="4"/>
    </row>
    <row r="764" spans="6:24" ht="15.75" customHeight="1">
      <c r="F764" s="2"/>
      <c r="U764" s="2"/>
      <c r="V764" s="2"/>
      <c r="W764" s="2"/>
      <c r="X764" s="4"/>
    </row>
    <row r="765" spans="6:24" ht="15.75" customHeight="1">
      <c r="F765" s="2"/>
      <c r="U765" s="2"/>
      <c r="V765" s="2"/>
      <c r="W765" s="2"/>
      <c r="X765" s="4"/>
    </row>
    <row r="766" spans="6:24" ht="15.75" customHeight="1">
      <c r="F766" s="2"/>
      <c r="U766" s="2"/>
      <c r="V766" s="2"/>
      <c r="W766" s="2"/>
      <c r="X766" s="4"/>
    </row>
    <row r="767" spans="6:24" ht="15.75" customHeight="1">
      <c r="F767" s="2"/>
      <c r="U767" s="2"/>
      <c r="V767" s="2"/>
      <c r="W767" s="2"/>
      <c r="X767" s="4"/>
    </row>
    <row r="768" spans="6:24" ht="15.75" customHeight="1">
      <c r="F768" s="2"/>
      <c r="U768" s="2"/>
      <c r="V768" s="2"/>
      <c r="W768" s="2"/>
      <c r="X768" s="4"/>
    </row>
    <row r="769" spans="6:24" ht="15.75" customHeight="1">
      <c r="F769" s="2"/>
      <c r="U769" s="2"/>
      <c r="V769" s="2"/>
      <c r="W769" s="2"/>
      <c r="X769" s="4"/>
    </row>
    <row r="770" spans="6:24" ht="15.75" customHeight="1">
      <c r="F770" s="2"/>
      <c r="U770" s="2"/>
      <c r="V770" s="2"/>
      <c r="W770" s="2"/>
      <c r="X770" s="4"/>
    </row>
    <row r="771" spans="6:24" ht="15.75" customHeight="1">
      <c r="F771" s="2"/>
      <c r="U771" s="2"/>
      <c r="V771" s="2"/>
      <c r="W771" s="2"/>
      <c r="X771" s="4"/>
    </row>
    <row r="772" spans="6:24" ht="15.75" customHeight="1">
      <c r="F772" s="2"/>
      <c r="U772" s="2"/>
      <c r="V772" s="2"/>
      <c r="W772" s="2"/>
      <c r="X772" s="4"/>
    </row>
    <row r="773" spans="6:24" ht="15.75" customHeight="1">
      <c r="F773" s="2"/>
      <c r="U773" s="2"/>
      <c r="V773" s="2"/>
      <c r="W773" s="2"/>
      <c r="X773" s="4"/>
    </row>
    <row r="774" spans="6:24" ht="15.75" customHeight="1">
      <c r="F774" s="2"/>
      <c r="U774" s="2"/>
      <c r="V774" s="2"/>
      <c r="W774" s="2"/>
      <c r="X774" s="4"/>
    </row>
    <row r="775" spans="6:24" ht="15.75" customHeight="1">
      <c r="F775" s="2"/>
      <c r="U775" s="2"/>
      <c r="V775" s="2"/>
      <c r="W775" s="2"/>
      <c r="X775" s="4"/>
    </row>
    <row r="776" spans="6:24" ht="15.75" customHeight="1">
      <c r="F776" s="2"/>
      <c r="U776" s="2"/>
      <c r="V776" s="2"/>
      <c r="W776" s="2"/>
      <c r="X776" s="4"/>
    </row>
    <row r="777" spans="6:24" ht="15.75" customHeight="1">
      <c r="F777" s="2"/>
      <c r="U777" s="2"/>
      <c r="V777" s="2"/>
      <c r="W777" s="2"/>
      <c r="X777" s="4"/>
    </row>
    <row r="778" spans="6:24" ht="15.75" customHeight="1">
      <c r="F778" s="2"/>
      <c r="U778" s="2"/>
      <c r="V778" s="2"/>
      <c r="W778" s="2"/>
      <c r="X778" s="4"/>
    </row>
    <row r="779" spans="6:24" ht="15.75" customHeight="1">
      <c r="F779" s="2"/>
      <c r="U779" s="2"/>
      <c r="V779" s="2"/>
      <c r="W779" s="2"/>
      <c r="X779" s="4"/>
    </row>
    <row r="780" spans="6:24" ht="15.75" customHeight="1">
      <c r="F780" s="2"/>
      <c r="U780" s="2"/>
      <c r="V780" s="2"/>
      <c r="W780" s="2"/>
      <c r="X780" s="4"/>
    </row>
    <row r="781" spans="6:24" ht="15.75" customHeight="1">
      <c r="F781" s="2"/>
      <c r="U781" s="2"/>
      <c r="V781" s="2"/>
      <c r="W781" s="2"/>
      <c r="X781" s="4"/>
    </row>
    <row r="782" spans="6:24" ht="15.75" customHeight="1">
      <c r="F782" s="2"/>
      <c r="U782" s="2"/>
      <c r="V782" s="2"/>
      <c r="W782" s="2"/>
      <c r="X782" s="4"/>
    </row>
    <row r="783" spans="6:24" ht="15.75" customHeight="1">
      <c r="F783" s="2"/>
      <c r="U783" s="2"/>
      <c r="V783" s="2"/>
      <c r="W783" s="2"/>
      <c r="X783" s="4"/>
    </row>
    <row r="784" spans="6:24" ht="15.75" customHeight="1">
      <c r="F784" s="2"/>
      <c r="U784" s="2"/>
      <c r="V784" s="2"/>
      <c r="W784" s="2"/>
      <c r="X784" s="4"/>
    </row>
    <row r="785" spans="6:24" ht="15.75" customHeight="1">
      <c r="F785" s="2"/>
      <c r="U785" s="2"/>
      <c r="V785" s="2"/>
      <c r="W785" s="2"/>
      <c r="X785" s="4"/>
    </row>
    <row r="786" spans="6:24" ht="15.75" customHeight="1">
      <c r="F786" s="2"/>
      <c r="U786" s="2"/>
      <c r="V786" s="2"/>
      <c r="W786" s="2"/>
      <c r="X786" s="4"/>
    </row>
    <row r="787" spans="6:24" ht="15.75" customHeight="1">
      <c r="F787" s="2"/>
      <c r="U787" s="2"/>
      <c r="V787" s="2"/>
      <c r="W787" s="2"/>
      <c r="X787" s="4"/>
    </row>
    <row r="788" spans="6:24" ht="15.75" customHeight="1">
      <c r="F788" s="2"/>
      <c r="U788" s="2"/>
      <c r="V788" s="2"/>
      <c r="W788" s="2"/>
      <c r="X788" s="4"/>
    </row>
    <row r="789" spans="6:24" ht="15.75" customHeight="1">
      <c r="F789" s="2"/>
      <c r="U789" s="2"/>
      <c r="V789" s="2"/>
      <c r="W789" s="2"/>
      <c r="X789" s="4"/>
    </row>
    <row r="790" spans="6:24" ht="15.75" customHeight="1">
      <c r="F790" s="2"/>
      <c r="U790" s="2"/>
      <c r="V790" s="2"/>
      <c r="W790" s="2"/>
      <c r="X790" s="4"/>
    </row>
    <row r="791" spans="6:24" ht="15.75" customHeight="1">
      <c r="F791" s="2"/>
      <c r="U791" s="2"/>
      <c r="V791" s="2"/>
      <c r="W791" s="2"/>
      <c r="X791" s="4"/>
    </row>
    <row r="792" spans="6:24" ht="15.75" customHeight="1">
      <c r="F792" s="2"/>
      <c r="U792" s="2"/>
      <c r="V792" s="2"/>
      <c r="W792" s="2"/>
      <c r="X792" s="4"/>
    </row>
    <row r="793" spans="6:24" ht="15.75" customHeight="1">
      <c r="F793" s="2"/>
      <c r="U793" s="2"/>
      <c r="V793" s="2"/>
      <c r="W793" s="2"/>
      <c r="X793" s="4"/>
    </row>
    <row r="794" spans="6:24" ht="15.75" customHeight="1">
      <c r="F794" s="2"/>
      <c r="U794" s="2"/>
      <c r="V794" s="2"/>
      <c r="W794" s="2"/>
      <c r="X794" s="4"/>
    </row>
    <row r="795" spans="6:24" ht="15.75" customHeight="1">
      <c r="F795" s="2"/>
      <c r="U795" s="2"/>
      <c r="V795" s="2"/>
      <c r="W795" s="2"/>
      <c r="X795" s="4"/>
    </row>
    <row r="796" spans="6:24" ht="15.75" customHeight="1">
      <c r="F796" s="2"/>
      <c r="U796" s="2"/>
      <c r="V796" s="2"/>
      <c r="W796" s="2"/>
      <c r="X796" s="4"/>
    </row>
    <row r="797" spans="6:24" ht="15.75" customHeight="1">
      <c r="F797" s="2"/>
      <c r="U797" s="2"/>
      <c r="V797" s="2"/>
      <c r="W797" s="2"/>
      <c r="X797" s="4"/>
    </row>
    <row r="798" spans="6:24" ht="15.75" customHeight="1">
      <c r="F798" s="2"/>
      <c r="U798" s="2"/>
      <c r="V798" s="2"/>
      <c r="W798" s="2"/>
      <c r="X798" s="4"/>
    </row>
    <row r="799" spans="6:24" ht="15.75" customHeight="1">
      <c r="F799" s="2"/>
      <c r="U799" s="2"/>
      <c r="V799" s="2"/>
      <c r="W799" s="2"/>
      <c r="X799" s="4"/>
    </row>
    <row r="800" spans="6:24" ht="15.75" customHeight="1">
      <c r="F800" s="2"/>
      <c r="U800" s="2"/>
      <c r="V800" s="2"/>
      <c r="W800" s="2"/>
      <c r="X800" s="4"/>
    </row>
    <row r="801" spans="6:24" ht="15.75" customHeight="1">
      <c r="F801" s="2"/>
      <c r="U801" s="2"/>
      <c r="V801" s="2"/>
      <c r="W801" s="2"/>
      <c r="X801" s="4"/>
    </row>
    <row r="802" spans="6:24" ht="15.75" customHeight="1">
      <c r="F802" s="2"/>
      <c r="U802" s="2"/>
      <c r="V802" s="2"/>
      <c r="W802" s="2"/>
      <c r="X802" s="4"/>
    </row>
    <row r="803" spans="6:24" ht="15.75" customHeight="1">
      <c r="F803" s="2"/>
      <c r="U803" s="2"/>
      <c r="V803" s="2"/>
      <c r="W803" s="2"/>
      <c r="X803" s="4"/>
    </row>
    <row r="804" spans="6:24" ht="15.75" customHeight="1">
      <c r="F804" s="2"/>
      <c r="U804" s="2"/>
      <c r="V804" s="2"/>
      <c r="W804" s="2"/>
      <c r="X804" s="4"/>
    </row>
    <row r="805" spans="6:24" ht="15.75" customHeight="1">
      <c r="F805" s="2"/>
      <c r="U805" s="2"/>
      <c r="V805" s="2"/>
      <c r="W805" s="2"/>
      <c r="X805" s="4"/>
    </row>
    <row r="806" spans="6:24" ht="15.75" customHeight="1">
      <c r="F806" s="2"/>
      <c r="U806" s="2"/>
      <c r="V806" s="2"/>
      <c r="W806" s="2"/>
      <c r="X806" s="4"/>
    </row>
    <row r="807" spans="6:24" ht="15.75" customHeight="1">
      <c r="F807" s="2"/>
      <c r="U807" s="2"/>
      <c r="V807" s="2"/>
      <c r="W807" s="2"/>
      <c r="X807" s="4"/>
    </row>
    <row r="808" spans="6:24" ht="15.75" customHeight="1">
      <c r="F808" s="2"/>
      <c r="U808" s="2"/>
      <c r="V808" s="2"/>
      <c r="W808" s="2"/>
      <c r="X808" s="4"/>
    </row>
    <row r="809" spans="6:24" ht="15.75" customHeight="1">
      <c r="F809" s="2"/>
      <c r="U809" s="2"/>
      <c r="V809" s="2"/>
      <c r="W809" s="2"/>
      <c r="X809" s="4"/>
    </row>
    <row r="810" spans="6:24" ht="15.75" customHeight="1">
      <c r="F810" s="2"/>
      <c r="U810" s="2"/>
      <c r="V810" s="2"/>
      <c r="W810" s="2"/>
      <c r="X810" s="4"/>
    </row>
    <row r="811" spans="6:24" ht="15.75" customHeight="1">
      <c r="F811" s="2"/>
      <c r="U811" s="2"/>
      <c r="V811" s="2"/>
      <c r="W811" s="2"/>
      <c r="X811" s="4"/>
    </row>
    <row r="812" spans="6:24" ht="15.75" customHeight="1">
      <c r="F812" s="2"/>
      <c r="U812" s="2"/>
      <c r="V812" s="2"/>
      <c r="W812" s="2"/>
      <c r="X812" s="4"/>
    </row>
    <row r="813" spans="6:24" ht="15.75" customHeight="1">
      <c r="F813" s="2"/>
      <c r="U813" s="2"/>
      <c r="V813" s="2"/>
      <c r="W813" s="2"/>
      <c r="X813" s="4"/>
    </row>
    <row r="814" spans="6:24" ht="15.75" customHeight="1">
      <c r="F814" s="2"/>
      <c r="U814" s="2"/>
      <c r="V814" s="2"/>
      <c r="W814" s="2"/>
      <c r="X814" s="4"/>
    </row>
    <row r="815" spans="6:24" ht="15.75" customHeight="1">
      <c r="F815" s="2"/>
      <c r="U815" s="2"/>
      <c r="V815" s="2"/>
      <c r="W815" s="2"/>
      <c r="X815" s="4"/>
    </row>
    <row r="816" spans="6:24" ht="15.75" customHeight="1">
      <c r="F816" s="2"/>
      <c r="U816" s="2"/>
      <c r="V816" s="2"/>
      <c r="W816" s="2"/>
      <c r="X816" s="4"/>
    </row>
    <row r="817" spans="6:24" ht="15.75" customHeight="1">
      <c r="F817" s="2"/>
      <c r="U817" s="2"/>
      <c r="V817" s="2"/>
      <c r="W817" s="2"/>
      <c r="X817" s="4"/>
    </row>
    <row r="818" spans="6:24" ht="15.75" customHeight="1">
      <c r="F818" s="2"/>
      <c r="U818" s="2"/>
      <c r="V818" s="2"/>
      <c r="W818" s="2"/>
      <c r="X818" s="4"/>
    </row>
    <row r="819" spans="6:24" ht="15.75" customHeight="1">
      <c r="F819" s="2"/>
      <c r="U819" s="2"/>
      <c r="V819" s="2"/>
      <c r="W819" s="2"/>
      <c r="X819" s="4"/>
    </row>
    <row r="820" spans="6:24" ht="15.75" customHeight="1">
      <c r="F820" s="2"/>
      <c r="U820" s="2"/>
      <c r="V820" s="2"/>
      <c r="W820" s="2"/>
      <c r="X820" s="4"/>
    </row>
    <row r="821" spans="6:24" ht="15.75" customHeight="1">
      <c r="F821" s="2"/>
      <c r="U821" s="2"/>
      <c r="V821" s="2"/>
      <c r="W821" s="2"/>
      <c r="X821" s="4"/>
    </row>
    <row r="822" spans="6:24" ht="15.75" customHeight="1">
      <c r="F822" s="2"/>
      <c r="U822" s="2"/>
      <c r="V822" s="2"/>
      <c r="W822" s="2"/>
      <c r="X822" s="4"/>
    </row>
    <row r="823" spans="6:24" ht="15.75" customHeight="1">
      <c r="F823" s="2"/>
      <c r="U823" s="2"/>
      <c r="V823" s="2"/>
      <c r="W823" s="2"/>
      <c r="X823" s="4"/>
    </row>
    <row r="824" spans="6:24" ht="15.75" customHeight="1">
      <c r="F824" s="2"/>
      <c r="U824" s="2"/>
      <c r="V824" s="2"/>
      <c r="W824" s="2"/>
      <c r="X824" s="4"/>
    </row>
    <row r="825" spans="6:24" ht="15.75" customHeight="1">
      <c r="F825" s="2"/>
      <c r="U825" s="2"/>
      <c r="V825" s="2"/>
      <c r="W825" s="2"/>
      <c r="X825" s="4"/>
    </row>
    <row r="826" spans="6:24" ht="15.75" customHeight="1">
      <c r="F826" s="2"/>
      <c r="U826" s="2"/>
      <c r="V826" s="2"/>
      <c r="W826" s="2"/>
      <c r="X826" s="4"/>
    </row>
    <row r="827" spans="6:24" ht="15.75" customHeight="1">
      <c r="F827" s="2"/>
      <c r="U827" s="2"/>
      <c r="V827" s="2"/>
      <c r="W827" s="2"/>
      <c r="X827" s="4"/>
    </row>
    <row r="828" spans="6:24" ht="15.75" customHeight="1">
      <c r="F828" s="2"/>
      <c r="U828" s="2"/>
      <c r="V828" s="2"/>
      <c r="W828" s="2"/>
      <c r="X828" s="4"/>
    </row>
    <row r="829" spans="6:24" ht="15.75" customHeight="1">
      <c r="F829" s="2"/>
      <c r="U829" s="2"/>
      <c r="V829" s="2"/>
      <c r="W829" s="2"/>
      <c r="X829" s="4"/>
    </row>
    <row r="830" spans="6:24" ht="15.75" customHeight="1">
      <c r="F830" s="2"/>
      <c r="U830" s="2"/>
      <c r="V830" s="2"/>
      <c r="W830" s="2"/>
      <c r="X830" s="4"/>
    </row>
    <row r="831" spans="6:24" ht="15.75" customHeight="1">
      <c r="F831" s="2"/>
      <c r="U831" s="2"/>
      <c r="V831" s="2"/>
      <c r="W831" s="2"/>
      <c r="X831" s="4"/>
    </row>
    <row r="832" spans="6:24" ht="15.75" customHeight="1">
      <c r="F832" s="2"/>
      <c r="U832" s="2"/>
      <c r="V832" s="2"/>
      <c r="W832" s="2"/>
      <c r="X832" s="4"/>
    </row>
    <row r="833" spans="6:24" ht="15.75" customHeight="1">
      <c r="F833" s="2"/>
      <c r="U833" s="2"/>
      <c r="V833" s="2"/>
      <c r="W833" s="2"/>
      <c r="X833" s="4"/>
    </row>
    <row r="834" spans="6:24" ht="15.75" customHeight="1">
      <c r="F834" s="2"/>
      <c r="U834" s="2"/>
      <c r="V834" s="2"/>
      <c r="W834" s="2"/>
      <c r="X834" s="4"/>
    </row>
    <row r="835" spans="6:24" ht="15.75" customHeight="1">
      <c r="F835" s="2"/>
      <c r="U835" s="2"/>
      <c r="V835" s="2"/>
      <c r="W835" s="2"/>
      <c r="X835" s="4"/>
    </row>
    <row r="836" spans="6:24" ht="15.75" customHeight="1">
      <c r="F836" s="2"/>
      <c r="U836" s="2"/>
      <c r="V836" s="2"/>
      <c r="W836" s="2"/>
      <c r="X836" s="4"/>
    </row>
    <row r="837" spans="6:24" ht="15.75" customHeight="1">
      <c r="F837" s="2"/>
      <c r="U837" s="2"/>
      <c r="V837" s="2"/>
      <c r="W837" s="2"/>
      <c r="X837" s="4"/>
    </row>
    <row r="838" spans="6:24" ht="15.75" customHeight="1">
      <c r="F838" s="2"/>
      <c r="U838" s="2"/>
      <c r="V838" s="2"/>
      <c r="W838" s="2"/>
      <c r="X838" s="4"/>
    </row>
    <row r="839" spans="6:24" ht="15.75" customHeight="1">
      <c r="F839" s="2"/>
      <c r="U839" s="2"/>
      <c r="V839" s="2"/>
      <c r="W839" s="2"/>
      <c r="X839" s="4"/>
    </row>
    <row r="840" spans="6:24" ht="15.75" customHeight="1">
      <c r="F840" s="2"/>
      <c r="U840" s="2"/>
      <c r="V840" s="2"/>
      <c r="W840" s="2"/>
      <c r="X840" s="4"/>
    </row>
    <row r="841" spans="6:24" ht="15.75" customHeight="1">
      <c r="F841" s="2"/>
      <c r="U841" s="2"/>
      <c r="V841" s="2"/>
      <c r="W841" s="2"/>
      <c r="X841" s="4"/>
    </row>
    <row r="842" spans="6:24" ht="15.75" customHeight="1">
      <c r="F842" s="2"/>
      <c r="U842" s="2"/>
      <c r="V842" s="2"/>
      <c r="W842" s="2"/>
      <c r="X842" s="4"/>
    </row>
    <row r="843" spans="6:24" ht="15.75" customHeight="1">
      <c r="F843" s="2"/>
      <c r="U843" s="2"/>
      <c r="V843" s="2"/>
      <c r="W843" s="2"/>
      <c r="X843" s="4"/>
    </row>
    <row r="844" spans="6:24" ht="15.75" customHeight="1">
      <c r="F844" s="2"/>
      <c r="U844" s="2"/>
      <c r="V844" s="2"/>
      <c r="W844" s="2"/>
      <c r="X844" s="4"/>
    </row>
    <row r="845" spans="6:24" ht="15.75" customHeight="1">
      <c r="F845" s="2"/>
      <c r="U845" s="2"/>
      <c r="V845" s="2"/>
      <c r="W845" s="2"/>
      <c r="X845" s="4"/>
    </row>
    <row r="846" spans="6:24" ht="15.75" customHeight="1">
      <c r="F846" s="2"/>
      <c r="U846" s="2"/>
      <c r="V846" s="2"/>
      <c r="W846" s="2"/>
      <c r="X846" s="4"/>
    </row>
    <row r="847" spans="6:24" ht="15.75" customHeight="1">
      <c r="F847" s="2"/>
      <c r="U847" s="2"/>
      <c r="V847" s="2"/>
      <c r="W847" s="2"/>
      <c r="X847" s="4"/>
    </row>
    <row r="848" spans="6:24" ht="15.75" customHeight="1">
      <c r="F848" s="2"/>
      <c r="U848" s="2"/>
      <c r="V848" s="2"/>
      <c r="W848" s="2"/>
      <c r="X848" s="4"/>
    </row>
    <row r="849" spans="6:24" ht="15.75" customHeight="1">
      <c r="F849" s="2"/>
      <c r="U849" s="2"/>
      <c r="V849" s="2"/>
      <c r="W849" s="2"/>
      <c r="X849" s="4"/>
    </row>
    <row r="850" spans="6:24" ht="15.75" customHeight="1">
      <c r="F850" s="2"/>
      <c r="U850" s="2"/>
      <c r="V850" s="2"/>
      <c r="W850" s="2"/>
      <c r="X850" s="4"/>
    </row>
    <row r="851" spans="6:24" ht="15.75" customHeight="1">
      <c r="F851" s="2"/>
      <c r="U851" s="2"/>
      <c r="V851" s="2"/>
      <c r="W851" s="2"/>
      <c r="X851" s="4"/>
    </row>
    <row r="852" spans="6:24" ht="15.75" customHeight="1">
      <c r="F852" s="2"/>
      <c r="U852" s="2"/>
      <c r="V852" s="2"/>
      <c r="W852" s="2"/>
      <c r="X852" s="4"/>
    </row>
    <row r="853" spans="6:24" ht="15.75" customHeight="1">
      <c r="F853" s="2"/>
      <c r="U853" s="2"/>
      <c r="V853" s="2"/>
      <c r="W853" s="2"/>
      <c r="X853" s="4"/>
    </row>
    <row r="854" spans="6:24" ht="15.75" customHeight="1">
      <c r="F854" s="2"/>
      <c r="U854" s="2"/>
      <c r="V854" s="2"/>
      <c r="W854" s="2"/>
      <c r="X854" s="4"/>
    </row>
    <row r="855" spans="6:24" ht="15.75" customHeight="1">
      <c r="F855" s="2"/>
      <c r="U855" s="2"/>
      <c r="V855" s="2"/>
      <c r="W855" s="2"/>
      <c r="X855" s="4"/>
    </row>
    <row r="856" spans="6:24" ht="15.75" customHeight="1">
      <c r="F856" s="2"/>
      <c r="U856" s="2"/>
      <c r="V856" s="2"/>
      <c r="W856" s="2"/>
      <c r="X856" s="4"/>
    </row>
    <row r="857" spans="6:24" ht="15.75" customHeight="1">
      <c r="F857" s="2"/>
      <c r="U857" s="2"/>
      <c r="V857" s="2"/>
      <c r="W857" s="2"/>
      <c r="X857" s="4"/>
    </row>
    <row r="858" spans="6:24" ht="15.75" customHeight="1">
      <c r="F858" s="2"/>
      <c r="U858" s="2"/>
      <c r="V858" s="2"/>
      <c r="W858" s="2"/>
      <c r="X858" s="4"/>
    </row>
    <row r="859" spans="6:24" ht="15.75" customHeight="1">
      <c r="F859" s="2"/>
      <c r="U859" s="2"/>
      <c r="V859" s="2"/>
      <c r="W859" s="2"/>
      <c r="X859" s="4"/>
    </row>
    <row r="860" spans="6:24" ht="15.75" customHeight="1">
      <c r="F860" s="2"/>
      <c r="U860" s="2"/>
      <c r="V860" s="2"/>
      <c r="W860" s="2"/>
      <c r="X860" s="4"/>
    </row>
    <row r="861" spans="6:24" ht="15.75" customHeight="1">
      <c r="F861" s="2"/>
      <c r="U861" s="2"/>
      <c r="V861" s="2"/>
      <c r="W861" s="2"/>
      <c r="X861" s="4"/>
    </row>
    <row r="862" spans="6:24" ht="15.75" customHeight="1">
      <c r="F862" s="2"/>
      <c r="U862" s="2"/>
      <c r="V862" s="2"/>
      <c r="W862" s="2"/>
      <c r="X862" s="4"/>
    </row>
    <row r="863" spans="6:24" ht="15.75" customHeight="1">
      <c r="F863" s="2"/>
      <c r="U863" s="2"/>
      <c r="V863" s="2"/>
      <c r="W863" s="2"/>
      <c r="X863" s="4"/>
    </row>
    <row r="864" spans="6:24" ht="15.75" customHeight="1">
      <c r="F864" s="2"/>
      <c r="U864" s="2"/>
      <c r="V864" s="2"/>
      <c r="W864" s="2"/>
      <c r="X864" s="4"/>
    </row>
    <row r="865" spans="6:24" ht="15.75" customHeight="1">
      <c r="F865" s="2"/>
      <c r="U865" s="2"/>
      <c r="V865" s="2"/>
      <c r="W865" s="2"/>
      <c r="X865" s="4"/>
    </row>
    <row r="866" spans="6:24" ht="15.75" customHeight="1">
      <c r="F866" s="2"/>
      <c r="U866" s="2"/>
      <c r="V866" s="2"/>
      <c r="W866" s="2"/>
      <c r="X866" s="4"/>
    </row>
    <row r="867" spans="6:24" ht="15.75" customHeight="1">
      <c r="F867" s="2"/>
      <c r="U867" s="2"/>
      <c r="V867" s="2"/>
      <c r="W867" s="2"/>
      <c r="X867" s="4"/>
    </row>
    <row r="868" spans="6:24" ht="15.75" customHeight="1">
      <c r="F868" s="2"/>
      <c r="U868" s="2"/>
      <c r="V868" s="2"/>
      <c r="W868" s="2"/>
      <c r="X868" s="4"/>
    </row>
    <row r="869" spans="6:24" ht="15.75" customHeight="1">
      <c r="F869" s="2"/>
      <c r="U869" s="2"/>
      <c r="V869" s="2"/>
      <c r="W869" s="2"/>
      <c r="X869" s="4"/>
    </row>
    <row r="870" spans="6:24" ht="15.75" customHeight="1">
      <c r="F870" s="2"/>
      <c r="U870" s="2"/>
      <c r="V870" s="2"/>
      <c r="W870" s="2"/>
      <c r="X870" s="4"/>
    </row>
    <row r="871" spans="6:24" ht="15.75" customHeight="1">
      <c r="F871" s="2"/>
      <c r="U871" s="2"/>
      <c r="V871" s="2"/>
      <c r="W871" s="2"/>
      <c r="X871" s="4"/>
    </row>
    <row r="872" spans="6:24" ht="15.75" customHeight="1">
      <c r="F872" s="2"/>
      <c r="U872" s="2"/>
      <c r="V872" s="2"/>
      <c r="W872" s="2"/>
      <c r="X872" s="4"/>
    </row>
    <row r="873" spans="6:24" ht="15.75" customHeight="1">
      <c r="F873" s="2"/>
      <c r="U873" s="2"/>
      <c r="V873" s="2"/>
      <c r="W873" s="2"/>
      <c r="X873" s="4"/>
    </row>
    <row r="874" spans="6:24" ht="15.75" customHeight="1">
      <c r="F874" s="2"/>
      <c r="U874" s="2"/>
      <c r="V874" s="2"/>
      <c r="W874" s="2"/>
      <c r="X874" s="4"/>
    </row>
    <row r="875" spans="6:24" ht="15.75" customHeight="1">
      <c r="F875" s="2"/>
      <c r="U875" s="2"/>
      <c r="V875" s="2"/>
      <c r="W875" s="2"/>
      <c r="X875" s="4"/>
    </row>
    <row r="876" spans="6:24" ht="15.75" customHeight="1">
      <c r="F876" s="2"/>
      <c r="U876" s="2"/>
      <c r="V876" s="2"/>
      <c r="W876" s="2"/>
      <c r="X876" s="4"/>
    </row>
    <row r="877" spans="6:24" ht="15.75" customHeight="1">
      <c r="F877" s="2"/>
      <c r="U877" s="2"/>
      <c r="V877" s="2"/>
      <c r="W877" s="2"/>
      <c r="X877" s="4"/>
    </row>
    <row r="878" spans="6:24" ht="15.75" customHeight="1">
      <c r="F878" s="2"/>
      <c r="U878" s="2"/>
      <c r="V878" s="2"/>
      <c r="W878" s="2"/>
      <c r="X878" s="4"/>
    </row>
    <row r="879" spans="6:24" ht="15.75" customHeight="1">
      <c r="F879" s="2"/>
      <c r="U879" s="2"/>
      <c r="V879" s="2"/>
      <c r="W879" s="2"/>
      <c r="X879" s="4"/>
    </row>
    <row r="880" spans="6:24" ht="15.75" customHeight="1">
      <c r="F880" s="2"/>
      <c r="U880" s="2"/>
      <c r="V880" s="2"/>
      <c r="W880" s="2"/>
      <c r="X880" s="4"/>
    </row>
    <row r="881" spans="6:24" ht="15.75" customHeight="1">
      <c r="F881" s="2"/>
      <c r="U881" s="2"/>
      <c r="V881" s="2"/>
      <c r="W881" s="2"/>
      <c r="X881" s="4"/>
    </row>
    <row r="882" spans="6:24" ht="15.75" customHeight="1">
      <c r="F882" s="2"/>
      <c r="U882" s="2"/>
      <c r="V882" s="2"/>
      <c r="W882" s="2"/>
      <c r="X882" s="4"/>
    </row>
    <row r="883" spans="6:24" ht="15.75" customHeight="1">
      <c r="F883" s="2"/>
      <c r="U883" s="2"/>
      <c r="V883" s="2"/>
      <c r="W883" s="2"/>
      <c r="X883" s="4"/>
    </row>
    <row r="884" spans="6:24" ht="15.75" customHeight="1">
      <c r="F884" s="2"/>
      <c r="U884" s="2"/>
      <c r="V884" s="2"/>
      <c r="W884" s="2"/>
      <c r="X884" s="4"/>
    </row>
    <row r="885" spans="6:24" ht="15.75" customHeight="1">
      <c r="F885" s="2"/>
      <c r="U885" s="2"/>
      <c r="V885" s="2"/>
      <c r="W885" s="2"/>
      <c r="X885" s="4"/>
    </row>
    <row r="886" spans="6:24" ht="15.75" customHeight="1">
      <c r="F886" s="2"/>
      <c r="U886" s="2"/>
      <c r="V886" s="2"/>
      <c r="W886" s="2"/>
      <c r="X886" s="4"/>
    </row>
    <row r="887" spans="6:24" ht="15.75" customHeight="1">
      <c r="F887" s="2"/>
      <c r="U887" s="2"/>
      <c r="V887" s="2"/>
      <c r="W887" s="2"/>
      <c r="X887" s="4"/>
    </row>
    <row r="888" spans="6:24" ht="15.75" customHeight="1">
      <c r="F888" s="2"/>
      <c r="U888" s="2"/>
      <c r="V888" s="2"/>
      <c r="W888" s="2"/>
      <c r="X888" s="4"/>
    </row>
    <row r="889" spans="6:24" ht="15.75" customHeight="1">
      <c r="F889" s="2"/>
      <c r="U889" s="2"/>
      <c r="V889" s="2"/>
      <c r="W889" s="2"/>
      <c r="X889" s="4"/>
    </row>
    <row r="890" spans="6:24" ht="15.75" customHeight="1">
      <c r="F890" s="2"/>
      <c r="U890" s="2"/>
      <c r="V890" s="2"/>
      <c r="W890" s="2"/>
      <c r="X890" s="4"/>
    </row>
    <row r="891" spans="6:24" ht="15.75" customHeight="1">
      <c r="F891" s="2"/>
      <c r="U891" s="2"/>
      <c r="V891" s="2"/>
      <c r="W891" s="2"/>
      <c r="X891" s="4"/>
    </row>
    <row r="892" spans="6:24" ht="15.75" customHeight="1">
      <c r="F892" s="2"/>
      <c r="U892" s="2"/>
      <c r="V892" s="2"/>
      <c r="W892" s="2"/>
      <c r="X892" s="4"/>
    </row>
    <row r="893" spans="6:24" ht="15.75" customHeight="1">
      <c r="F893" s="2"/>
      <c r="U893" s="2"/>
      <c r="V893" s="2"/>
      <c r="W893" s="2"/>
      <c r="X893" s="4"/>
    </row>
    <row r="894" spans="6:24" ht="15.75" customHeight="1">
      <c r="F894" s="2"/>
      <c r="U894" s="2"/>
      <c r="V894" s="2"/>
      <c r="W894" s="2"/>
      <c r="X894" s="4"/>
    </row>
    <row r="895" spans="6:24" ht="15.75" customHeight="1">
      <c r="F895" s="2"/>
      <c r="U895" s="2"/>
      <c r="V895" s="2"/>
      <c r="W895" s="2"/>
      <c r="X895" s="4"/>
    </row>
    <row r="896" spans="6:24" ht="15.75" customHeight="1">
      <c r="F896" s="2"/>
      <c r="U896" s="2"/>
      <c r="V896" s="2"/>
      <c r="W896" s="2"/>
      <c r="X896" s="4"/>
    </row>
    <row r="897" spans="6:24" ht="15.75" customHeight="1">
      <c r="F897" s="2"/>
      <c r="U897" s="2"/>
      <c r="V897" s="2"/>
      <c r="W897" s="2"/>
      <c r="X897" s="4"/>
    </row>
    <row r="898" spans="6:24" ht="15.75" customHeight="1">
      <c r="F898" s="2"/>
      <c r="U898" s="2"/>
      <c r="V898" s="2"/>
      <c r="W898" s="2"/>
      <c r="X898" s="4"/>
    </row>
    <row r="899" spans="6:24" ht="15.75" customHeight="1">
      <c r="F899" s="2"/>
      <c r="U899" s="2"/>
      <c r="V899" s="2"/>
      <c r="W899" s="2"/>
      <c r="X899" s="4"/>
    </row>
    <row r="900" spans="6:24" ht="15.75" customHeight="1">
      <c r="F900" s="2"/>
      <c r="U900" s="2"/>
      <c r="V900" s="2"/>
      <c r="W900" s="2"/>
      <c r="X900" s="4"/>
    </row>
    <row r="901" spans="6:24" ht="15.75" customHeight="1">
      <c r="F901" s="2"/>
      <c r="U901" s="2"/>
      <c r="V901" s="2"/>
      <c r="W901" s="2"/>
      <c r="X901" s="4"/>
    </row>
    <row r="902" spans="6:24" ht="15.75" customHeight="1">
      <c r="F902" s="2"/>
      <c r="U902" s="2"/>
      <c r="V902" s="2"/>
      <c r="W902" s="2"/>
      <c r="X902" s="4"/>
    </row>
    <row r="903" spans="6:24" ht="15.75" customHeight="1">
      <c r="F903" s="2"/>
      <c r="U903" s="2"/>
      <c r="V903" s="2"/>
      <c r="W903" s="2"/>
      <c r="X903" s="4"/>
    </row>
    <row r="904" spans="6:24" ht="15.75" customHeight="1">
      <c r="F904" s="2"/>
      <c r="U904" s="2"/>
      <c r="V904" s="2"/>
      <c r="W904" s="2"/>
      <c r="X904" s="4"/>
    </row>
    <row r="905" spans="6:24" ht="15.75" customHeight="1">
      <c r="F905" s="2"/>
      <c r="U905" s="2"/>
      <c r="V905" s="2"/>
      <c r="W905" s="2"/>
      <c r="X905" s="4"/>
    </row>
    <row r="906" spans="6:24" ht="15.75" customHeight="1">
      <c r="F906" s="2"/>
      <c r="U906" s="2"/>
      <c r="V906" s="2"/>
      <c r="W906" s="2"/>
      <c r="X906" s="4"/>
    </row>
    <row r="907" spans="6:24" ht="15.75" customHeight="1">
      <c r="F907" s="2"/>
      <c r="U907" s="2"/>
      <c r="V907" s="2"/>
      <c r="W907" s="2"/>
      <c r="X907" s="4"/>
    </row>
    <row r="908" spans="6:24" ht="15.75" customHeight="1">
      <c r="F908" s="2"/>
      <c r="U908" s="2"/>
      <c r="V908" s="2"/>
      <c r="W908" s="2"/>
      <c r="X908" s="4"/>
    </row>
    <row r="909" spans="6:24" ht="15.75" customHeight="1">
      <c r="F909" s="2"/>
      <c r="U909" s="2"/>
      <c r="V909" s="2"/>
      <c r="W909" s="2"/>
      <c r="X909" s="4"/>
    </row>
    <row r="910" spans="6:24" ht="15.75" customHeight="1">
      <c r="F910" s="2"/>
      <c r="U910" s="2"/>
      <c r="V910" s="2"/>
      <c r="W910" s="2"/>
      <c r="X910" s="4"/>
    </row>
    <row r="911" spans="6:24" ht="15.75" customHeight="1">
      <c r="F911" s="2"/>
      <c r="U911" s="2"/>
      <c r="V911" s="2"/>
      <c r="W911" s="2"/>
      <c r="X911" s="4"/>
    </row>
    <row r="912" spans="6:24" ht="15.75" customHeight="1">
      <c r="F912" s="2"/>
      <c r="U912" s="2"/>
      <c r="V912" s="2"/>
      <c r="W912" s="2"/>
      <c r="X912" s="4"/>
    </row>
    <row r="913" spans="6:24" ht="15.75" customHeight="1">
      <c r="F913" s="2"/>
      <c r="U913" s="2"/>
      <c r="V913" s="2"/>
      <c r="W913" s="2"/>
      <c r="X913" s="4"/>
    </row>
    <row r="914" spans="6:24" ht="15.75" customHeight="1">
      <c r="F914" s="2"/>
      <c r="U914" s="2"/>
      <c r="V914" s="2"/>
      <c r="W914" s="2"/>
      <c r="X914" s="4"/>
    </row>
    <row r="915" spans="6:24" ht="15.75" customHeight="1">
      <c r="F915" s="2"/>
      <c r="U915" s="2"/>
      <c r="V915" s="2"/>
      <c r="W915" s="2"/>
      <c r="X915" s="4"/>
    </row>
    <row r="916" spans="6:24" ht="15.75" customHeight="1">
      <c r="F916" s="2"/>
      <c r="U916" s="2"/>
      <c r="V916" s="2"/>
      <c r="W916" s="2"/>
      <c r="X916" s="4"/>
    </row>
    <row r="917" spans="6:24" ht="15.75" customHeight="1">
      <c r="F917" s="2"/>
      <c r="U917" s="2"/>
      <c r="V917" s="2"/>
      <c r="W917" s="2"/>
      <c r="X917" s="4"/>
    </row>
    <row r="918" spans="6:24" ht="15.75" customHeight="1">
      <c r="F918" s="2"/>
      <c r="U918" s="2"/>
      <c r="V918" s="2"/>
      <c r="W918" s="2"/>
      <c r="X918" s="4"/>
    </row>
    <row r="919" spans="6:24" ht="15.75" customHeight="1">
      <c r="F919" s="2"/>
      <c r="U919" s="2"/>
      <c r="V919" s="2"/>
      <c r="W919" s="2"/>
      <c r="X919" s="4"/>
    </row>
    <row r="920" spans="6:24" ht="15.75" customHeight="1">
      <c r="F920" s="2"/>
      <c r="U920" s="2"/>
      <c r="V920" s="2"/>
      <c r="W920" s="2"/>
      <c r="X920" s="4"/>
    </row>
    <row r="921" spans="6:24" ht="15.75" customHeight="1">
      <c r="F921" s="2"/>
      <c r="U921" s="2"/>
      <c r="V921" s="2"/>
      <c r="W921" s="2"/>
      <c r="X921" s="4"/>
    </row>
    <row r="922" spans="6:24" ht="15.75" customHeight="1">
      <c r="F922" s="2"/>
      <c r="U922" s="2"/>
      <c r="V922" s="2"/>
      <c r="W922" s="2"/>
      <c r="X922" s="4"/>
    </row>
    <row r="923" spans="6:24" ht="15.75" customHeight="1">
      <c r="F923" s="2"/>
      <c r="U923" s="2"/>
      <c r="V923" s="2"/>
      <c r="W923" s="2"/>
      <c r="X923" s="4"/>
    </row>
    <row r="924" spans="6:24" ht="15.75" customHeight="1">
      <c r="F924" s="2"/>
      <c r="U924" s="2"/>
      <c r="V924" s="2"/>
      <c r="W924" s="2"/>
      <c r="X924" s="4"/>
    </row>
    <row r="925" spans="6:24" ht="15.75" customHeight="1">
      <c r="F925" s="2"/>
      <c r="U925" s="2"/>
      <c r="V925" s="2"/>
      <c r="W925" s="2"/>
      <c r="X925" s="4"/>
    </row>
    <row r="926" spans="6:24" ht="15.75" customHeight="1">
      <c r="F926" s="2"/>
      <c r="U926" s="2"/>
      <c r="V926" s="2"/>
      <c r="W926" s="2"/>
      <c r="X926" s="4"/>
    </row>
    <row r="927" spans="6:24" ht="15.75" customHeight="1">
      <c r="F927" s="2"/>
      <c r="U927" s="2"/>
      <c r="V927" s="2"/>
      <c r="W927" s="2"/>
      <c r="X927" s="4"/>
    </row>
    <row r="928" spans="6:24" ht="15.75" customHeight="1">
      <c r="F928" s="2"/>
      <c r="U928" s="2"/>
      <c r="V928" s="2"/>
      <c r="W928" s="2"/>
      <c r="X928" s="4"/>
    </row>
    <row r="929" spans="6:24" ht="15.75" customHeight="1">
      <c r="F929" s="2"/>
      <c r="U929" s="2"/>
      <c r="V929" s="2"/>
      <c r="W929" s="2"/>
      <c r="X929" s="4"/>
    </row>
    <row r="930" spans="6:24" ht="15.75" customHeight="1">
      <c r="F930" s="2"/>
      <c r="U930" s="2"/>
      <c r="V930" s="2"/>
      <c r="W930" s="2"/>
      <c r="X930" s="4"/>
    </row>
    <row r="931" spans="6:24" ht="15.75" customHeight="1">
      <c r="F931" s="2"/>
      <c r="U931" s="2"/>
      <c r="V931" s="2"/>
      <c r="W931" s="2"/>
      <c r="X931" s="4"/>
    </row>
    <row r="932" spans="6:24" ht="15.75" customHeight="1">
      <c r="F932" s="2"/>
      <c r="U932" s="2"/>
      <c r="V932" s="2"/>
      <c r="W932" s="2"/>
      <c r="X932" s="4"/>
    </row>
    <row r="933" spans="6:24" ht="15.75" customHeight="1">
      <c r="F933" s="2"/>
      <c r="U933" s="2"/>
      <c r="V933" s="2"/>
      <c r="W933" s="2"/>
      <c r="X933" s="4"/>
    </row>
    <row r="934" spans="6:24" ht="15.75" customHeight="1">
      <c r="F934" s="2"/>
      <c r="U934" s="2"/>
      <c r="V934" s="2"/>
      <c r="W934" s="2"/>
      <c r="X934" s="4"/>
    </row>
    <row r="935" spans="6:24" ht="15.75" customHeight="1">
      <c r="F935" s="2"/>
      <c r="U935" s="2"/>
      <c r="V935" s="2"/>
      <c r="W935" s="2"/>
      <c r="X935" s="4"/>
    </row>
    <row r="936" spans="6:24" ht="15.75" customHeight="1">
      <c r="F936" s="2"/>
      <c r="U936" s="2"/>
      <c r="V936" s="2"/>
      <c r="W936" s="2"/>
      <c r="X936" s="4"/>
    </row>
    <row r="937" spans="6:24" ht="15.75" customHeight="1">
      <c r="F937" s="2"/>
      <c r="U937" s="2"/>
      <c r="V937" s="2"/>
      <c r="W937" s="2"/>
      <c r="X937" s="4"/>
    </row>
    <row r="938" spans="6:24" ht="15.75" customHeight="1">
      <c r="F938" s="2"/>
      <c r="U938" s="2"/>
      <c r="V938" s="2"/>
      <c r="W938" s="2"/>
      <c r="X938" s="4"/>
    </row>
    <row r="939" spans="6:24" ht="15.75" customHeight="1">
      <c r="F939" s="2"/>
      <c r="U939" s="2"/>
      <c r="V939" s="2"/>
      <c r="W939" s="2"/>
      <c r="X939" s="4"/>
    </row>
    <row r="940" spans="6:24" ht="15.75" customHeight="1">
      <c r="F940" s="2"/>
      <c r="U940" s="2"/>
      <c r="V940" s="2"/>
      <c r="W940" s="2"/>
      <c r="X940" s="4"/>
    </row>
    <row r="941" spans="6:24" ht="15.75" customHeight="1">
      <c r="F941" s="2"/>
      <c r="U941" s="2"/>
      <c r="V941" s="2"/>
      <c r="W941" s="2"/>
      <c r="X941" s="4"/>
    </row>
    <row r="942" spans="6:24" ht="15.75" customHeight="1">
      <c r="F942" s="2"/>
      <c r="U942" s="2"/>
      <c r="V942" s="2"/>
      <c r="W942" s="2"/>
      <c r="X942" s="4"/>
    </row>
    <row r="943" spans="6:24" ht="15.75" customHeight="1">
      <c r="F943" s="2"/>
      <c r="U943" s="2"/>
      <c r="V943" s="2"/>
      <c r="W943" s="2"/>
      <c r="X943" s="4"/>
    </row>
    <row r="944" spans="6:24" ht="15.75" customHeight="1">
      <c r="F944" s="2"/>
      <c r="U944" s="2"/>
      <c r="V944" s="2"/>
      <c r="W944" s="2"/>
      <c r="X944" s="4"/>
    </row>
    <row r="945" spans="6:24" ht="15.75" customHeight="1">
      <c r="F945" s="2"/>
      <c r="U945" s="2"/>
      <c r="V945" s="2"/>
      <c r="W945" s="2"/>
      <c r="X945" s="4"/>
    </row>
    <row r="946" spans="6:24" ht="15.75" customHeight="1">
      <c r="F946" s="2"/>
      <c r="U946" s="2"/>
      <c r="V946" s="2"/>
      <c r="W946" s="2"/>
      <c r="X946" s="4"/>
    </row>
    <row r="947" spans="6:24" ht="15.75" customHeight="1">
      <c r="F947" s="2"/>
      <c r="U947" s="2"/>
      <c r="V947" s="2"/>
      <c r="W947" s="2"/>
      <c r="X947" s="4"/>
    </row>
    <row r="948" spans="6:24" ht="15.75" customHeight="1">
      <c r="F948" s="2"/>
      <c r="U948" s="2"/>
      <c r="V948" s="2"/>
      <c r="W948" s="2"/>
      <c r="X948" s="4"/>
    </row>
    <row r="949" spans="6:24" ht="15.75" customHeight="1">
      <c r="F949" s="2"/>
      <c r="U949" s="2"/>
      <c r="V949" s="2"/>
      <c r="W949" s="2"/>
      <c r="X949" s="4"/>
    </row>
    <row r="950" spans="6:24" ht="15.75" customHeight="1">
      <c r="F950" s="2"/>
      <c r="U950" s="2"/>
      <c r="V950" s="2"/>
      <c r="W950" s="2"/>
      <c r="X950" s="4"/>
    </row>
    <row r="951" spans="6:24" ht="15.75" customHeight="1">
      <c r="F951" s="2"/>
      <c r="U951" s="2"/>
      <c r="V951" s="2"/>
      <c r="W951" s="2"/>
      <c r="X951" s="4"/>
    </row>
    <row r="952" spans="6:24" ht="15.75" customHeight="1">
      <c r="F952" s="2"/>
      <c r="U952" s="2"/>
      <c r="V952" s="2"/>
      <c r="W952" s="2"/>
      <c r="X952" s="4"/>
    </row>
    <row r="953" spans="6:24" ht="15.75" customHeight="1">
      <c r="F953" s="2"/>
      <c r="U953" s="2"/>
      <c r="V953" s="2"/>
      <c r="W953" s="2"/>
      <c r="X953" s="4"/>
    </row>
    <row r="954" spans="6:24" ht="15.75" customHeight="1">
      <c r="F954" s="2"/>
      <c r="U954" s="2"/>
      <c r="V954" s="2"/>
      <c r="W954" s="2"/>
      <c r="X954" s="4"/>
    </row>
    <row r="955" spans="6:24" ht="15.75" customHeight="1">
      <c r="F955" s="2"/>
      <c r="U955" s="2"/>
      <c r="V955" s="2"/>
      <c r="W955" s="2"/>
      <c r="X955" s="4"/>
    </row>
    <row r="956" spans="6:24" ht="15.75" customHeight="1">
      <c r="F956" s="2"/>
      <c r="U956" s="2"/>
      <c r="V956" s="2"/>
      <c r="W956" s="2"/>
      <c r="X956" s="4"/>
    </row>
    <row r="957" spans="6:24" ht="15.75" customHeight="1">
      <c r="F957" s="2"/>
      <c r="U957" s="2"/>
      <c r="V957" s="2"/>
      <c r="W957" s="2"/>
      <c r="X957" s="4"/>
    </row>
    <row r="958" spans="6:24" ht="15.75" customHeight="1">
      <c r="F958" s="2"/>
      <c r="U958" s="2"/>
      <c r="V958" s="2"/>
      <c r="W958" s="2"/>
      <c r="X958" s="4"/>
    </row>
    <row r="959" spans="6:24" ht="15.75" customHeight="1">
      <c r="F959" s="2"/>
      <c r="U959" s="2"/>
      <c r="V959" s="2"/>
      <c r="W959" s="2"/>
      <c r="X959" s="4"/>
    </row>
    <row r="960" spans="6:24" ht="15.75" customHeight="1">
      <c r="F960" s="2"/>
      <c r="U960" s="2"/>
      <c r="V960" s="2"/>
      <c r="W960" s="2"/>
      <c r="X960" s="4"/>
    </row>
    <row r="961" spans="6:24" ht="15.75" customHeight="1">
      <c r="F961" s="2"/>
      <c r="U961" s="2"/>
      <c r="V961" s="2"/>
      <c r="W961" s="2"/>
      <c r="X961" s="4"/>
    </row>
    <row r="962" spans="6:24" ht="15.75" customHeight="1">
      <c r="F962" s="2"/>
      <c r="U962" s="2"/>
      <c r="V962" s="2"/>
      <c r="W962" s="2"/>
      <c r="X962" s="4"/>
    </row>
    <row r="963" spans="6:24" ht="15.75" customHeight="1">
      <c r="F963" s="2"/>
      <c r="U963" s="2"/>
      <c r="V963" s="2"/>
      <c r="W963" s="2"/>
      <c r="X963" s="4"/>
    </row>
    <row r="964" spans="6:24" ht="15.75" customHeight="1">
      <c r="F964" s="2"/>
      <c r="U964" s="2"/>
      <c r="V964" s="2"/>
      <c r="W964" s="2"/>
      <c r="X964" s="4"/>
    </row>
    <row r="965" spans="6:24" ht="15.75" customHeight="1">
      <c r="F965" s="2"/>
      <c r="U965" s="2"/>
      <c r="V965" s="2"/>
      <c r="W965" s="2"/>
      <c r="X965" s="4"/>
    </row>
    <row r="966" spans="6:24" ht="15.75" customHeight="1">
      <c r="F966" s="2"/>
      <c r="U966" s="2"/>
      <c r="V966" s="2"/>
      <c r="W966" s="2"/>
      <c r="X966" s="4"/>
    </row>
    <row r="967" spans="6:24" ht="15.75" customHeight="1">
      <c r="F967" s="2"/>
      <c r="U967" s="2"/>
      <c r="V967" s="2"/>
      <c r="W967" s="2"/>
      <c r="X967" s="4"/>
    </row>
    <row r="968" spans="6:24" ht="15.75" customHeight="1">
      <c r="F968" s="2"/>
      <c r="U968" s="2"/>
      <c r="V968" s="2"/>
      <c r="W968" s="2"/>
      <c r="X968" s="4"/>
    </row>
    <row r="969" spans="6:24" ht="15.75" customHeight="1">
      <c r="F969" s="2"/>
      <c r="U969" s="2"/>
      <c r="V969" s="2"/>
      <c r="W969" s="2"/>
      <c r="X969" s="4"/>
    </row>
    <row r="970" spans="6:24" ht="15.75" customHeight="1">
      <c r="F970" s="2"/>
      <c r="U970" s="2"/>
      <c r="V970" s="2"/>
      <c r="W970" s="2"/>
      <c r="X970" s="4"/>
    </row>
    <row r="971" spans="6:24" ht="15.75" customHeight="1">
      <c r="F971" s="2"/>
      <c r="U971" s="2"/>
      <c r="V971" s="2"/>
      <c r="W971" s="2"/>
      <c r="X971" s="4"/>
    </row>
    <row r="972" spans="6:24" ht="15.75" customHeight="1">
      <c r="F972" s="2"/>
      <c r="U972" s="2"/>
      <c r="V972" s="2"/>
      <c r="W972" s="2"/>
      <c r="X972" s="4"/>
    </row>
    <row r="973" spans="6:24" ht="15.75" customHeight="1">
      <c r="F973" s="2"/>
      <c r="U973" s="2"/>
      <c r="V973" s="2"/>
      <c r="W973" s="2"/>
      <c r="X973" s="4"/>
    </row>
    <row r="974" spans="6:24" ht="15.75" customHeight="1">
      <c r="F974" s="2"/>
      <c r="U974" s="2"/>
      <c r="V974" s="2"/>
      <c r="W974" s="2"/>
      <c r="X974" s="4"/>
    </row>
    <row r="975" spans="6:24" ht="15.75" customHeight="1">
      <c r="F975" s="2"/>
      <c r="U975" s="2"/>
      <c r="V975" s="2"/>
      <c r="W975" s="2"/>
      <c r="X975" s="4"/>
    </row>
    <row r="976" spans="6:24" ht="15.75" customHeight="1">
      <c r="F976" s="2"/>
      <c r="U976" s="2"/>
      <c r="V976" s="2"/>
      <c r="W976" s="2"/>
      <c r="X976" s="4"/>
    </row>
    <row r="977" spans="6:24" ht="15.75" customHeight="1">
      <c r="F977" s="2"/>
      <c r="U977" s="2"/>
      <c r="V977" s="2"/>
      <c r="W977" s="2"/>
      <c r="X977" s="4"/>
    </row>
    <row r="978" spans="6:24" ht="15.75" customHeight="1">
      <c r="F978" s="2"/>
      <c r="U978" s="2"/>
      <c r="V978" s="2"/>
      <c r="W978" s="2"/>
      <c r="X978" s="4"/>
    </row>
    <row r="979" spans="6:24" ht="15.75" customHeight="1">
      <c r="F979" s="2"/>
      <c r="U979" s="2"/>
      <c r="V979" s="2"/>
      <c r="W979" s="2"/>
      <c r="X979" s="4"/>
    </row>
    <row r="980" spans="6:24" ht="15.75" customHeight="1">
      <c r="F980" s="2"/>
      <c r="U980" s="2"/>
      <c r="V980" s="2"/>
      <c r="W980" s="2"/>
      <c r="X980" s="4"/>
    </row>
    <row r="981" spans="6:24" ht="15.75" customHeight="1">
      <c r="F981" s="2"/>
      <c r="U981" s="2"/>
      <c r="V981" s="2"/>
      <c r="W981" s="2"/>
      <c r="X981" s="4"/>
    </row>
    <row r="982" spans="6:24" ht="15.75" customHeight="1">
      <c r="F982" s="2"/>
      <c r="U982" s="2"/>
      <c r="V982" s="2"/>
      <c r="W982" s="2"/>
      <c r="X982" s="4"/>
    </row>
    <row r="983" spans="6:24" ht="15.75" customHeight="1">
      <c r="F983" s="2"/>
      <c r="U983" s="2"/>
      <c r="V983" s="2"/>
      <c r="W983" s="2"/>
      <c r="X983" s="4"/>
    </row>
    <row r="984" spans="6:24" ht="15.75" customHeight="1">
      <c r="F984" s="2"/>
      <c r="U984" s="2"/>
      <c r="V984" s="2"/>
      <c r="W984" s="2"/>
      <c r="X984" s="4"/>
    </row>
    <row r="985" spans="6:24" ht="15.75" customHeight="1">
      <c r="F985" s="2"/>
      <c r="U985" s="2"/>
      <c r="V985" s="2"/>
      <c r="W985" s="2"/>
      <c r="X985" s="4"/>
    </row>
    <row r="986" spans="6:24" ht="15.75" customHeight="1">
      <c r="F986" s="2"/>
      <c r="U986" s="2"/>
      <c r="V986" s="2"/>
      <c r="W986" s="2"/>
      <c r="X986" s="4"/>
    </row>
    <row r="987" spans="6:24" ht="15.75" customHeight="1">
      <c r="F987" s="2"/>
      <c r="U987" s="2"/>
      <c r="V987" s="2"/>
      <c r="W987" s="2"/>
      <c r="X987" s="4"/>
    </row>
    <row r="988" spans="6:24" ht="15.75" customHeight="1">
      <c r="F988" s="2"/>
      <c r="U988" s="2"/>
      <c r="V988" s="2"/>
      <c r="W988" s="2"/>
      <c r="X988" s="4"/>
    </row>
    <row r="989" spans="6:24" ht="15.75" customHeight="1">
      <c r="F989" s="2"/>
      <c r="U989" s="2"/>
      <c r="V989" s="2"/>
      <c r="W989" s="2"/>
      <c r="X989" s="4"/>
    </row>
    <row r="990" spans="6:24" ht="15.75" customHeight="1">
      <c r="F990" s="2"/>
      <c r="U990" s="2"/>
      <c r="V990" s="2"/>
      <c r="W990" s="2"/>
      <c r="X990" s="4"/>
    </row>
    <row r="991" spans="6:24" ht="15.75" customHeight="1">
      <c r="F991" s="2"/>
      <c r="U991" s="2"/>
      <c r="V991" s="2"/>
      <c r="W991" s="2"/>
      <c r="X991" s="4"/>
    </row>
    <row r="992" spans="6:24" ht="15.75" customHeight="1">
      <c r="F992" s="2"/>
      <c r="U992" s="2"/>
      <c r="V992" s="2"/>
      <c r="W992" s="2"/>
      <c r="X992" s="4"/>
    </row>
    <row r="993" spans="6:24" ht="15.75" customHeight="1">
      <c r="F993" s="2"/>
      <c r="U993" s="2"/>
      <c r="V993" s="2"/>
      <c r="W993" s="2"/>
      <c r="X993" s="4"/>
    </row>
    <row r="994" spans="6:24" ht="15.75" customHeight="1">
      <c r="F994" s="2"/>
      <c r="U994" s="2"/>
      <c r="V994" s="2"/>
      <c r="W994" s="2"/>
      <c r="X994" s="4"/>
    </row>
    <row r="995" spans="6:24" ht="15.75" customHeight="1">
      <c r="F995" s="2"/>
      <c r="U995" s="2"/>
      <c r="V995" s="2"/>
      <c r="W995" s="2"/>
      <c r="X995" s="4"/>
    </row>
    <row r="996" spans="6:24" ht="15.75" customHeight="1">
      <c r="F996" s="2"/>
      <c r="U996" s="2"/>
      <c r="V996" s="2"/>
      <c r="W996" s="2"/>
      <c r="X996" s="4"/>
    </row>
    <row r="997" spans="6:24" ht="15.75" customHeight="1">
      <c r="F997" s="2"/>
      <c r="U997" s="2"/>
      <c r="V997" s="2"/>
      <c r="W997" s="2"/>
      <c r="X997" s="4"/>
    </row>
    <row r="998" spans="6:24" ht="15.75" customHeight="1">
      <c r="F998" s="2"/>
      <c r="U998" s="2"/>
      <c r="V998" s="2"/>
      <c r="W998" s="2"/>
      <c r="X998" s="4"/>
    </row>
    <row r="999" spans="6:24" ht="15.75" customHeight="1">
      <c r="F999" s="2"/>
      <c r="U999" s="2"/>
      <c r="V999" s="2"/>
      <c r="W999" s="2"/>
      <c r="X999" s="4"/>
    </row>
  </sheetData>
  <mergeCells count="15">
    <mergeCell ref="D9:G9"/>
    <mergeCell ref="H9:L9"/>
    <mergeCell ref="M9:P9"/>
    <mergeCell ref="Q9:S9"/>
    <mergeCell ref="D10:G10"/>
    <mergeCell ref="H10:L10"/>
    <mergeCell ref="M10:P10"/>
    <mergeCell ref="Q10:S10"/>
    <mergeCell ref="A1:AZ1"/>
    <mergeCell ref="A2:AZ2"/>
    <mergeCell ref="A3:AZ3"/>
    <mergeCell ref="A4:AZ4"/>
    <mergeCell ref="A5:AZ5"/>
    <mergeCell ref="A6:AZ6"/>
    <mergeCell ref="A7:AZ7"/>
  </mergeCells>
  <conditionalFormatting sqref="T12:T40 D12:S53 T52">
    <cfRule type="containsText" dxfId="1" priority="1" operator="containsText" text="A">
      <formula>NOT(ISERROR(SEARCH(("A"),(D12))))</formula>
    </cfRule>
    <cfRule type="containsText" dxfId="0" priority="2" operator="containsText" text="P">
      <formula>NOT(ISERROR(SEARCH(("P"),(D12))))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0"/>
  <sheetViews>
    <sheetView tabSelected="1" workbookViewId="0">
      <selection sqref="A1:AZ7"/>
    </sheetView>
  </sheetViews>
  <sheetFormatPr defaultColWidth="14.3984375" defaultRowHeight="15" customHeight="1"/>
  <cols>
    <col min="1" max="1" width="8.73046875" customWidth="1"/>
    <col min="2" max="2" width="20" customWidth="1"/>
    <col min="3" max="3" width="34.73046875" customWidth="1"/>
    <col min="4" max="4" width="9.1328125" customWidth="1"/>
    <col min="5" max="5" width="8.73046875" customWidth="1"/>
    <col min="6" max="6" width="15.3984375" customWidth="1"/>
    <col min="7" max="20" width="8.73046875" customWidth="1"/>
  </cols>
  <sheetData>
    <row r="1" spans="1:52" ht="17.25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2"/>
    </row>
    <row r="2" spans="1:52" ht="17.25" customHeight="1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2"/>
    </row>
    <row r="3" spans="1:52" ht="17.25" customHeight="1">
      <c r="A3" s="60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2"/>
    </row>
    <row r="4" spans="1:52" ht="17.25" customHeight="1">
      <c r="A4" s="60" t="s">
        <v>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2"/>
    </row>
    <row r="5" spans="1:52" ht="17.25" customHeight="1">
      <c r="A5" s="60" t="s">
        <v>183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2"/>
    </row>
    <row r="6" spans="1:52" ht="17.25" customHeight="1">
      <c r="A6" s="60" t="s">
        <v>5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2"/>
    </row>
    <row r="7" spans="1:52" ht="17.25" customHeight="1">
      <c r="A7" s="60" t="s">
        <v>6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2"/>
    </row>
    <row r="8" spans="1:52" ht="14.25">
      <c r="D8" s="41"/>
      <c r="F8" s="40"/>
      <c r="S8" s="28"/>
    </row>
    <row r="9" spans="1:52" ht="1.5" customHeight="1">
      <c r="D9" s="41"/>
      <c r="F9" s="40"/>
      <c r="S9" s="28"/>
    </row>
    <row r="10" spans="1:52" ht="15" customHeight="1">
      <c r="D10" s="57" t="s">
        <v>180</v>
      </c>
      <c r="E10" s="57" t="s">
        <v>181</v>
      </c>
      <c r="F10" s="57" t="s">
        <v>182</v>
      </c>
      <c r="S10" s="28"/>
    </row>
    <row r="11" spans="1:52" ht="25.5" customHeight="1">
      <c r="D11" s="58"/>
      <c r="E11" s="58"/>
      <c r="F11" s="58"/>
      <c r="S11" s="28"/>
    </row>
    <row r="12" spans="1:52" ht="14.25">
      <c r="D12" s="59"/>
      <c r="E12" s="59"/>
      <c r="F12" s="59"/>
    </row>
    <row r="13" spans="1:52" ht="14.25">
      <c r="A13" s="7" t="s">
        <v>16</v>
      </c>
      <c r="B13" s="7" t="s">
        <v>17</v>
      </c>
      <c r="C13" s="7" t="s">
        <v>18</v>
      </c>
      <c r="D13" s="42"/>
      <c r="E13" s="16"/>
      <c r="F13" s="43"/>
    </row>
    <row r="14" spans="1:52" ht="14.25">
      <c r="A14" s="11">
        <v>1</v>
      </c>
      <c r="B14" s="12" t="s">
        <v>19</v>
      </c>
      <c r="C14" s="34" t="s">
        <v>20</v>
      </c>
      <c r="D14" s="44">
        <f>PPS_class!BA12</f>
        <v>86.666666666666671</v>
      </c>
      <c r="E14" s="45">
        <f>Lab_B1!AE12</f>
        <v>93.333333333333329</v>
      </c>
      <c r="F14" s="46">
        <f t="shared" ref="F14:F92" si="0">AVERAGE(D14:E14)/100</f>
        <v>0.9</v>
      </c>
    </row>
    <row r="15" spans="1:52" ht="14.25">
      <c r="A15" s="11">
        <v>2</v>
      </c>
      <c r="B15" s="19" t="s">
        <v>23</v>
      </c>
      <c r="C15" s="35" t="s">
        <v>24</v>
      </c>
      <c r="D15" s="44">
        <f>PPS_class!BA13</f>
        <v>88.888888888888886</v>
      </c>
      <c r="E15" s="45">
        <f>Lab_B1!AE13</f>
        <v>86.666666666666671</v>
      </c>
      <c r="F15" s="46">
        <f t="shared" si="0"/>
        <v>0.87777777777777777</v>
      </c>
    </row>
    <row r="16" spans="1:52" ht="14.25">
      <c r="A16" s="11">
        <v>3</v>
      </c>
      <c r="B16" s="19" t="s">
        <v>25</v>
      </c>
      <c r="C16" s="35" t="s">
        <v>26</v>
      </c>
      <c r="D16" s="44">
        <f>PPS_class!BA14</f>
        <v>93.333333333333329</v>
      </c>
      <c r="E16" s="45">
        <f>Lab_B1!AE14</f>
        <v>93.333333333333329</v>
      </c>
      <c r="F16" s="46">
        <f t="shared" si="0"/>
        <v>0.93333333333333324</v>
      </c>
    </row>
    <row r="17" spans="1:6" ht="14.25">
      <c r="A17" s="11">
        <v>4</v>
      </c>
      <c r="B17" s="19" t="s">
        <v>27</v>
      </c>
      <c r="C17" s="35" t="s">
        <v>28</v>
      </c>
      <c r="D17" s="44">
        <f>PPS_class!BA15</f>
        <v>88.888888888888886</v>
      </c>
      <c r="E17" s="45">
        <f>Lab_B1!AE15</f>
        <v>86.666666666666671</v>
      </c>
      <c r="F17" s="46">
        <f t="shared" si="0"/>
        <v>0.87777777777777777</v>
      </c>
    </row>
    <row r="18" spans="1:6" ht="14.25">
      <c r="A18" s="11">
        <v>5</v>
      </c>
      <c r="B18" s="19" t="s">
        <v>29</v>
      </c>
      <c r="C18" s="35" t="s">
        <v>30</v>
      </c>
      <c r="D18" s="44">
        <f>PPS_class!BA16</f>
        <v>86.666666666666671</v>
      </c>
      <c r="E18" s="45">
        <f>Lab_B1!AE16</f>
        <v>80</v>
      </c>
      <c r="F18" s="46">
        <f t="shared" si="0"/>
        <v>0.83333333333333348</v>
      </c>
    </row>
    <row r="19" spans="1:6" ht="14.25">
      <c r="A19" s="11">
        <v>6</v>
      </c>
      <c r="B19" s="19" t="s">
        <v>31</v>
      </c>
      <c r="C19" s="35" t="s">
        <v>32</v>
      </c>
      <c r="D19" s="44">
        <f>PPS_class!BA17</f>
        <v>93.333333333333329</v>
      </c>
      <c r="E19" s="45">
        <f>Lab_B1!AE17</f>
        <v>93.333333333333329</v>
      </c>
      <c r="F19" s="46">
        <f t="shared" si="0"/>
        <v>0.93333333333333324</v>
      </c>
    </row>
    <row r="20" spans="1:6" ht="14.25">
      <c r="A20" s="11">
        <v>7</v>
      </c>
      <c r="B20" s="19" t="s">
        <v>33</v>
      </c>
      <c r="C20" s="35" t="s">
        <v>34</v>
      </c>
      <c r="D20" s="44">
        <f>PPS_class!BA18</f>
        <v>91.111111111111114</v>
      </c>
      <c r="E20" s="45">
        <f>Lab_B1!AE18</f>
        <v>93.333333333333329</v>
      </c>
      <c r="F20" s="46">
        <f t="shared" si="0"/>
        <v>0.92222222222222228</v>
      </c>
    </row>
    <row r="21" spans="1:6" ht="15.75" customHeight="1">
      <c r="A21" s="11">
        <v>8</v>
      </c>
      <c r="B21" s="19" t="s">
        <v>35</v>
      </c>
      <c r="C21" s="35" t="s">
        <v>36</v>
      </c>
      <c r="D21" s="44">
        <f>PPS_class!BA19</f>
        <v>93.333333333333329</v>
      </c>
      <c r="E21" s="45">
        <f>Lab_B1!AE19</f>
        <v>93.333333333333329</v>
      </c>
      <c r="F21" s="46">
        <f t="shared" si="0"/>
        <v>0.93333333333333324</v>
      </c>
    </row>
    <row r="22" spans="1:6" ht="15.75" customHeight="1">
      <c r="A22" s="11">
        <v>9</v>
      </c>
      <c r="B22" s="19" t="s">
        <v>37</v>
      </c>
      <c r="C22" s="35" t="s">
        <v>38</v>
      </c>
      <c r="D22" s="44">
        <f>PPS_class!BA20</f>
        <v>91.111111111111114</v>
      </c>
      <c r="E22" s="45">
        <f>Lab_B1!AE20</f>
        <v>93.333333333333329</v>
      </c>
      <c r="F22" s="46">
        <f t="shared" si="0"/>
        <v>0.92222222222222228</v>
      </c>
    </row>
    <row r="23" spans="1:6" ht="15.75" customHeight="1">
      <c r="A23" s="11">
        <v>10</v>
      </c>
      <c r="B23" s="19" t="s">
        <v>39</v>
      </c>
      <c r="C23" s="35" t="s">
        <v>40</v>
      </c>
      <c r="D23" s="44">
        <f>PPS_class!BA21</f>
        <v>93.333333333333329</v>
      </c>
      <c r="E23" s="45">
        <f>Lab_B1!AE21</f>
        <v>93.333333333333329</v>
      </c>
      <c r="F23" s="46">
        <f t="shared" si="0"/>
        <v>0.93333333333333324</v>
      </c>
    </row>
    <row r="24" spans="1:6" ht="15.75" customHeight="1">
      <c r="A24" s="11">
        <v>11</v>
      </c>
      <c r="B24" s="19" t="s">
        <v>41</v>
      </c>
      <c r="C24" s="35" t="s">
        <v>42</v>
      </c>
      <c r="D24" s="44">
        <f>PPS_class!BA22</f>
        <v>91.111111111111114</v>
      </c>
      <c r="E24" s="45">
        <f>Lab_B1!AE22</f>
        <v>86.666666666666671</v>
      </c>
      <c r="F24" s="46">
        <f t="shared" si="0"/>
        <v>0.88888888888888884</v>
      </c>
    </row>
    <row r="25" spans="1:6" ht="15.75" customHeight="1">
      <c r="A25" s="11">
        <v>12</v>
      </c>
      <c r="B25" s="19" t="s">
        <v>43</v>
      </c>
      <c r="C25" s="35" t="s">
        <v>44</v>
      </c>
      <c r="D25" s="44">
        <f>PPS_class!BA23</f>
        <v>95.555555555555557</v>
      </c>
      <c r="E25" s="45">
        <f>Lab_B1!AE23</f>
        <v>93.333333333333329</v>
      </c>
      <c r="F25" s="46">
        <f t="shared" si="0"/>
        <v>0.94444444444444442</v>
      </c>
    </row>
    <row r="26" spans="1:6" ht="15.75" customHeight="1">
      <c r="A26" s="11">
        <v>13</v>
      </c>
      <c r="B26" s="19" t="s">
        <v>45</v>
      </c>
      <c r="C26" s="35" t="s">
        <v>46</v>
      </c>
      <c r="D26" s="44">
        <f>PPS_class!BA24</f>
        <v>100</v>
      </c>
      <c r="E26" s="45">
        <f>Lab_B1!AE24</f>
        <v>93.333333333333329</v>
      </c>
      <c r="F26" s="46">
        <f t="shared" si="0"/>
        <v>0.96666666666666656</v>
      </c>
    </row>
    <row r="27" spans="1:6" ht="15.75" customHeight="1">
      <c r="A27" s="11">
        <v>14</v>
      </c>
      <c r="B27" s="19" t="s">
        <v>47</v>
      </c>
      <c r="C27" s="35" t="s">
        <v>48</v>
      </c>
      <c r="D27" s="44">
        <f>PPS_class!BA25</f>
        <v>93.333333333333329</v>
      </c>
      <c r="E27" s="45">
        <f>Lab_B1!AE25</f>
        <v>100</v>
      </c>
      <c r="F27" s="46">
        <f t="shared" si="0"/>
        <v>0.96666666666666656</v>
      </c>
    </row>
    <row r="28" spans="1:6" ht="15.75" customHeight="1">
      <c r="A28" s="11">
        <v>15</v>
      </c>
      <c r="B28" s="19" t="s">
        <v>49</v>
      </c>
      <c r="C28" s="35" t="s">
        <v>50</v>
      </c>
      <c r="D28" s="44">
        <f>PPS_class!BA26</f>
        <v>97.777777777777771</v>
      </c>
      <c r="E28" s="45">
        <f>Lab_B1!AE26</f>
        <v>93.333333333333329</v>
      </c>
      <c r="F28" s="46">
        <f t="shared" si="0"/>
        <v>0.95555555555555538</v>
      </c>
    </row>
    <row r="29" spans="1:6" ht="15.75" customHeight="1">
      <c r="A29" s="11">
        <v>16</v>
      </c>
      <c r="B29" s="19" t="s">
        <v>51</v>
      </c>
      <c r="C29" s="35" t="s">
        <v>52</v>
      </c>
      <c r="D29" s="44">
        <f>PPS_class!BA27</f>
        <v>91.111111111111114</v>
      </c>
      <c r="E29" s="45">
        <f>Lab_B1!AE27</f>
        <v>100</v>
      </c>
      <c r="F29" s="46">
        <f t="shared" si="0"/>
        <v>0.9555555555555556</v>
      </c>
    </row>
    <row r="30" spans="1:6" ht="15.75" customHeight="1">
      <c r="A30" s="11">
        <v>17</v>
      </c>
      <c r="B30" s="19" t="s">
        <v>53</v>
      </c>
      <c r="C30" s="35" t="s">
        <v>54</v>
      </c>
      <c r="D30" s="44">
        <f>PPS_class!BA28</f>
        <v>97.777777777777771</v>
      </c>
      <c r="E30" s="45">
        <f>Lab_B1!AE28</f>
        <v>93.333333333333329</v>
      </c>
      <c r="F30" s="46">
        <f t="shared" si="0"/>
        <v>0.95555555555555538</v>
      </c>
    </row>
    <row r="31" spans="1:6" ht="15.75" customHeight="1">
      <c r="A31" s="11">
        <v>18</v>
      </c>
      <c r="B31" s="19" t="s">
        <v>55</v>
      </c>
      <c r="C31" s="35" t="s">
        <v>56</v>
      </c>
      <c r="D31" s="44">
        <f>PPS_class!BA29</f>
        <v>88.888888888888886</v>
      </c>
      <c r="E31" s="45">
        <f>Lab_B1!AE29</f>
        <v>100</v>
      </c>
      <c r="F31" s="46">
        <f t="shared" si="0"/>
        <v>0.94444444444444442</v>
      </c>
    </row>
    <row r="32" spans="1:6" ht="15.75" customHeight="1">
      <c r="A32" s="11">
        <v>19</v>
      </c>
      <c r="B32" s="19" t="s">
        <v>57</v>
      </c>
      <c r="C32" s="35" t="s">
        <v>58</v>
      </c>
      <c r="D32" s="44">
        <f>PPS_class!BA30</f>
        <v>93.333333333333329</v>
      </c>
      <c r="E32" s="45">
        <f>Lab_B1!AE30</f>
        <v>93.333333333333329</v>
      </c>
      <c r="F32" s="46">
        <f t="shared" si="0"/>
        <v>0.93333333333333324</v>
      </c>
    </row>
    <row r="33" spans="1:6" ht="15.75" customHeight="1">
      <c r="A33" s="11">
        <v>20</v>
      </c>
      <c r="B33" s="19" t="s">
        <v>59</v>
      </c>
      <c r="C33" s="35" t="s">
        <v>60</v>
      </c>
      <c r="D33" s="44">
        <f>PPS_class!BA31</f>
        <v>88.888888888888886</v>
      </c>
      <c r="E33" s="45">
        <f>Lab_B1!AE31</f>
        <v>100</v>
      </c>
      <c r="F33" s="46">
        <f t="shared" si="0"/>
        <v>0.94444444444444442</v>
      </c>
    </row>
    <row r="34" spans="1:6" ht="15.75" customHeight="1">
      <c r="A34" s="11">
        <v>21</v>
      </c>
      <c r="B34" s="19" t="s">
        <v>61</v>
      </c>
      <c r="C34" s="35" t="s">
        <v>62</v>
      </c>
      <c r="D34" s="44">
        <f>PPS_class!BA32</f>
        <v>95.555555555555557</v>
      </c>
      <c r="E34" s="45">
        <f>Lab_B1!AE32</f>
        <v>100</v>
      </c>
      <c r="F34" s="46">
        <f t="shared" si="0"/>
        <v>0.97777777777777775</v>
      </c>
    </row>
    <row r="35" spans="1:6" ht="15.75" customHeight="1">
      <c r="A35" s="11">
        <v>22</v>
      </c>
      <c r="B35" s="19" t="s">
        <v>63</v>
      </c>
      <c r="C35" s="35" t="s">
        <v>64</v>
      </c>
      <c r="D35" s="44">
        <f>PPS_class!BA33</f>
        <v>93.333333333333329</v>
      </c>
      <c r="E35" s="45">
        <f>Lab_B1!AE33</f>
        <v>100</v>
      </c>
      <c r="F35" s="46">
        <f t="shared" si="0"/>
        <v>0.96666666666666656</v>
      </c>
    </row>
    <row r="36" spans="1:6" ht="15.75" customHeight="1">
      <c r="A36" s="11">
        <v>23</v>
      </c>
      <c r="B36" s="19" t="s">
        <v>65</v>
      </c>
      <c r="C36" s="35" t="s">
        <v>66</v>
      </c>
      <c r="D36" s="44">
        <f>PPS_class!BA34</f>
        <v>88.888888888888886</v>
      </c>
      <c r="E36" s="45">
        <f>Lab_B1!AE34</f>
        <v>93.333333333333329</v>
      </c>
      <c r="F36" s="46">
        <f t="shared" si="0"/>
        <v>0.91111111111111109</v>
      </c>
    </row>
    <row r="37" spans="1:6" ht="15.75" customHeight="1">
      <c r="A37" s="11">
        <v>24</v>
      </c>
      <c r="B37" s="19" t="s">
        <v>67</v>
      </c>
      <c r="C37" s="35" t="s">
        <v>68</v>
      </c>
      <c r="D37" s="44">
        <f>PPS_class!BA35</f>
        <v>95.555555555555557</v>
      </c>
      <c r="E37" s="45">
        <f>Lab_B1!AE35</f>
        <v>93.333333333333329</v>
      </c>
      <c r="F37" s="46">
        <f t="shared" si="0"/>
        <v>0.94444444444444442</v>
      </c>
    </row>
    <row r="38" spans="1:6" ht="15.75" customHeight="1">
      <c r="A38" s="11">
        <v>25</v>
      </c>
      <c r="B38" s="19" t="s">
        <v>69</v>
      </c>
      <c r="C38" s="35" t="s">
        <v>70</v>
      </c>
      <c r="D38" s="44">
        <f>PPS_class!BA36</f>
        <v>100</v>
      </c>
      <c r="E38" s="45">
        <f>Lab_B1!AE36</f>
        <v>93.333333333333329</v>
      </c>
      <c r="F38" s="46">
        <f t="shared" si="0"/>
        <v>0.96666666666666656</v>
      </c>
    </row>
    <row r="39" spans="1:6" ht="15.75" customHeight="1">
      <c r="A39" s="11">
        <v>26</v>
      </c>
      <c r="B39" s="19" t="s">
        <v>71</v>
      </c>
      <c r="C39" s="35" t="s">
        <v>72</v>
      </c>
      <c r="D39" s="44">
        <f>PPS_class!BA37</f>
        <v>91.111111111111114</v>
      </c>
      <c r="E39" s="45">
        <f>Lab_B1!AE37</f>
        <v>93.333333333333329</v>
      </c>
      <c r="F39" s="46">
        <f t="shared" si="0"/>
        <v>0.92222222222222228</v>
      </c>
    </row>
    <row r="40" spans="1:6" ht="15.75" customHeight="1">
      <c r="A40" s="11">
        <v>27</v>
      </c>
      <c r="B40" s="19" t="s">
        <v>73</v>
      </c>
      <c r="C40" s="35" t="s">
        <v>74</v>
      </c>
      <c r="D40" s="44">
        <f>PPS_class!BA38</f>
        <v>97.777777777777771</v>
      </c>
      <c r="E40" s="45">
        <f>Lab_B1!AE38</f>
        <v>93.333333333333329</v>
      </c>
      <c r="F40" s="46">
        <f t="shared" si="0"/>
        <v>0.95555555555555538</v>
      </c>
    </row>
    <row r="41" spans="1:6" ht="15.75" customHeight="1">
      <c r="A41" s="11">
        <v>28</v>
      </c>
      <c r="B41" s="19" t="s">
        <v>75</v>
      </c>
      <c r="C41" s="35" t="s">
        <v>76</v>
      </c>
      <c r="D41" s="44">
        <f>PPS_class!BA39</f>
        <v>100</v>
      </c>
      <c r="E41" s="45">
        <f>Lab_B1!AE39</f>
        <v>100</v>
      </c>
      <c r="F41" s="46">
        <f t="shared" si="0"/>
        <v>1</v>
      </c>
    </row>
    <row r="42" spans="1:6" ht="15.75" customHeight="1">
      <c r="A42" s="11">
        <v>29</v>
      </c>
      <c r="B42" s="19" t="s">
        <v>77</v>
      </c>
      <c r="C42" s="35" t="s">
        <v>78</v>
      </c>
      <c r="D42" s="44">
        <f>PPS_class!BA40</f>
        <v>91.111111111111114</v>
      </c>
      <c r="E42" s="45">
        <f>Lab_B1!AE40</f>
        <v>93.333333333333329</v>
      </c>
      <c r="F42" s="46">
        <f t="shared" si="0"/>
        <v>0.92222222222222228</v>
      </c>
    </row>
    <row r="43" spans="1:6" ht="15.75" customHeight="1">
      <c r="A43" s="11">
        <v>30</v>
      </c>
      <c r="B43" s="19" t="s">
        <v>79</v>
      </c>
      <c r="C43" s="35" t="s">
        <v>80</v>
      </c>
      <c r="D43" s="44">
        <f>PPS_class!BA41</f>
        <v>88.888888888888886</v>
      </c>
      <c r="E43" s="45">
        <f>Lab_B1!AE41</f>
        <v>93.333333333333329</v>
      </c>
      <c r="F43" s="46">
        <f t="shared" si="0"/>
        <v>0.91111111111111109</v>
      </c>
    </row>
    <row r="44" spans="1:6" ht="15.75" customHeight="1">
      <c r="A44" s="11">
        <v>31</v>
      </c>
      <c r="B44" s="19" t="s">
        <v>81</v>
      </c>
      <c r="C44" s="35" t="s">
        <v>82</v>
      </c>
      <c r="D44" s="44">
        <f>PPS_class!BA42</f>
        <v>91.111111111111114</v>
      </c>
      <c r="E44" s="45">
        <f>Lab_B1!AE42</f>
        <v>100</v>
      </c>
      <c r="F44" s="46">
        <f t="shared" si="0"/>
        <v>0.9555555555555556</v>
      </c>
    </row>
    <row r="45" spans="1:6" ht="15.75" customHeight="1">
      <c r="A45" s="11">
        <v>32</v>
      </c>
      <c r="B45" s="19" t="s">
        <v>83</v>
      </c>
      <c r="C45" s="35" t="s">
        <v>84</v>
      </c>
      <c r="D45" s="44">
        <f>PPS_class!BA43</f>
        <v>91.111111111111114</v>
      </c>
      <c r="E45" s="45">
        <f>Lab_B1!AE43</f>
        <v>86.666666666666671</v>
      </c>
      <c r="F45" s="46">
        <f t="shared" si="0"/>
        <v>0.88888888888888884</v>
      </c>
    </row>
    <row r="46" spans="1:6" ht="15.75" customHeight="1">
      <c r="A46" s="11">
        <v>33</v>
      </c>
      <c r="B46" s="19" t="s">
        <v>85</v>
      </c>
      <c r="C46" s="35" t="s">
        <v>86</v>
      </c>
      <c r="D46" s="44">
        <f>PPS_class!BA44</f>
        <v>91.111111111111114</v>
      </c>
      <c r="E46" s="45">
        <f>Lab_B1!AE44</f>
        <v>100</v>
      </c>
      <c r="F46" s="46">
        <f t="shared" si="0"/>
        <v>0.9555555555555556</v>
      </c>
    </row>
    <row r="47" spans="1:6" ht="15.75" customHeight="1">
      <c r="A47" s="11">
        <v>34</v>
      </c>
      <c r="B47" s="19" t="s">
        <v>87</v>
      </c>
      <c r="C47" s="35" t="s">
        <v>88</v>
      </c>
      <c r="D47" s="44">
        <f>PPS_class!BA45</f>
        <v>91.111111111111114</v>
      </c>
      <c r="E47" s="45">
        <f>Lab_B1!AE45</f>
        <v>100</v>
      </c>
      <c r="F47" s="46">
        <f t="shared" si="0"/>
        <v>0.9555555555555556</v>
      </c>
    </row>
    <row r="48" spans="1:6" ht="15.75" customHeight="1">
      <c r="A48" s="11">
        <v>35</v>
      </c>
      <c r="B48" s="19" t="s">
        <v>89</v>
      </c>
      <c r="C48" s="35" t="s">
        <v>90</v>
      </c>
      <c r="D48" s="44">
        <f>PPS_class!BA46</f>
        <v>91.111111111111114</v>
      </c>
      <c r="E48" s="45">
        <f>Lab_B1!AE46</f>
        <v>80</v>
      </c>
      <c r="F48" s="46">
        <f t="shared" si="0"/>
        <v>0.85555555555555562</v>
      </c>
    </row>
    <row r="49" spans="1:6" ht="15.75" customHeight="1">
      <c r="A49" s="11">
        <v>36</v>
      </c>
      <c r="B49" s="19" t="s">
        <v>91</v>
      </c>
      <c r="C49" s="35" t="s">
        <v>92</v>
      </c>
      <c r="D49" s="44">
        <f>PPS_class!BA47</f>
        <v>95.555555555555557</v>
      </c>
      <c r="E49" s="45">
        <f>Lab_B1!AE47</f>
        <v>100</v>
      </c>
      <c r="F49" s="46">
        <f t="shared" si="0"/>
        <v>0.97777777777777775</v>
      </c>
    </row>
    <row r="50" spans="1:6" ht="15.75" customHeight="1">
      <c r="A50" s="11">
        <v>37</v>
      </c>
      <c r="B50" s="19" t="s">
        <v>93</v>
      </c>
      <c r="C50" s="35" t="s">
        <v>94</v>
      </c>
      <c r="D50" s="44">
        <f>PPS_class!BA48</f>
        <v>91.111111111111114</v>
      </c>
      <c r="E50" s="45">
        <f>Lab_B1!AE48</f>
        <v>93.333333333333329</v>
      </c>
      <c r="F50" s="46">
        <f t="shared" si="0"/>
        <v>0.92222222222222228</v>
      </c>
    </row>
    <row r="51" spans="1:6" ht="15.75" customHeight="1">
      <c r="A51" s="11">
        <v>38</v>
      </c>
      <c r="B51" s="19" t="s">
        <v>95</v>
      </c>
      <c r="C51" s="35" t="s">
        <v>96</v>
      </c>
      <c r="D51" s="44">
        <f>PPS_class!BA49</f>
        <v>95.555555555555557</v>
      </c>
      <c r="E51" s="45">
        <f>Lab_B1!AE49</f>
        <v>86.666666666666671</v>
      </c>
      <c r="F51" s="46">
        <f t="shared" si="0"/>
        <v>0.91111111111111109</v>
      </c>
    </row>
    <row r="52" spans="1:6" ht="15.75" customHeight="1">
      <c r="A52" s="11">
        <v>39</v>
      </c>
      <c r="B52" s="19" t="s">
        <v>97</v>
      </c>
      <c r="C52" s="35" t="s">
        <v>98</v>
      </c>
      <c r="D52" s="44">
        <f>PPS_class!BA50</f>
        <v>95.555555555555557</v>
      </c>
      <c r="E52" s="45">
        <f>Lab_B1!AE50</f>
        <v>93.333333333333329</v>
      </c>
      <c r="F52" s="46">
        <f t="shared" si="0"/>
        <v>0.94444444444444442</v>
      </c>
    </row>
    <row r="53" spans="1:6" ht="15.75" customHeight="1">
      <c r="A53" s="11">
        <v>40</v>
      </c>
      <c r="B53" s="19" t="s">
        <v>99</v>
      </c>
      <c r="C53" s="35" t="s">
        <v>100</v>
      </c>
      <c r="D53" s="44">
        <f>PPS_class!BA51</f>
        <v>93.333333333333329</v>
      </c>
      <c r="E53" s="45">
        <f>Lab_B1!AE51</f>
        <v>93.333333333333329</v>
      </c>
      <c r="F53" s="46">
        <f t="shared" si="0"/>
        <v>0.93333333333333324</v>
      </c>
    </row>
    <row r="54" spans="1:6" ht="15.75" customHeight="1">
      <c r="A54" s="11">
        <v>41</v>
      </c>
      <c r="B54" s="19" t="s">
        <v>101</v>
      </c>
      <c r="C54" s="35" t="s">
        <v>102</v>
      </c>
      <c r="D54" s="44">
        <f>PPS_class!BA52</f>
        <v>93.333333333333329</v>
      </c>
      <c r="E54" s="45">
        <f>Lab_B2!X12</f>
        <v>87.5</v>
      </c>
      <c r="F54" s="46">
        <f t="shared" si="0"/>
        <v>0.90416666666666656</v>
      </c>
    </row>
    <row r="55" spans="1:6" ht="15.75" customHeight="1">
      <c r="A55" s="11">
        <v>42</v>
      </c>
      <c r="B55" s="19" t="s">
        <v>103</v>
      </c>
      <c r="C55" s="35" t="s">
        <v>104</v>
      </c>
      <c r="D55" s="44">
        <f>PPS_class!BA53</f>
        <v>91.111111111111114</v>
      </c>
      <c r="E55" s="45">
        <f>Lab_B2!X13</f>
        <v>87.5</v>
      </c>
      <c r="F55" s="46">
        <f t="shared" si="0"/>
        <v>0.8930555555555556</v>
      </c>
    </row>
    <row r="56" spans="1:6" ht="15.75" customHeight="1">
      <c r="A56" s="11">
        <v>43</v>
      </c>
      <c r="B56" s="19" t="s">
        <v>105</v>
      </c>
      <c r="C56" s="35" t="s">
        <v>106</v>
      </c>
      <c r="D56" s="44">
        <f>PPS_class!BA54</f>
        <v>95.555555555555557</v>
      </c>
      <c r="E56" s="45">
        <f>Lab_B2!X14</f>
        <v>88.235294117647058</v>
      </c>
      <c r="F56" s="46">
        <f t="shared" si="0"/>
        <v>0.91895424836601303</v>
      </c>
    </row>
    <row r="57" spans="1:6" ht="15.75" customHeight="1">
      <c r="A57" s="11">
        <v>44</v>
      </c>
      <c r="B57" s="19" t="s">
        <v>107</v>
      </c>
      <c r="C57" s="35" t="s">
        <v>108</v>
      </c>
      <c r="D57" s="44">
        <f>PPS_class!BA55</f>
        <v>95.555555555555557</v>
      </c>
      <c r="E57" s="45">
        <f>Lab_B2!X15</f>
        <v>82.35294117647058</v>
      </c>
      <c r="F57" s="46">
        <f t="shared" si="0"/>
        <v>0.88954248366013078</v>
      </c>
    </row>
    <row r="58" spans="1:6" ht="15.75" customHeight="1">
      <c r="A58" s="11">
        <v>45</v>
      </c>
      <c r="B58" s="19" t="s">
        <v>109</v>
      </c>
      <c r="C58" s="35" t="s">
        <v>110</v>
      </c>
      <c r="D58" s="44">
        <f>PPS_class!BA56</f>
        <v>93.333333333333329</v>
      </c>
      <c r="E58" s="45">
        <f>Lab_B2!X16</f>
        <v>93.75</v>
      </c>
      <c r="F58" s="46">
        <f t="shared" si="0"/>
        <v>0.93541666666666656</v>
      </c>
    </row>
    <row r="59" spans="1:6" ht="15.75" customHeight="1">
      <c r="A59" s="11">
        <v>46</v>
      </c>
      <c r="B59" s="19" t="s">
        <v>111</v>
      </c>
      <c r="C59" s="35" t="s">
        <v>112</v>
      </c>
      <c r="D59" s="44">
        <f>PPS_class!BA57</f>
        <v>93.333333333333329</v>
      </c>
      <c r="E59" s="45">
        <f>Lab_B2!X17</f>
        <v>82.35294117647058</v>
      </c>
      <c r="F59" s="46">
        <f t="shared" si="0"/>
        <v>0.8784313725490196</v>
      </c>
    </row>
    <row r="60" spans="1:6" ht="15.75" customHeight="1">
      <c r="A60" s="11">
        <v>47</v>
      </c>
      <c r="B60" s="19" t="s">
        <v>113</v>
      </c>
      <c r="C60" s="35" t="s">
        <v>114</v>
      </c>
      <c r="D60" s="44">
        <f>PPS_class!BA58</f>
        <v>95.555555555555557</v>
      </c>
      <c r="E60" s="45">
        <f>Lab_B2!X18</f>
        <v>94.117647058823522</v>
      </c>
      <c r="F60" s="46">
        <f t="shared" si="0"/>
        <v>0.94836601307189539</v>
      </c>
    </row>
    <row r="61" spans="1:6" ht="15.75" customHeight="1">
      <c r="A61" s="11">
        <v>48</v>
      </c>
      <c r="B61" s="19" t="s">
        <v>115</v>
      </c>
      <c r="C61" s="35" t="s">
        <v>116</v>
      </c>
      <c r="D61" s="44">
        <f>PPS_class!BA59</f>
        <v>93.333333333333329</v>
      </c>
      <c r="E61" s="45">
        <f>Lab_B2!X19</f>
        <v>81.25</v>
      </c>
      <c r="F61" s="46">
        <f t="shared" si="0"/>
        <v>0.87291666666666656</v>
      </c>
    </row>
    <row r="62" spans="1:6" ht="15.75" customHeight="1">
      <c r="A62" s="11">
        <v>49</v>
      </c>
      <c r="B62" s="19" t="s">
        <v>117</v>
      </c>
      <c r="C62" s="35" t="s">
        <v>118</v>
      </c>
      <c r="D62" s="44">
        <f>PPS_class!BA60</f>
        <v>97.777777777777771</v>
      </c>
      <c r="E62" s="45">
        <f>Lab_B2!X20</f>
        <v>88.235294117647058</v>
      </c>
      <c r="F62" s="46">
        <f t="shared" si="0"/>
        <v>0.93006535947712421</v>
      </c>
    </row>
    <row r="63" spans="1:6" ht="15.75" customHeight="1">
      <c r="A63" s="11">
        <v>50</v>
      </c>
      <c r="B63" s="19" t="s">
        <v>119</v>
      </c>
      <c r="C63" s="35" t="s">
        <v>120</v>
      </c>
      <c r="D63" s="44">
        <f>PPS_class!BA61</f>
        <v>97.777777777777771</v>
      </c>
      <c r="E63" s="45">
        <f>Lab_B2!X21</f>
        <v>88.235294117647058</v>
      </c>
      <c r="F63" s="46">
        <f t="shared" si="0"/>
        <v>0.93006535947712421</v>
      </c>
    </row>
    <row r="64" spans="1:6" ht="15.75" customHeight="1">
      <c r="A64" s="11">
        <v>51</v>
      </c>
      <c r="B64" s="19" t="s">
        <v>121</v>
      </c>
      <c r="C64" s="35" t="s">
        <v>122</v>
      </c>
      <c r="D64" s="44">
        <f>PPS_class!BA62</f>
        <v>97.777777777777771</v>
      </c>
      <c r="E64" s="45">
        <f>Lab_B2!X22</f>
        <v>94.117647058823522</v>
      </c>
      <c r="F64" s="46">
        <f t="shared" si="0"/>
        <v>0.95947712418300657</v>
      </c>
    </row>
    <row r="65" spans="1:6" ht="15.75" customHeight="1">
      <c r="A65" s="11">
        <v>52</v>
      </c>
      <c r="B65" s="19" t="s">
        <v>123</v>
      </c>
      <c r="C65" s="35" t="s">
        <v>124</v>
      </c>
      <c r="D65" s="44">
        <f>PPS_class!BA63</f>
        <v>95.555555555555557</v>
      </c>
      <c r="E65" s="45">
        <f>Lab_B2!X23</f>
        <v>88.235294117647058</v>
      </c>
      <c r="F65" s="46">
        <f t="shared" si="0"/>
        <v>0.91895424836601303</v>
      </c>
    </row>
    <row r="66" spans="1:6" ht="15.75" customHeight="1">
      <c r="A66" s="11">
        <v>53</v>
      </c>
      <c r="B66" s="19" t="s">
        <v>125</v>
      </c>
      <c r="C66" s="35" t="s">
        <v>126</v>
      </c>
      <c r="D66" s="44">
        <f>PPS_class!BA64</f>
        <v>97.777777777777771</v>
      </c>
      <c r="E66" s="45">
        <f>Lab_B2!X24</f>
        <v>76.470588235294116</v>
      </c>
      <c r="F66" s="46">
        <f t="shared" si="0"/>
        <v>0.87124183006535949</v>
      </c>
    </row>
    <row r="67" spans="1:6" ht="15.75" customHeight="1">
      <c r="A67" s="11">
        <v>54</v>
      </c>
      <c r="B67" s="19" t="s">
        <v>127</v>
      </c>
      <c r="C67" s="35" t="s">
        <v>128</v>
      </c>
      <c r="D67" s="44">
        <f>PPS_class!BA65</f>
        <v>95.555555555555557</v>
      </c>
      <c r="E67" s="45">
        <f>Lab_B2!X25</f>
        <v>94.117647058823522</v>
      </c>
      <c r="F67" s="46">
        <f t="shared" si="0"/>
        <v>0.94836601307189539</v>
      </c>
    </row>
    <row r="68" spans="1:6" ht="15.75" customHeight="1">
      <c r="A68" s="11">
        <v>55</v>
      </c>
      <c r="B68" s="19" t="s">
        <v>129</v>
      </c>
      <c r="C68" s="35" t="s">
        <v>130</v>
      </c>
      <c r="D68" s="44">
        <f>PPS_class!BA66</f>
        <v>91.111111111111114</v>
      </c>
      <c r="E68" s="45">
        <f>Lab_B2!X26</f>
        <v>88.235294117647058</v>
      </c>
      <c r="F68" s="46">
        <f t="shared" si="0"/>
        <v>0.89673202614379077</v>
      </c>
    </row>
    <row r="69" spans="1:6" ht="15.75" customHeight="1">
      <c r="A69" s="11">
        <v>56</v>
      </c>
      <c r="B69" s="19" t="s">
        <v>131</v>
      </c>
      <c r="C69" s="35" t="s">
        <v>132</v>
      </c>
      <c r="D69" s="44">
        <f>PPS_class!BA67</f>
        <v>91.111111111111114</v>
      </c>
      <c r="E69" s="45">
        <f>Lab_B2!X27</f>
        <v>88.235294117647058</v>
      </c>
      <c r="F69" s="46">
        <f t="shared" si="0"/>
        <v>0.89673202614379077</v>
      </c>
    </row>
    <row r="70" spans="1:6" ht="15.75" customHeight="1">
      <c r="A70" s="11">
        <v>57</v>
      </c>
      <c r="B70" s="19" t="s">
        <v>133</v>
      </c>
      <c r="C70" s="35" t="s">
        <v>134</v>
      </c>
      <c r="D70" s="44">
        <f>PPS_class!BA68</f>
        <v>93.333333333333329</v>
      </c>
      <c r="E70" s="45">
        <f>Lab_B2!X28</f>
        <v>94.117647058823522</v>
      </c>
      <c r="F70" s="46">
        <f t="shared" si="0"/>
        <v>0.9372549019607842</v>
      </c>
    </row>
    <row r="71" spans="1:6" ht="15.75" customHeight="1">
      <c r="A71" s="11">
        <v>58</v>
      </c>
      <c r="B71" s="19" t="s">
        <v>135</v>
      </c>
      <c r="C71" s="35" t="s">
        <v>136</v>
      </c>
      <c r="D71" s="44">
        <f>PPS_class!BA69</f>
        <v>88.888888888888886</v>
      </c>
      <c r="E71" s="45">
        <f>Lab_B2!X29</f>
        <v>76.470588235294116</v>
      </c>
      <c r="F71" s="46">
        <f t="shared" si="0"/>
        <v>0.82679738562091498</v>
      </c>
    </row>
    <row r="72" spans="1:6" ht="15.75" customHeight="1">
      <c r="A72" s="11">
        <v>59</v>
      </c>
      <c r="B72" s="19" t="s">
        <v>137</v>
      </c>
      <c r="C72" s="35" t="s">
        <v>138</v>
      </c>
      <c r="D72" s="44">
        <f>PPS_class!BA70</f>
        <v>91.111111111111114</v>
      </c>
      <c r="E72" s="45">
        <f>Lab_B2!X30</f>
        <v>94.117647058823522</v>
      </c>
      <c r="F72" s="46">
        <f t="shared" si="0"/>
        <v>0.92614379084967313</v>
      </c>
    </row>
    <row r="73" spans="1:6" ht="15.75" customHeight="1">
      <c r="A73" s="11">
        <v>60</v>
      </c>
      <c r="B73" s="19" t="s">
        <v>139</v>
      </c>
      <c r="C73" s="35" t="s">
        <v>140</v>
      </c>
      <c r="D73" s="44">
        <f>PPS_class!BA71</f>
        <v>91.111111111111114</v>
      </c>
      <c r="E73" s="45">
        <f>Lab_B2!X31</f>
        <v>94.117647058823522</v>
      </c>
      <c r="F73" s="46">
        <f t="shared" si="0"/>
        <v>0.92614379084967313</v>
      </c>
    </row>
    <row r="74" spans="1:6" ht="15.75" customHeight="1">
      <c r="A74" s="11">
        <v>61</v>
      </c>
      <c r="B74" s="19" t="s">
        <v>141</v>
      </c>
      <c r="C74" s="35" t="s">
        <v>142</v>
      </c>
      <c r="D74" s="44">
        <f>PPS_class!BA72</f>
        <v>95.555555555555557</v>
      </c>
      <c r="E74" s="45">
        <f>Lab_B2!X32</f>
        <v>87.5</v>
      </c>
      <c r="F74" s="46">
        <f t="shared" si="0"/>
        <v>0.91527777777777775</v>
      </c>
    </row>
    <row r="75" spans="1:6" ht="15.75" customHeight="1">
      <c r="A75" s="11">
        <v>62</v>
      </c>
      <c r="B75" s="19" t="s">
        <v>143</v>
      </c>
      <c r="C75" s="35" t="s">
        <v>144</v>
      </c>
      <c r="D75" s="44">
        <f>PPS_class!BA73</f>
        <v>95.555555555555557</v>
      </c>
      <c r="E75" s="45">
        <f>Lab_B2!X33</f>
        <v>88.235294117647058</v>
      </c>
      <c r="F75" s="46">
        <f t="shared" si="0"/>
        <v>0.91895424836601303</v>
      </c>
    </row>
    <row r="76" spans="1:6" ht="15.75" customHeight="1">
      <c r="A76" s="11">
        <v>63</v>
      </c>
      <c r="B76" s="19" t="s">
        <v>145</v>
      </c>
      <c r="C76" s="35" t="s">
        <v>146</v>
      </c>
      <c r="D76" s="44">
        <f>PPS_class!BA74</f>
        <v>95.555555555555557</v>
      </c>
      <c r="E76" s="45">
        <f>Lab_B2!X34</f>
        <v>93.75</v>
      </c>
      <c r="F76" s="46">
        <f t="shared" si="0"/>
        <v>0.94652777777777775</v>
      </c>
    </row>
    <row r="77" spans="1:6" ht="15.75" customHeight="1">
      <c r="A77" s="11">
        <v>64</v>
      </c>
      <c r="B77" s="19" t="s">
        <v>147</v>
      </c>
      <c r="C77" s="35" t="s">
        <v>148</v>
      </c>
      <c r="D77" s="44">
        <f>PPS_class!BA75</f>
        <v>97.777777777777771</v>
      </c>
      <c r="E77" s="45">
        <f>Lab_B2!X35</f>
        <v>87.5</v>
      </c>
      <c r="F77" s="46">
        <f t="shared" si="0"/>
        <v>0.92638888888888882</v>
      </c>
    </row>
    <row r="78" spans="1:6" ht="15.75" customHeight="1">
      <c r="A78" s="11">
        <v>65</v>
      </c>
      <c r="B78" s="19" t="s">
        <v>149</v>
      </c>
      <c r="C78" s="35" t="s">
        <v>150</v>
      </c>
      <c r="D78" s="44">
        <f>PPS_class!BA76</f>
        <v>100</v>
      </c>
      <c r="E78" s="45">
        <f>Lab_B2!X36</f>
        <v>93.75</v>
      </c>
      <c r="F78" s="46">
        <f t="shared" si="0"/>
        <v>0.96875</v>
      </c>
    </row>
    <row r="79" spans="1:6" ht="15.75" customHeight="1">
      <c r="A79" s="11">
        <v>66</v>
      </c>
      <c r="B79" s="19" t="s">
        <v>151</v>
      </c>
      <c r="C79" s="35" t="s">
        <v>152</v>
      </c>
      <c r="D79" s="44">
        <f>PPS_class!BA77</f>
        <v>95.555555555555557</v>
      </c>
      <c r="E79" s="45">
        <f>Lab_B2!X37</f>
        <v>93.75</v>
      </c>
      <c r="F79" s="46">
        <f t="shared" si="0"/>
        <v>0.94652777777777775</v>
      </c>
    </row>
    <row r="80" spans="1:6" ht="15.75" customHeight="1">
      <c r="A80" s="11">
        <v>67</v>
      </c>
      <c r="B80" s="19" t="s">
        <v>153</v>
      </c>
      <c r="C80" s="35" t="s">
        <v>154</v>
      </c>
      <c r="D80" s="44">
        <f>PPS_class!BA78</f>
        <v>95.555555555555557</v>
      </c>
      <c r="E80" s="45">
        <f>Lab_B2!X38</f>
        <v>87.5</v>
      </c>
      <c r="F80" s="46">
        <f t="shared" si="0"/>
        <v>0.91527777777777775</v>
      </c>
    </row>
    <row r="81" spans="1:21" ht="15.75" customHeight="1">
      <c r="A81" s="11">
        <v>68</v>
      </c>
      <c r="B81" s="19" t="s">
        <v>155</v>
      </c>
      <c r="C81" s="35" t="s">
        <v>156</v>
      </c>
      <c r="D81" s="44">
        <f>PPS_class!BA79</f>
        <v>88.888888888888886</v>
      </c>
      <c r="E81" s="45">
        <f>Lab_B2!X39</f>
        <v>93.75</v>
      </c>
      <c r="F81" s="46">
        <f t="shared" si="0"/>
        <v>0.91319444444444442</v>
      </c>
    </row>
    <row r="82" spans="1:21" ht="15.75" customHeight="1">
      <c r="A82" s="11">
        <v>69</v>
      </c>
      <c r="B82" s="19" t="s">
        <v>157</v>
      </c>
      <c r="C82" s="35" t="s">
        <v>158</v>
      </c>
      <c r="D82" s="44">
        <f>PPS_class!BA80</f>
        <v>91.111111111111114</v>
      </c>
      <c r="E82" s="45">
        <f>Lab_B2!X40</f>
        <v>93.75</v>
      </c>
      <c r="F82" s="46">
        <f t="shared" si="0"/>
        <v>0.9243055555555556</v>
      </c>
    </row>
    <row r="83" spans="1:21" ht="15.75" customHeight="1">
      <c r="A83" s="11">
        <v>70</v>
      </c>
      <c r="B83" s="19" t="s">
        <v>159</v>
      </c>
      <c r="C83" s="35" t="s">
        <v>160</v>
      </c>
      <c r="D83" s="44">
        <f>PPS_class!BA81</f>
        <v>91.111111111111114</v>
      </c>
      <c r="E83" s="45">
        <f>Lab_B2!X41</f>
        <v>93.75</v>
      </c>
      <c r="F83" s="46">
        <f t="shared" si="0"/>
        <v>0.9243055555555556</v>
      </c>
    </row>
    <row r="84" spans="1:21" ht="15.75" customHeight="1">
      <c r="A84" s="11">
        <v>71</v>
      </c>
      <c r="B84" s="19" t="s">
        <v>161</v>
      </c>
      <c r="C84" s="35" t="s">
        <v>162</v>
      </c>
      <c r="D84" s="44">
        <f>PPS_class!BA82</f>
        <v>93.333333333333329</v>
      </c>
      <c r="E84" s="45">
        <f>Lab_B2!X42</f>
        <v>81.25</v>
      </c>
      <c r="F84" s="46">
        <f t="shared" si="0"/>
        <v>0.87291666666666656</v>
      </c>
    </row>
    <row r="85" spans="1:21" ht="15.75" customHeight="1">
      <c r="A85" s="11">
        <v>72</v>
      </c>
      <c r="B85" s="19" t="s">
        <v>163</v>
      </c>
      <c r="C85" s="35" t="s">
        <v>164</v>
      </c>
      <c r="D85" s="44">
        <f>PPS_class!BA83</f>
        <v>97.777777777777771</v>
      </c>
      <c r="E85" s="45">
        <f>Lab_B2!X43</f>
        <v>87.5</v>
      </c>
      <c r="F85" s="46">
        <f t="shared" si="0"/>
        <v>0.92638888888888882</v>
      </c>
    </row>
    <row r="86" spans="1:21" ht="15.75" customHeight="1">
      <c r="A86" s="26">
        <v>73</v>
      </c>
      <c r="B86" s="31" t="s">
        <v>165</v>
      </c>
      <c r="C86" s="36" t="s">
        <v>166</v>
      </c>
      <c r="D86" s="44">
        <f>PPS_class!BA84</f>
        <v>88.888888888888886</v>
      </c>
      <c r="E86" s="45">
        <f>Lab_B2!X44</f>
        <v>87.5</v>
      </c>
      <c r="F86" s="46">
        <f t="shared" si="0"/>
        <v>0.88194444444444442</v>
      </c>
    </row>
    <row r="87" spans="1:21" ht="15.75" customHeight="1">
      <c r="A87" s="11">
        <v>74</v>
      </c>
      <c r="B87" s="24" t="s">
        <v>167</v>
      </c>
      <c r="C87" s="25" t="s">
        <v>168</v>
      </c>
      <c r="D87" s="44">
        <f>PPS_class!BA85</f>
        <v>97.777777777777771</v>
      </c>
      <c r="E87" s="45">
        <f>Lab_B2!X45</f>
        <v>93.75</v>
      </c>
      <c r="F87" s="46">
        <f t="shared" si="0"/>
        <v>0.95763888888888882</v>
      </c>
    </row>
    <row r="88" spans="1:21" ht="15.75" customHeight="1">
      <c r="A88" s="11">
        <v>75</v>
      </c>
      <c r="B88" s="24" t="s">
        <v>169</v>
      </c>
      <c r="C88" s="25" t="s">
        <v>170</v>
      </c>
      <c r="D88" s="44">
        <f>PPS_class!BA86</f>
        <v>93.333333333333329</v>
      </c>
      <c r="E88" s="45">
        <f>Lab_B2!X46</f>
        <v>93.75</v>
      </c>
      <c r="F88" s="46">
        <f t="shared" si="0"/>
        <v>0.93541666666666656</v>
      </c>
    </row>
    <row r="89" spans="1:21" ht="15.75" customHeight="1">
      <c r="A89" s="11">
        <v>76</v>
      </c>
      <c r="B89" s="24" t="s">
        <v>171</v>
      </c>
      <c r="C89" s="25" t="s">
        <v>172</v>
      </c>
      <c r="D89" s="44">
        <f>PPS_class!BA87</f>
        <v>86.666666666666671</v>
      </c>
      <c r="E89" s="45">
        <f>Lab_B2!X47</f>
        <v>88.235294117647058</v>
      </c>
      <c r="F89" s="46">
        <f t="shared" si="0"/>
        <v>0.87450980392156863</v>
      </c>
    </row>
    <row r="90" spans="1:21" ht="15.75" customHeight="1">
      <c r="A90" s="11">
        <v>77</v>
      </c>
      <c r="B90" s="24" t="s">
        <v>173</v>
      </c>
      <c r="C90" s="25" t="s">
        <v>174</v>
      </c>
      <c r="D90" s="44">
        <f>PPS_class!BA88</f>
        <v>84.444444444444443</v>
      </c>
      <c r="E90" s="45">
        <f>Lab_B2!X48</f>
        <v>88.235294117647058</v>
      </c>
      <c r="F90" s="46">
        <f t="shared" si="0"/>
        <v>0.86339869281045756</v>
      </c>
    </row>
    <row r="91" spans="1:21" ht="15.75" customHeight="1">
      <c r="A91" s="11">
        <v>78</v>
      </c>
      <c r="B91" s="24" t="s">
        <v>175</v>
      </c>
      <c r="C91" s="25" t="s">
        <v>176</v>
      </c>
      <c r="D91" s="44">
        <f>PPS_class!BA89</f>
        <v>95.555555555555557</v>
      </c>
      <c r="E91" s="45">
        <f>Lab_B2!X49</f>
        <v>93.333333333333329</v>
      </c>
      <c r="F91" s="46">
        <f t="shared" si="0"/>
        <v>0.94444444444444442</v>
      </c>
    </row>
    <row r="92" spans="1:21" ht="15.75" customHeight="1">
      <c r="A92" s="11">
        <v>79</v>
      </c>
      <c r="B92" s="24" t="s">
        <v>177</v>
      </c>
      <c r="C92" s="25" t="s">
        <v>178</v>
      </c>
      <c r="D92" s="44">
        <f>PPS_class!BA90</f>
        <v>93.333333333333329</v>
      </c>
      <c r="E92" s="45">
        <f>Lab_B2!X50</f>
        <v>93.75</v>
      </c>
      <c r="F92" s="46">
        <f t="shared" si="0"/>
        <v>0.93541666666666656</v>
      </c>
    </row>
    <row r="93" spans="1:21" ht="15.75" customHeight="1">
      <c r="A93" s="2"/>
      <c r="B93" s="2"/>
      <c r="C93" s="28"/>
      <c r="D93" s="47"/>
      <c r="E93" s="2"/>
      <c r="F93" s="40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</row>
    <row r="94" spans="1:21" ht="15.75" customHeight="1">
      <c r="A94" s="2"/>
      <c r="B94" s="2"/>
      <c r="C94" s="28"/>
      <c r="D94" s="47"/>
      <c r="E94" s="2"/>
      <c r="F94" s="40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</row>
    <row r="95" spans="1:21" ht="15.75" customHeight="1">
      <c r="A95" s="2"/>
      <c r="B95" s="2"/>
      <c r="C95" s="28"/>
      <c r="D95" s="47"/>
      <c r="E95" s="2"/>
      <c r="F95" s="40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</row>
    <row r="96" spans="1:21" ht="15.75" customHeight="1">
      <c r="A96" s="2"/>
      <c r="B96" s="2"/>
      <c r="C96" s="28"/>
      <c r="D96" s="47"/>
      <c r="E96" s="2"/>
      <c r="F96" s="4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</row>
    <row r="97" spans="1:21" ht="15.75" customHeight="1">
      <c r="A97" s="2"/>
      <c r="B97" s="2"/>
      <c r="C97" s="28"/>
      <c r="D97" s="47"/>
      <c r="E97" s="2"/>
      <c r="F97" s="4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 spans="1:21" ht="15.75" customHeight="1">
      <c r="A98" s="2"/>
      <c r="B98" s="2"/>
      <c r="C98" s="28"/>
      <c r="D98" s="47"/>
      <c r="E98" s="2"/>
      <c r="F98" s="40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 spans="1:21" ht="15.75" customHeight="1">
      <c r="A99" s="2"/>
      <c r="B99" s="2"/>
      <c r="C99" s="28"/>
      <c r="D99" s="47"/>
      <c r="E99" s="2"/>
      <c r="F99" s="40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0" spans="1:21" ht="15.75" customHeight="1">
      <c r="A100" s="2"/>
      <c r="B100" s="2"/>
      <c r="C100" s="28"/>
      <c r="D100" s="47"/>
      <c r="E100" s="2"/>
      <c r="F100" s="40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</row>
    <row r="101" spans="1:21" ht="15.75" customHeight="1">
      <c r="D101" s="41"/>
      <c r="F101" s="40"/>
    </row>
    <row r="102" spans="1:21" ht="15.75" customHeight="1">
      <c r="D102" s="41"/>
      <c r="F102" s="40"/>
    </row>
    <row r="103" spans="1:21" ht="15.75" customHeight="1">
      <c r="D103" s="41"/>
      <c r="F103" s="40"/>
    </row>
    <row r="104" spans="1:21" ht="15.75" customHeight="1">
      <c r="D104" s="41"/>
      <c r="F104" s="40"/>
    </row>
    <row r="105" spans="1:21" ht="15.75" customHeight="1">
      <c r="D105" s="41"/>
      <c r="F105" s="40"/>
    </row>
    <row r="106" spans="1:21" ht="15.75" customHeight="1">
      <c r="D106" s="41"/>
      <c r="F106" s="40"/>
    </row>
    <row r="107" spans="1:21" ht="15.75" customHeight="1">
      <c r="D107" s="41"/>
      <c r="F107" s="40"/>
    </row>
    <row r="108" spans="1:21" ht="15.75" customHeight="1">
      <c r="D108" s="41"/>
      <c r="F108" s="40"/>
    </row>
    <row r="109" spans="1:21" ht="15.75" customHeight="1">
      <c r="D109" s="41"/>
      <c r="F109" s="40"/>
    </row>
    <row r="110" spans="1:21" ht="15.75" customHeight="1">
      <c r="D110" s="41"/>
      <c r="F110" s="40"/>
    </row>
    <row r="111" spans="1:21" ht="15.75" customHeight="1">
      <c r="D111" s="41"/>
      <c r="F111" s="40"/>
    </row>
    <row r="112" spans="1:21" ht="15.75" customHeight="1">
      <c r="D112" s="41"/>
      <c r="F112" s="40"/>
    </row>
    <row r="113" spans="4:6" ht="15.75" customHeight="1">
      <c r="D113" s="41"/>
      <c r="F113" s="40"/>
    </row>
    <row r="114" spans="4:6" ht="15.75" customHeight="1">
      <c r="D114" s="41"/>
      <c r="F114" s="40"/>
    </row>
    <row r="115" spans="4:6" ht="15.75" customHeight="1">
      <c r="D115" s="41"/>
      <c r="F115" s="40"/>
    </row>
    <row r="116" spans="4:6" ht="15.75" customHeight="1">
      <c r="D116" s="41"/>
      <c r="F116" s="40"/>
    </row>
    <row r="117" spans="4:6" ht="15.75" customHeight="1">
      <c r="D117" s="41"/>
      <c r="F117" s="40"/>
    </row>
    <row r="118" spans="4:6" ht="15.75" customHeight="1">
      <c r="D118" s="41"/>
      <c r="F118" s="40"/>
    </row>
    <row r="119" spans="4:6" ht="15.75" customHeight="1">
      <c r="D119" s="41"/>
      <c r="F119" s="40"/>
    </row>
    <row r="120" spans="4:6" ht="15.75" customHeight="1">
      <c r="D120" s="41"/>
      <c r="F120" s="40"/>
    </row>
    <row r="121" spans="4:6" ht="15.75" customHeight="1">
      <c r="D121" s="41"/>
      <c r="F121" s="40"/>
    </row>
    <row r="122" spans="4:6" ht="15.75" customHeight="1">
      <c r="D122" s="41"/>
      <c r="F122" s="40"/>
    </row>
    <row r="123" spans="4:6" ht="15.75" customHeight="1">
      <c r="D123" s="41"/>
      <c r="F123" s="40"/>
    </row>
    <row r="124" spans="4:6" ht="15.75" customHeight="1">
      <c r="D124" s="41"/>
      <c r="F124" s="40"/>
    </row>
    <row r="125" spans="4:6" ht="15.75" customHeight="1">
      <c r="D125" s="41"/>
      <c r="F125" s="40"/>
    </row>
    <row r="126" spans="4:6" ht="15.75" customHeight="1">
      <c r="D126" s="41"/>
      <c r="F126" s="40"/>
    </row>
    <row r="127" spans="4:6" ht="15.75" customHeight="1">
      <c r="D127" s="41"/>
      <c r="F127" s="40"/>
    </row>
    <row r="128" spans="4:6" ht="15.75" customHeight="1">
      <c r="D128" s="41"/>
      <c r="F128" s="40"/>
    </row>
    <row r="129" spans="4:6" ht="15.75" customHeight="1">
      <c r="D129" s="41"/>
      <c r="F129" s="40"/>
    </row>
    <row r="130" spans="4:6" ht="15.75" customHeight="1">
      <c r="D130" s="41"/>
      <c r="F130" s="40"/>
    </row>
    <row r="131" spans="4:6" ht="15.75" customHeight="1">
      <c r="D131" s="41"/>
      <c r="F131" s="40"/>
    </row>
    <row r="132" spans="4:6" ht="15.75" customHeight="1">
      <c r="D132" s="41"/>
      <c r="F132" s="40"/>
    </row>
    <row r="133" spans="4:6" ht="15.75" customHeight="1">
      <c r="D133" s="41"/>
      <c r="F133" s="40"/>
    </row>
    <row r="134" spans="4:6" ht="15.75" customHeight="1">
      <c r="D134" s="41"/>
      <c r="F134" s="40"/>
    </row>
    <row r="135" spans="4:6" ht="15.75" customHeight="1">
      <c r="D135" s="41"/>
      <c r="F135" s="40"/>
    </row>
    <row r="136" spans="4:6" ht="15.75" customHeight="1">
      <c r="D136" s="41"/>
      <c r="F136" s="40"/>
    </row>
    <row r="137" spans="4:6" ht="15.75" customHeight="1">
      <c r="D137" s="41"/>
      <c r="F137" s="40"/>
    </row>
    <row r="138" spans="4:6" ht="15.75" customHeight="1">
      <c r="D138" s="41"/>
      <c r="F138" s="40"/>
    </row>
    <row r="139" spans="4:6" ht="15.75" customHeight="1">
      <c r="D139" s="41"/>
      <c r="F139" s="40"/>
    </row>
    <row r="140" spans="4:6" ht="15.75" customHeight="1">
      <c r="D140" s="41"/>
      <c r="F140" s="40"/>
    </row>
    <row r="141" spans="4:6" ht="15.75" customHeight="1">
      <c r="D141" s="41"/>
      <c r="F141" s="40"/>
    </row>
    <row r="142" spans="4:6" ht="15.75" customHeight="1">
      <c r="D142" s="41"/>
      <c r="F142" s="40"/>
    </row>
    <row r="143" spans="4:6" ht="15.75" customHeight="1">
      <c r="D143" s="41"/>
      <c r="F143" s="40"/>
    </row>
    <row r="144" spans="4:6" ht="15.75" customHeight="1">
      <c r="D144" s="41"/>
      <c r="F144" s="40"/>
    </row>
    <row r="145" spans="4:6" ht="15.75" customHeight="1">
      <c r="D145" s="41"/>
      <c r="F145" s="40"/>
    </row>
    <row r="146" spans="4:6" ht="15.75" customHeight="1">
      <c r="D146" s="41"/>
      <c r="F146" s="40"/>
    </row>
    <row r="147" spans="4:6" ht="15.75" customHeight="1">
      <c r="D147" s="41"/>
      <c r="F147" s="40"/>
    </row>
    <row r="148" spans="4:6" ht="15.75" customHeight="1">
      <c r="D148" s="41"/>
      <c r="F148" s="40"/>
    </row>
    <row r="149" spans="4:6" ht="15.75" customHeight="1">
      <c r="D149" s="41"/>
      <c r="F149" s="40"/>
    </row>
    <row r="150" spans="4:6" ht="15.75" customHeight="1">
      <c r="D150" s="41"/>
      <c r="F150" s="40"/>
    </row>
    <row r="151" spans="4:6" ht="15.75" customHeight="1">
      <c r="D151" s="41"/>
      <c r="F151" s="40"/>
    </row>
    <row r="152" spans="4:6" ht="15.75" customHeight="1">
      <c r="D152" s="41"/>
      <c r="F152" s="40"/>
    </row>
    <row r="153" spans="4:6" ht="15.75" customHeight="1">
      <c r="D153" s="41"/>
      <c r="F153" s="40"/>
    </row>
    <row r="154" spans="4:6" ht="15.75" customHeight="1">
      <c r="D154" s="41"/>
      <c r="F154" s="40"/>
    </row>
    <row r="155" spans="4:6" ht="15.75" customHeight="1">
      <c r="D155" s="41"/>
      <c r="F155" s="40"/>
    </row>
    <row r="156" spans="4:6" ht="15.75" customHeight="1">
      <c r="D156" s="41"/>
      <c r="F156" s="40"/>
    </row>
    <row r="157" spans="4:6" ht="15.75" customHeight="1">
      <c r="D157" s="41"/>
      <c r="F157" s="40"/>
    </row>
    <row r="158" spans="4:6" ht="15.75" customHeight="1">
      <c r="D158" s="41"/>
      <c r="F158" s="40"/>
    </row>
    <row r="159" spans="4:6" ht="15.75" customHeight="1">
      <c r="D159" s="41"/>
      <c r="F159" s="40"/>
    </row>
    <row r="160" spans="4:6" ht="15.75" customHeight="1">
      <c r="D160" s="41"/>
      <c r="F160" s="40"/>
    </row>
    <row r="161" spans="4:6" ht="15.75" customHeight="1">
      <c r="D161" s="41"/>
      <c r="F161" s="40"/>
    </row>
    <row r="162" spans="4:6" ht="15.75" customHeight="1">
      <c r="D162" s="41"/>
      <c r="F162" s="40"/>
    </row>
    <row r="163" spans="4:6" ht="15.75" customHeight="1">
      <c r="D163" s="41"/>
      <c r="F163" s="40"/>
    </row>
    <row r="164" spans="4:6" ht="15.75" customHeight="1">
      <c r="D164" s="41"/>
      <c r="F164" s="40"/>
    </row>
    <row r="165" spans="4:6" ht="15.75" customHeight="1">
      <c r="D165" s="41"/>
      <c r="F165" s="40"/>
    </row>
    <row r="166" spans="4:6" ht="15.75" customHeight="1">
      <c r="D166" s="41"/>
      <c r="F166" s="40"/>
    </row>
    <row r="167" spans="4:6" ht="15.75" customHeight="1">
      <c r="D167" s="41"/>
      <c r="F167" s="40"/>
    </row>
    <row r="168" spans="4:6" ht="15.75" customHeight="1">
      <c r="D168" s="41"/>
      <c r="F168" s="40"/>
    </row>
    <row r="169" spans="4:6" ht="15.75" customHeight="1">
      <c r="D169" s="41"/>
      <c r="F169" s="40"/>
    </row>
    <row r="170" spans="4:6" ht="15.75" customHeight="1">
      <c r="D170" s="41"/>
      <c r="F170" s="40"/>
    </row>
    <row r="171" spans="4:6" ht="15.75" customHeight="1">
      <c r="D171" s="41"/>
      <c r="F171" s="40"/>
    </row>
    <row r="172" spans="4:6" ht="15.75" customHeight="1">
      <c r="D172" s="41"/>
      <c r="F172" s="40"/>
    </row>
    <row r="173" spans="4:6" ht="15.75" customHeight="1">
      <c r="D173" s="41"/>
      <c r="F173" s="40"/>
    </row>
    <row r="174" spans="4:6" ht="15.75" customHeight="1">
      <c r="D174" s="41"/>
      <c r="F174" s="40"/>
    </row>
    <row r="175" spans="4:6" ht="15.75" customHeight="1">
      <c r="D175" s="41"/>
      <c r="F175" s="40"/>
    </row>
    <row r="176" spans="4:6" ht="15.75" customHeight="1">
      <c r="D176" s="41"/>
      <c r="F176" s="40"/>
    </row>
    <row r="177" spans="4:6" ht="15.75" customHeight="1">
      <c r="D177" s="41"/>
      <c r="F177" s="40"/>
    </row>
    <row r="178" spans="4:6" ht="15.75" customHeight="1">
      <c r="D178" s="41"/>
      <c r="F178" s="40"/>
    </row>
    <row r="179" spans="4:6" ht="15.75" customHeight="1">
      <c r="D179" s="41"/>
      <c r="F179" s="40"/>
    </row>
    <row r="180" spans="4:6" ht="15.75" customHeight="1">
      <c r="D180" s="41"/>
      <c r="F180" s="40"/>
    </row>
    <row r="181" spans="4:6" ht="15.75" customHeight="1">
      <c r="D181" s="41"/>
      <c r="F181" s="40"/>
    </row>
    <row r="182" spans="4:6" ht="15.75" customHeight="1">
      <c r="D182" s="41"/>
      <c r="F182" s="40"/>
    </row>
    <row r="183" spans="4:6" ht="15.75" customHeight="1">
      <c r="D183" s="41"/>
      <c r="F183" s="40"/>
    </row>
    <row r="184" spans="4:6" ht="15.75" customHeight="1">
      <c r="D184" s="41"/>
      <c r="F184" s="40"/>
    </row>
    <row r="185" spans="4:6" ht="15.75" customHeight="1">
      <c r="D185" s="41"/>
      <c r="F185" s="40"/>
    </row>
    <row r="186" spans="4:6" ht="15.75" customHeight="1">
      <c r="D186" s="41"/>
      <c r="F186" s="40"/>
    </row>
    <row r="187" spans="4:6" ht="15.75" customHeight="1">
      <c r="D187" s="41"/>
      <c r="F187" s="40"/>
    </row>
    <row r="188" spans="4:6" ht="15.75" customHeight="1">
      <c r="D188" s="41"/>
      <c r="F188" s="40"/>
    </row>
    <row r="189" spans="4:6" ht="15.75" customHeight="1">
      <c r="D189" s="41"/>
      <c r="F189" s="40"/>
    </row>
    <row r="190" spans="4:6" ht="15.75" customHeight="1">
      <c r="D190" s="41"/>
      <c r="F190" s="40"/>
    </row>
    <row r="191" spans="4:6" ht="15.75" customHeight="1">
      <c r="D191" s="41"/>
      <c r="F191" s="40"/>
    </row>
    <row r="192" spans="4:6" ht="15.75" customHeight="1">
      <c r="D192" s="41"/>
      <c r="F192" s="40"/>
    </row>
    <row r="193" spans="4:6" ht="15.75" customHeight="1">
      <c r="D193" s="41"/>
      <c r="F193" s="40"/>
    </row>
    <row r="194" spans="4:6" ht="15.75" customHeight="1">
      <c r="D194" s="41"/>
      <c r="F194" s="40"/>
    </row>
    <row r="195" spans="4:6" ht="15.75" customHeight="1">
      <c r="D195" s="41"/>
      <c r="F195" s="40"/>
    </row>
    <row r="196" spans="4:6" ht="15.75" customHeight="1">
      <c r="D196" s="41"/>
      <c r="F196" s="40"/>
    </row>
    <row r="197" spans="4:6" ht="15.75" customHeight="1">
      <c r="D197" s="41"/>
      <c r="F197" s="40"/>
    </row>
    <row r="198" spans="4:6" ht="15.75" customHeight="1">
      <c r="D198" s="41"/>
      <c r="F198" s="40"/>
    </row>
    <row r="199" spans="4:6" ht="15.75" customHeight="1">
      <c r="D199" s="41"/>
      <c r="F199" s="40"/>
    </row>
    <row r="200" spans="4:6" ht="15.75" customHeight="1">
      <c r="D200" s="41"/>
      <c r="F200" s="40"/>
    </row>
    <row r="201" spans="4:6" ht="15.75" customHeight="1">
      <c r="D201" s="41"/>
      <c r="F201" s="40"/>
    </row>
    <row r="202" spans="4:6" ht="15.75" customHeight="1">
      <c r="D202" s="41"/>
      <c r="F202" s="40"/>
    </row>
    <row r="203" spans="4:6" ht="15.75" customHeight="1">
      <c r="D203" s="41"/>
      <c r="F203" s="40"/>
    </row>
    <row r="204" spans="4:6" ht="15.75" customHeight="1">
      <c r="D204" s="41"/>
      <c r="F204" s="40"/>
    </row>
    <row r="205" spans="4:6" ht="15.75" customHeight="1">
      <c r="D205" s="41"/>
      <c r="F205" s="40"/>
    </row>
    <row r="206" spans="4:6" ht="15.75" customHeight="1">
      <c r="D206" s="41"/>
      <c r="F206" s="40"/>
    </row>
    <row r="207" spans="4:6" ht="15.75" customHeight="1">
      <c r="D207" s="41"/>
      <c r="F207" s="40"/>
    </row>
    <row r="208" spans="4:6" ht="15.75" customHeight="1">
      <c r="D208" s="41"/>
      <c r="F208" s="40"/>
    </row>
    <row r="209" spans="4:6" ht="15.75" customHeight="1">
      <c r="D209" s="41"/>
      <c r="F209" s="40"/>
    </row>
    <row r="210" spans="4:6" ht="15.75" customHeight="1">
      <c r="D210" s="41"/>
      <c r="F210" s="40"/>
    </row>
    <row r="211" spans="4:6" ht="15.75" customHeight="1">
      <c r="D211" s="41"/>
      <c r="F211" s="40"/>
    </row>
    <row r="212" spans="4:6" ht="15.75" customHeight="1">
      <c r="D212" s="41"/>
      <c r="F212" s="40"/>
    </row>
    <row r="213" spans="4:6" ht="15.75" customHeight="1">
      <c r="D213" s="41"/>
      <c r="F213" s="40"/>
    </row>
    <row r="214" spans="4:6" ht="15.75" customHeight="1">
      <c r="D214" s="41"/>
      <c r="F214" s="40"/>
    </row>
    <row r="215" spans="4:6" ht="15.75" customHeight="1">
      <c r="D215" s="41"/>
      <c r="F215" s="40"/>
    </row>
    <row r="216" spans="4:6" ht="15.75" customHeight="1">
      <c r="D216" s="41"/>
      <c r="F216" s="40"/>
    </row>
    <row r="217" spans="4:6" ht="15.75" customHeight="1">
      <c r="D217" s="41"/>
      <c r="F217" s="40"/>
    </row>
    <row r="218" spans="4:6" ht="15.75" customHeight="1">
      <c r="D218" s="41"/>
      <c r="F218" s="40"/>
    </row>
    <row r="219" spans="4:6" ht="15.75" customHeight="1">
      <c r="D219" s="41"/>
      <c r="F219" s="40"/>
    </row>
    <row r="220" spans="4:6" ht="15.75" customHeight="1">
      <c r="D220" s="41"/>
      <c r="F220" s="40"/>
    </row>
    <row r="221" spans="4:6" ht="15.75" customHeight="1">
      <c r="D221" s="41"/>
      <c r="F221" s="40"/>
    </row>
    <row r="222" spans="4:6" ht="15.75" customHeight="1">
      <c r="D222" s="41"/>
      <c r="F222" s="40"/>
    </row>
    <row r="223" spans="4:6" ht="15.75" customHeight="1">
      <c r="D223" s="41"/>
      <c r="F223" s="40"/>
    </row>
    <row r="224" spans="4:6" ht="15.75" customHeight="1">
      <c r="D224" s="41"/>
      <c r="F224" s="40"/>
    </row>
    <row r="225" spans="4:6" ht="15.75" customHeight="1">
      <c r="D225" s="41"/>
      <c r="F225" s="40"/>
    </row>
    <row r="226" spans="4:6" ht="15.75" customHeight="1">
      <c r="D226" s="41"/>
      <c r="F226" s="40"/>
    </row>
    <row r="227" spans="4:6" ht="15.75" customHeight="1">
      <c r="D227" s="41"/>
      <c r="F227" s="40"/>
    </row>
    <row r="228" spans="4:6" ht="15.75" customHeight="1">
      <c r="D228" s="41"/>
      <c r="F228" s="40"/>
    </row>
    <row r="229" spans="4:6" ht="15.75" customHeight="1">
      <c r="D229" s="41"/>
      <c r="F229" s="40"/>
    </row>
    <row r="230" spans="4:6" ht="15.75" customHeight="1">
      <c r="D230" s="41"/>
      <c r="F230" s="40"/>
    </row>
    <row r="231" spans="4:6" ht="15.75" customHeight="1">
      <c r="D231" s="41"/>
      <c r="F231" s="40"/>
    </row>
    <row r="232" spans="4:6" ht="15.75" customHeight="1">
      <c r="D232" s="41"/>
      <c r="F232" s="40"/>
    </row>
    <row r="233" spans="4:6" ht="15.75" customHeight="1">
      <c r="D233" s="41"/>
      <c r="F233" s="40"/>
    </row>
    <row r="234" spans="4:6" ht="15.75" customHeight="1">
      <c r="D234" s="41"/>
      <c r="F234" s="40"/>
    </row>
    <row r="235" spans="4:6" ht="15.75" customHeight="1">
      <c r="D235" s="41"/>
      <c r="F235" s="40"/>
    </row>
    <row r="236" spans="4:6" ht="15.75" customHeight="1">
      <c r="D236" s="41"/>
      <c r="F236" s="40"/>
    </row>
    <row r="237" spans="4:6" ht="15.75" customHeight="1">
      <c r="D237" s="41"/>
      <c r="F237" s="40"/>
    </row>
    <row r="238" spans="4:6" ht="15.75" customHeight="1">
      <c r="D238" s="41"/>
      <c r="F238" s="40"/>
    </row>
    <row r="239" spans="4:6" ht="15.75" customHeight="1">
      <c r="D239" s="41"/>
      <c r="F239" s="40"/>
    </row>
    <row r="240" spans="4:6" ht="15.75" customHeight="1">
      <c r="D240" s="41"/>
      <c r="F240" s="40"/>
    </row>
    <row r="241" spans="4:6" ht="15.75" customHeight="1">
      <c r="D241" s="41"/>
      <c r="F241" s="40"/>
    </row>
    <row r="242" spans="4:6" ht="15.75" customHeight="1">
      <c r="D242" s="41"/>
      <c r="F242" s="40"/>
    </row>
    <row r="243" spans="4:6" ht="15.75" customHeight="1">
      <c r="D243" s="41"/>
      <c r="F243" s="40"/>
    </row>
    <row r="244" spans="4:6" ht="15.75" customHeight="1">
      <c r="D244" s="41"/>
      <c r="F244" s="40"/>
    </row>
    <row r="245" spans="4:6" ht="15.75" customHeight="1">
      <c r="D245" s="41"/>
      <c r="F245" s="40"/>
    </row>
    <row r="246" spans="4:6" ht="15.75" customHeight="1">
      <c r="D246" s="41"/>
      <c r="F246" s="40"/>
    </row>
    <row r="247" spans="4:6" ht="15.75" customHeight="1">
      <c r="D247" s="41"/>
      <c r="F247" s="40"/>
    </row>
    <row r="248" spans="4:6" ht="15.75" customHeight="1">
      <c r="D248" s="41"/>
      <c r="F248" s="40"/>
    </row>
    <row r="249" spans="4:6" ht="15.75" customHeight="1">
      <c r="D249" s="41"/>
      <c r="F249" s="40"/>
    </row>
    <row r="250" spans="4:6" ht="15.75" customHeight="1">
      <c r="D250" s="41"/>
      <c r="F250" s="40"/>
    </row>
    <row r="251" spans="4:6" ht="15.75" customHeight="1">
      <c r="D251" s="41"/>
      <c r="F251" s="40"/>
    </row>
    <row r="252" spans="4:6" ht="15.75" customHeight="1">
      <c r="D252" s="41"/>
      <c r="F252" s="40"/>
    </row>
    <row r="253" spans="4:6" ht="15.75" customHeight="1">
      <c r="D253" s="41"/>
      <c r="F253" s="40"/>
    </row>
    <row r="254" spans="4:6" ht="15.75" customHeight="1">
      <c r="D254" s="41"/>
      <c r="F254" s="40"/>
    </row>
    <row r="255" spans="4:6" ht="15.75" customHeight="1">
      <c r="D255" s="41"/>
      <c r="F255" s="40"/>
    </row>
    <row r="256" spans="4:6" ht="15.75" customHeight="1">
      <c r="D256" s="41"/>
      <c r="F256" s="40"/>
    </row>
    <row r="257" spans="4:6" ht="15.75" customHeight="1">
      <c r="D257" s="41"/>
      <c r="F257" s="40"/>
    </row>
    <row r="258" spans="4:6" ht="15.75" customHeight="1">
      <c r="D258" s="41"/>
      <c r="F258" s="40"/>
    </row>
    <row r="259" spans="4:6" ht="15.75" customHeight="1">
      <c r="D259" s="41"/>
      <c r="F259" s="40"/>
    </row>
    <row r="260" spans="4:6" ht="15.75" customHeight="1">
      <c r="D260" s="41"/>
      <c r="F260" s="40"/>
    </row>
    <row r="261" spans="4:6" ht="15.75" customHeight="1">
      <c r="D261" s="41"/>
      <c r="F261" s="40"/>
    </row>
    <row r="262" spans="4:6" ht="15.75" customHeight="1">
      <c r="D262" s="41"/>
      <c r="F262" s="40"/>
    </row>
    <row r="263" spans="4:6" ht="15.75" customHeight="1">
      <c r="D263" s="41"/>
      <c r="F263" s="40"/>
    </row>
    <row r="264" spans="4:6" ht="15.75" customHeight="1">
      <c r="D264" s="41"/>
      <c r="F264" s="40"/>
    </row>
    <row r="265" spans="4:6" ht="15.75" customHeight="1">
      <c r="D265" s="41"/>
      <c r="F265" s="40"/>
    </row>
    <row r="266" spans="4:6" ht="15.75" customHeight="1">
      <c r="D266" s="41"/>
      <c r="F266" s="40"/>
    </row>
    <row r="267" spans="4:6" ht="15.75" customHeight="1">
      <c r="D267" s="41"/>
      <c r="F267" s="40"/>
    </row>
    <row r="268" spans="4:6" ht="15.75" customHeight="1">
      <c r="D268" s="41"/>
      <c r="F268" s="40"/>
    </row>
    <row r="269" spans="4:6" ht="15.75" customHeight="1">
      <c r="D269" s="41"/>
      <c r="F269" s="40"/>
    </row>
    <row r="270" spans="4:6" ht="15.75" customHeight="1">
      <c r="D270" s="41"/>
      <c r="F270" s="40"/>
    </row>
    <row r="271" spans="4:6" ht="15.75" customHeight="1">
      <c r="D271" s="41"/>
      <c r="F271" s="40"/>
    </row>
    <row r="272" spans="4:6" ht="15.75" customHeight="1">
      <c r="D272" s="41"/>
      <c r="F272" s="40"/>
    </row>
    <row r="273" spans="4:6" ht="15.75" customHeight="1">
      <c r="D273" s="41"/>
      <c r="F273" s="40"/>
    </row>
    <row r="274" spans="4:6" ht="15.75" customHeight="1">
      <c r="D274" s="41"/>
      <c r="F274" s="40"/>
    </row>
    <row r="275" spans="4:6" ht="15.75" customHeight="1">
      <c r="D275" s="41"/>
      <c r="F275" s="40"/>
    </row>
    <row r="276" spans="4:6" ht="15.75" customHeight="1">
      <c r="D276" s="41"/>
      <c r="F276" s="40"/>
    </row>
    <row r="277" spans="4:6" ht="15.75" customHeight="1">
      <c r="D277" s="41"/>
      <c r="F277" s="40"/>
    </row>
    <row r="278" spans="4:6" ht="15.75" customHeight="1">
      <c r="D278" s="41"/>
      <c r="F278" s="40"/>
    </row>
    <row r="279" spans="4:6" ht="15.75" customHeight="1">
      <c r="D279" s="41"/>
      <c r="F279" s="40"/>
    </row>
    <row r="280" spans="4:6" ht="15.75" customHeight="1">
      <c r="D280" s="41"/>
      <c r="F280" s="40"/>
    </row>
    <row r="281" spans="4:6" ht="15.75" customHeight="1">
      <c r="D281" s="41"/>
      <c r="F281" s="40"/>
    </row>
    <row r="282" spans="4:6" ht="15.75" customHeight="1">
      <c r="D282" s="41"/>
      <c r="F282" s="40"/>
    </row>
    <row r="283" spans="4:6" ht="15.75" customHeight="1">
      <c r="D283" s="41"/>
      <c r="F283" s="40"/>
    </row>
    <row r="284" spans="4:6" ht="15.75" customHeight="1">
      <c r="D284" s="41"/>
      <c r="F284" s="40"/>
    </row>
    <row r="285" spans="4:6" ht="15.75" customHeight="1">
      <c r="D285" s="41"/>
      <c r="F285" s="40"/>
    </row>
    <row r="286" spans="4:6" ht="15.75" customHeight="1">
      <c r="D286" s="41"/>
      <c r="F286" s="40"/>
    </row>
    <row r="287" spans="4:6" ht="15.75" customHeight="1">
      <c r="D287" s="41"/>
      <c r="F287" s="40"/>
    </row>
    <row r="288" spans="4:6" ht="15.75" customHeight="1">
      <c r="D288" s="41"/>
      <c r="F288" s="40"/>
    </row>
    <row r="289" spans="4:6" ht="15.75" customHeight="1">
      <c r="D289" s="41"/>
      <c r="F289" s="40"/>
    </row>
    <row r="290" spans="4:6" ht="15.75" customHeight="1">
      <c r="D290" s="41"/>
      <c r="F290" s="40"/>
    </row>
    <row r="291" spans="4:6" ht="15.75" customHeight="1">
      <c r="D291" s="41"/>
      <c r="F291" s="40"/>
    </row>
    <row r="292" spans="4:6" ht="15.75" customHeight="1">
      <c r="D292" s="41"/>
      <c r="F292" s="40"/>
    </row>
    <row r="293" spans="4:6" ht="15.75" customHeight="1">
      <c r="D293" s="41"/>
      <c r="F293" s="40"/>
    </row>
    <row r="294" spans="4:6" ht="15.75" customHeight="1">
      <c r="D294" s="41"/>
      <c r="F294" s="40"/>
    </row>
    <row r="295" spans="4:6" ht="15.75" customHeight="1">
      <c r="D295" s="41"/>
      <c r="F295" s="40"/>
    </row>
    <row r="296" spans="4:6" ht="15.75" customHeight="1">
      <c r="D296" s="41"/>
      <c r="F296" s="40"/>
    </row>
    <row r="297" spans="4:6" ht="15.75" customHeight="1">
      <c r="D297" s="41"/>
      <c r="F297" s="40"/>
    </row>
    <row r="298" spans="4:6" ht="15.75" customHeight="1">
      <c r="D298" s="41"/>
      <c r="F298" s="40"/>
    </row>
    <row r="299" spans="4:6" ht="15.75" customHeight="1">
      <c r="D299" s="41"/>
      <c r="F299" s="40"/>
    </row>
    <row r="300" spans="4:6" ht="15.75" customHeight="1">
      <c r="D300" s="41"/>
      <c r="F300" s="40"/>
    </row>
    <row r="301" spans="4:6" ht="15.75" customHeight="1">
      <c r="D301" s="41"/>
      <c r="F301" s="40"/>
    </row>
    <row r="302" spans="4:6" ht="15.75" customHeight="1">
      <c r="D302" s="41"/>
      <c r="F302" s="40"/>
    </row>
    <row r="303" spans="4:6" ht="15.75" customHeight="1">
      <c r="D303" s="41"/>
      <c r="F303" s="40"/>
    </row>
    <row r="304" spans="4:6" ht="15.75" customHeight="1">
      <c r="D304" s="41"/>
      <c r="F304" s="40"/>
    </row>
    <row r="305" spans="4:6" ht="15.75" customHeight="1">
      <c r="D305" s="41"/>
      <c r="F305" s="40"/>
    </row>
    <row r="306" spans="4:6" ht="15.75" customHeight="1">
      <c r="D306" s="41"/>
      <c r="F306" s="40"/>
    </row>
    <row r="307" spans="4:6" ht="15.75" customHeight="1">
      <c r="D307" s="41"/>
      <c r="F307" s="40"/>
    </row>
    <row r="308" spans="4:6" ht="15.75" customHeight="1">
      <c r="D308" s="41"/>
      <c r="F308" s="40"/>
    </row>
    <row r="309" spans="4:6" ht="15.75" customHeight="1">
      <c r="D309" s="41"/>
      <c r="F309" s="40"/>
    </row>
    <row r="310" spans="4:6" ht="15.75" customHeight="1">
      <c r="D310" s="41"/>
      <c r="F310" s="40"/>
    </row>
    <row r="311" spans="4:6" ht="15.75" customHeight="1">
      <c r="D311" s="41"/>
      <c r="F311" s="40"/>
    </row>
    <row r="312" spans="4:6" ht="15.75" customHeight="1">
      <c r="D312" s="41"/>
      <c r="F312" s="40"/>
    </row>
    <row r="313" spans="4:6" ht="15.75" customHeight="1">
      <c r="D313" s="41"/>
      <c r="F313" s="40"/>
    </row>
    <row r="314" spans="4:6" ht="15.75" customHeight="1">
      <c r="D314" s="41"/>
      <c r="F314" s="40"/>
    </row>
    <row r="315" spans="4:6" ht="15.75" customHeight="1">
      <c r="D315" s="41"/>
      <c r="F315" s="40"/>
    </row>
    <row r="316" spans="4:6" ht="15.75" customHeight="1">
      <c r="D316" s="41"/>
      <c r="F316" s="40"/>
    </row>
    <row r="317" spans="4:6" ht="15.75" customHeight="1">
      <c r="D317" s="41"/>
      <c r="F317" s="40"/>
    </row>
    <row r="318" spans="4:6" ht="15.75" customHeight="1">
      <c r="D318" s="41"/>
      <c r="F318" s="40"/>
    </row>
    <row r="319" spans="4:6" ht="15.75" customHeight="1">
      <c r="D319" s="41"/>
      <c r="F319" s="40"/>
    </row>
    <row r="320" spans="4:6" ht="15.75" customHeight="1">
      <c r="D320" s="41"/>
      <c r="F320" s="40"/>
    </row>
    <row r="321" spans="4:6" ht="15.75" customHeight="1">
      <c r="D321" s="41"/>
      <c r="F321" s="40"/>
    </row>
    <row r="322" spans="4:6" ht="15.75" customHeight="1">
      <c r="D322" s="41"/>
      <c r="F322" s="40"/>
    </row>
    <row r="323" spans="4:6" ht="15.75" customHeight="1">
      <c r="D323" s="41"/>
      <c r="F323" s="40"/>
    </row>
    <row r="324" spans="4:6" ht="15.75" customHeight="1">
      <c r="D324" s="41"/>
      <c r="F324" s="40"/>
    </row>
    <row r="325" spans="4:6" ht="15.75" customHeight="1">
      <c r="D325" s="41"/>
      <c r="F325" s="40"/>
    </row>
    <row r="326" spans="4:6" ht="15.75" customHeight="1">
      <c r="D326" s="41"/>
      <c r="F326" s="40"/>
    </row>
    <row r="327" spans="4:6" ht="15.75" customHeight="1">
      <c r="D327" s="41"/>
      <c r="F327" s="40"/>
    </row>
    <row r="328" spans="4:6" ht="15.75" customHeight="1">
      <c r="D328" s="41"/>
      <c r="F328" s="40"/>
    </row>
    <row r="329" spans="4:6" ht="15.75" customHeight="1">
      <c r="D329" s="41"/>
      <c r="F329" s="40"/>
    </row>
    <row r="330" spans="4:6" ht="15.75" customHeight="1">
      <c r="D330" s="41"/>
      <c r="F330" s="40"/>
    </row>
    <row r="331" spans="4:6" ht="15.75" customHeight="1">
      <c r="D331" s="41"/>
      <c r="F331" s="40"/>
    </row>
    <row r="332" spans="4:6" ht="15.75" customHeight="1">
      <c r="D332" s="41"/>
      <c r="F332" s="40"/>
    </row>
    <row r="333" spans="4:6" ht="15.75" customHeight="1">
      <c r="D333" s="41"/>
      <c r="F333" s="40"/>
    </row>
    <row r="334" spans="4:6" ht="15.75" customHeight="1">
      <c r="D334" s="41"/>
      <c r="F334" s="40"/>
    </row>
    <row r="335" spans="4:6" ht="15.75" customHeight="1">
      <c r="D335" s="41"/>
      <c r="F335" s="40"/>
    </row>
    <row r="336" spans="4:6" ht="15.75" customHeight="1">
      <c r="D336" s="41"/>
      <c r="F336" s="40"/>
    </row>
    <row r="337" spans="4:6" ht="15.75" customHeight="1">
      <c r="D337" s="41"/>
      <c r="F337" s="40"/>
    </row>
    <row r="338" spans="4:6" ht="15.75" customHeight="1">
      <c r="D338" s="41"/>
      <c r="F338" s="40"/>
    </row>
    <row r="339" spans="4:6" ht="15.75" customHeight="1">
      <c r="D339" s="41"/>
      <c r="F339" s="40"/>
    </row>
    <row r="340" spans="4:6" ht="15.75" customHeight="1">
      <c r="D340" s="41"/>
      <c r="F340" s="40"/>
    </row>
    <row r="341" spans="4:6" ht="15.75" customHeight="1">
      <c r="D341" s="41"/>
      <c r="F341" s="40"/>
    </row>
    <row r="342" spans="4:6" ht="15.75" customHeight="1">
      <c r="D342" s="41"/>
      <c r="F342" s="40"/>
    </row>
    <row r="343" spans="4:6" ht="15.75" customHeight="1">
      <c r="D343" s="41"/>
      <c r="F343" s="40"/>
    </row>
    <row r="344" spans="4:6" ht="15.75" customHeight="1">
      <c r="D344" s="41"/>
      <c r="F344" s="40"/>
    </row>
    <row r="345" spans="4:6" ht="15.75" customHeight="1">
      <c r="D345" s="41"/>
      <c r="F345" s="40"/>
    </row>
    <row r="346" spans="4:6" ht="15.75" customHeight="1">
      <c r="D346" s="41"/>
      <c r="F346" s="40"/>
    </row>
    <row r="347" spans="4:6" ht="15.75" customHeight="1">
      <c r="D347" s="41"/>
      <c r="F347" s="40"/>
    </row>
    <row r="348" spans="4:6" ht="15.75" customHeight="1">
      <c r="D348" s="41"/>
      <c r="F348" s="40"/>
    </row>
    <row r="349" spans="4:6" ht="15.75" customHeight="1">
      <c r="D349" s="41"/>
      <c r="F349" s="40"/>
    </row>
    <row r="350" spans="4:6" ht="15.75" customHeight="1">
      <c r="D350" s="41"/>
      <c r="F350" s="40"/>
    </row>
    <row r="351" spans="4:6" ht="15.75" customHeight="1">
      <c r="D351" s="41"/>
      <c r="F351" s="40"/>
    </row>
    <row r="352" spans="4:6" ht="15.75" customHeight="1">
      <c r="D352" s="41"/>
      <c r="F352" s="40"/>
    </row>
    <row r="353" spans="4:6" ht="15.75" customHeight="1">
      <c r="D353" s="41"/>
      <c r="F353" s="40"/>
    </row>
    <row r="354" spans="4:6" ht="15.75" customHeight="1">
      <c r="D354" s="41"/>
      <c r="F354" s="40"/>
    </row>
    <row r="355" spans="4:6" ht="15.75" customHeight="1">
      <c r="D355" s="41"/>
      <c r="F355" s="40"/>
    </row>
    <row r="356" spans="4:6" ht="15.75" customHeight="1">
      <c r="D356" s="41"/>
      <c r="F356" s="40"/>
    </row>
    <row r="357" spans="4:6" ht="15.75" customHeight="1">
      <c r="D357" s="41"/>
      <c r="F357" s="40"/>
    </row>
    <row r="358" spans="4:6" ht="15.75" customHeight="1">
      <c r="D358" s="41"/>
      <c r="F358" s="40"/>
    </row>
    <row r="359" spans="4:6" ht="15.75" customHeight="1">
      <c r="D359" s="41"/>
      <c r="F359" s="40"/>
    </row>
    <row r="360" spans="4:6" ht="15.75" customHeight="1">
      <c r="D360" s="41"/>
      <c r="F360" s="40"/>
    </row>
    <row r="361" spans="4:6" ht="15.75" customHeight="1">
      <c r="D361" s="41"/>
      <c r="F361" s="40"/>
    </row>
    <row r="362" spans="4:6" ht="15.75" customHeight="1">
      <c r="D362" s="41"/>
      <c r="F362" s="40"/>
    </row>
    <row r="363" spans="4:6" ht="15.75" customHeight="1">
      <c r="D363" s="41"/>
      <c r="F363" s="40"/>
    </row>
    <row r="364" spans="4:6" ht="15.75" customHeight="1">
      <c r="D364" s="41"/>
      <c r="F364" s="40"/>
    </row>
    <row r="365" spans="4:6" ht="15.75" customHeight="1">
      <c r="D365" s="41"/>
      <c r="F365" s="40"/>
    </row>
    <row r="366" spans="4:6" ht="15.75" customHeight="1">
      <c r="D366" s="41"/>
      <c r="F366" s="40"/>
    </row>
    <row r="367" spans="4:6" ht="15.75" customHeight="1">
      <c r="D367" s="41"/>
      <c r="F367" s="40"/>
    </row>
    <row r="368" spans="4:6" ht="15.75" customHeight="1">
      <c r="D368" s="41"/>
      <c r="F368" s="40"/>
    </row>
    <row r="369" spans="4:6" ht="15.75" customHeight="1">
      <c r="D369" s="41"/>
      <c r="F369" s="40"/>
    </row>
    <row r="370" spans="4:6" ht="15.75" customHeight="1">
      <c r="D370" s="41"/>
      <c r="F370" s="40"/>
    </row>
    <row r="371" spans="4:6" ht="15.75" customHeight="1">
      <c r="D371" s="41"/>
      <c r="F371" s="40"/>
    </row>
    <row r="372" spans="4:6" ht="15.75" customHeight="1">
      <c r="D372" s="41"/>
      <c r="F372" s="40"/>
    </row>
    <row r="373" spans="4:6" ht="15.75" customHeight="1">
      <c r="D373" s="41"/>
      <c r="F373" s="40"/>
    </row>
    <row r="374" spans="4:6" ht="15.75" customHeight="1">
      <c r="D374" s="41"/>
      <c r="F374" s="40"/>
    </row>
    <row r="375" spans="4:6" ht="15.75" customHeight="1">
      <c r="D375" s="41"/>
      <c r="F375" s="40"/>
    </row>
    <row r="376" spans="4:6" ht="15.75" customHeight="1">
      <c r="D376" s="41"/>
      <c r="F376" s="40"/>
    </row>
    <row r="377" spans="4:6" ht="15.75" customHeight="1">
      <c r="D377" s="41"/>
      <c r="F377" s="40"/>
    </row>
    <row r="378" spans="4:6" ht="15.75" customHeight="1">
      <c r="D378" s="41"/>
      <c r="F378" s="40"/>
    </row>
    <row r="379" spans="4:6" ht="15.75" customHeight="1">
      <c r="D379" s="41"/>
      <c r="F379" s="40"/>
    </row>
    <row r="380" spans="4:6" ht="15.75" customHeight="1">
      <c r="D380" s="41"/>
      <c r="F380" s="40"/>
    </row>
    <row r="381" spans="4:6" ht="15.75" customHeight="1">
      <c r="D381" s="41"/>
      <c r="F381" s="40"/>
    </row>
    <row r="382" spans="4:6" ht="15.75" customHeight="1">
      <c r="D382" s="41"/>
      <c r="F382" s="40"/>
    </row>
    <row r="383" spans="4:6" ht="15.75" customHeight="1">
      <c r="D383" s="41"/>
      <c r="F383" s="40"/>
    </row>
    <row r="384" spans="4:6" ht="15.75" customHeight="1">
      <c r="D384" s="41"/>
      <c r="F384" s="40"/>
    </row>
    <row r="385" spans="4:6" ht="15.75" customHeight="1">
      <c r="D385" s="41"/>
      <c r="F385" s="40"/>
    </row>
    <row r="386" spans="4:6" ht="15.75" customHeight="1">
      <c r="D386" s="41"/>
      <c r="F386" s="40"/>
    </row>
    <row r="387" spans="4:6" ht="15.75" customHeight="1">
      <c r="D387" s="41"/>
      <c r="F387" s="40"/>
    </row>
    <row r="388" spans="4:6" ht="15.75" customHeight="1">
      <c r="D388" s="41"/>
      <c r="F388" s="40"/>
    </row>
    <row r="389" spans="4:6" ht="15.75" customHeight="1">
      <c r="D389" s="41"/>
      <c r="F389" s="40"/>
    </row>
    <row r="390" spans="4:6" ht="15.75" customHeight="1">
      <c r="D390" s="41"/>
      <c r="F390" s="40"/>
    </row>
    <row r="391" spans="4:6" ht="15.75" customHeight="1">
      <c r="D391" s="41"/>
      <c r="F391" s="40"/>
    </row>
    <row r="392" spans="4:6" ht="15.75" customHeight="1">
      <c r="D392" s="41"/>
      <c r="F392" s="40"/>
    </row>
    <row r="393" spans="4:6" ht="15.75" customHeight="1">
      <c r="D393" s="41"/>
      <c r="F393" s="40"/>
    </row>
    <row r="394" spans="4:6" ht="15.75" customHeight="1">
      <c r="D394" s="41"/>
      <c r="F394" s="40"/>
    </row>
    <row r="395" spans="4:6" ht="15.75" customHeight="1">
      <c r="D395" s="41"/>
      <c r="F395" s="40"/>
    </row>
    <row r="396" spans="4:6" ht="15.75" customHeight="1">
      <c r="D396" s="41"/>
      <c r="F396" s="40"/>
    </row>
    <row r="397" spans="4:6" ht="15.75" customHeight="1">
      <c r="D397" s="41"/>
      <c r="F397" s="40"/>
    </row>
    <row r="398" spans="4:6" ht="15.75" customHeight="1">
      <c r="D398" s="41"/>
      <c r="F398" s="40"/>
    </row>
    <row r="399" spans="4:6" ht="15.75" customHeight="1">
      <c r="D399" s="41"/>
      <c r="F399" s="40"/>
    </row>
    <row r="400" spans="4:6" ht="15.75" customHeight="1">
      <c r="D400" s="41"/>
      <c r="F400" s="40"/>
    </row>
    <row r="401" spans="4:6" ht="15.75" customHeight="1">
      <c r="D401" s="41"/>
      <c r="F401" s="40"/>
    </row>
    <row r="402" spans="4:6" ht="15.75" customHeight="1">
      <c r="D402" s="41"/>
      <c r="F402" s="40"/>
    </row>
    <row r="403" spans="4:6" ht="15.75" customHeight="1">
      <c r="D403" s="41"/>
      <c r="F403" s="40"/>
    </row>
    <row r="404" spans="4:6" ht="15.75" customHeight="1">
      <c r="D404" s="41"/>
      <c r="F404" s="40"/>
    </row>
    <row r="405" spans="4:6" ht="15.75" customHeight="1">
      <c r="D405" s="41"/>
      <c r="F405" s="40"/>
    </row>
    <row r="406" spans="4:6" ht="15.75" customHeight="1">
      <c r="D406" s="41"/>
      <c r="F406" s="40"/>
    </row>
    <row r="407" spans="4:6" ht="15.75" customHeight="1">
      <c r="D407" s="41"/>
      <c r="F407" s="40"/>
    </row>
    <row r="408" spans="4:6" ht="15.75" customHeight="1">
      <c r="D408" s="41"/>
      <c r="F408" s="40"/>
    </row>
    <row r="409" spans="4:6" ht="15.75" customHeight="1">
      <c r="D409" s="41"/>
      <c r="F409" s="40"/>
    </row>
    <row r="410" spans="4:6" ht="15.75" customHeight="1">
      <c r="D410" s="41"/>
      <c r="F410" s="40"/>
    </row>
    <row r="411" spans="4:6" ht="15.75" customHeight="1">
      <c r="D411" s="41"/>
      <c r="F411" s="40"/>
    </row>
    <row r="412" spans="4:6" ht="15.75" customHeight="1">
      <c r="D412" s="41"/>
      <c r="F412" s="40"/>
    </row>
    <row r="413" spans="4:6" ht="15.75" customHeight="1">
      <c r="D413" s="41"/>
      <c r="F413" s="40"/>
    </row>
    <row r="414" spans="4:6" ht="15.75" customHeight="1">
      <c r="D414" s="41"/>
      <c r="F414" s="40"/>
    </row>
    <row r="415" spans="4:6" ht="15.75" customHeight="1">
      <c r="D415" s="41"/>
      <c r="F415" s="40"/>
    </row>
    <row r="416" spans="4:6" ht="15.75" customHeight="1">
      <c r="D416" s="41"/>
      <c r="F416" s="40"/>
    </row>
    <row r="417" spans="4:6" ht="15.75" customHeight="1">
      <c r="D417" s="41"/>
      <c r="F417" s="40"/>
    </row>
    <row r="418" spans="4:6" ht="15.75" customHeight="1">
      <c r="D418" s="41"/>
      <c r="F418" s="40"/>
    </row>
    <row r="419" spans="4:6" ht="15.75" customHeight="1">
      <c r="D419" s="41"/>
      <c r="F419" s="40"/>
    </row>
    <row r="420" spans="4:6" ht="15.75" customHeight="1">
      <c r="D420" s="41"/>
      <c r="F420" s="40"/>
    </row>
    <row r="421" spans="4:6" ht="15.75" customHeight="1">
      <c r="D421" s="41"/>
      <c r="F421" s="40"/>
    </row>
    <row r="422" spans="4:6" ht="15.75" customHeight="1">
      <c r="D422" s="41"/>
      <c r="F422" s="40"/>
    </row>
    <row r="423" spans="4:6" ht="15.75" customHeight="1">
      <c r="D423" s="41"/>
      <c r="F423" s="40"/>
    </row>
    <row r="424" spans="4:6" ht="15.75" customHeight="1">
      <c r="D424" s="41"/>
      <c r="F424" s="40"/>
    </row>
    <row r="425" spans="4:6" ht="15.75" customHeight="1">
      <c r="D425" s="41"/>
      <c r="F425" s="40"/>
    </row>
    <row r="426" spans="4:6" ht="15.75" customHeight="1">
      <c r="D426" s="41"/>
      <c r="F426" s="40"/>
    </row>
    <row r="427" spans="4:6" ht="15.75" customHeight="1">
      <c r="D427" s="41"/>
      <c r="F427" s="40"/>
    </row>
    <row r="428" spans="4:6" ht="15.75" customHeight="1">
      <c r="D428" s="41"/>
      <c r="F428" s="40"/>
    </row>
    <row r="429" spans="4:6" ht="15.75" customHeight="1">
      <c r="D429" s="41"/>
      <c r="F429" s="40"/>
    </row>
    <row r="430" spans="4:6" ht="15.75" customHeight="1">
      <c r="D430" s="41"/>
      <c r="F430" s="40"/>
    </row>
    <row r="431" spans="4:6" ht="15.75" customHeight="1">
      <c r="D431" s="41"/>
      <c r="F431" s="40"/>
    </row>
    <row r="432" spans="4:6" ht="15.75" customHeight="1">
      <c r="D432" s="41"/>
      <c r="F432" s="40"/>
    </row>
    <row r="433" spans="4:6" ht="15.75" customHeight="1">
      <c r="D433" s="41"/>
      <c r="F433" s="40"/>
    </row>
    <row r="434" spans="4:6" ht="15.75" customHeight="1">
      <c r="D434" s="41"/>
      <c r="F434" s="40"/>
    </row>
    <row r="435" spans="4:6" ht="15.75" customHeight="1">
      <c r="D435" s="41"/>
      <c r="F435" s="40"/>
    </row>
    <row r="436" spans="4:6" ht="15.75" customHeight="1">
      <c r="D436" s="41"/>
      <c r="F436" s="40"/>
    </row>
    <row r="437" spans="4:6" ht="15.75" customHeight="1">
      <c r="D437" s="41"/>
      <c r="F437" s="40"/>
    </row>
    <row r="438" spans="4:6" ht="15.75" customHeight="1">
      <c r="D438" s="41"/>
      <c r="F438" s="40"/>
    </row>
    <row r="439" spans="4:6" ht="15.75" customHeight="1">
      <c r="D439" s="41"/>
      <c r="F439" s="40"/>
    </row>
    <row r="440" spans="4:6" ht="15.75" customHeight="1">
      <c r="D440" s="41"/>
      <c r="F440" s="40"/>
    </row>
    <row r="441" spans="4:6" ht="15.75" customHeight="1">
      <c r="D441" s="41"/>
      <c r="F441" s="40"/>
    </row>
    <row r="442" spans="4:6" ht="15.75" customHeight="1">
      <c r="D442" s="41"/>
      <c r="F442" s="40"/>
    </row>
    <row r="443" spans="4:6" ht="15.75" customHeight="1">
      <c r="D443" s="41"/>
      <c r="F443" s="40"/>
    </row>
    <row r="444" spans="4:6" ht="15.75" customHeight="1">
      <c r="D444" s="41"/>
      <c r="F444" s="40"/>
    </row>
    <row r="445" spans="4:6" ht="15.75" customHeight="1">
      <c r="D445" s="41"/>
      <c r="F445" s="40"/>
    </row>
    <row r="446" spans="4:6" ht="15.75" customHeight="1">
      <c r="D446" s="41"/>
      <c r="F446" s="40"/>
    </row>
    <row r="447" spans="4:6" ht="15.75" customHeight="1">
      <c r="D447" s="41"/>
      <c r="F447" s="40"/>
    </row>
    <row r="448" spans="4:6" ht="15.75" customHeight="1">
      <c r="D448" s="41"/>
      <c r="F448" s="40"/>
    </row>
    <row r="449" spans="4:6" ht="15.75" customHeight="1">
      <c r="D449" s="41"/>
      <c r="F449" s="40"/>
    </row>
    <row r="450" spans="4:6" ht="15.75" customHeight="1">
      <c r="D450" s="41"/>
      <c r="F450" s="40"/>
    </row>
    <row r="451" spans="4:6" ht="15.75" customHeight="1">
      <c r="D451" s="41"/>
      <c r="F451" s="40"/>
    </row>
    <row r="452" spans="4:6" ht="15.75" customHeight="1">
      <c r="D452" s="41"/>
      <c r="F452" s="40"/>
    </row>
    <row r="453" spans="4:6" ht="15.75" customHeight="1">
      <c r="D453" s="41"/>
      <c r="F453" s="40"/>
    </row>
    <row r="454" spans="4:6" ht="15.75" customHeight="1">
      <c r="D454" s="41"/>
      <c r="F454" s="40"/>
    </row>
    <row r="455" spans="4:6" ht="15.75" customHeight="1">
      <c r="D455" s="41"/>
      <c r="F455" s="40"/>
    </row>
    <row r="456" spans="4:6" ht="15.75" customHeight="1">
      <c r="D456" s="41"/>
      <c r="F456" s="40"/>
    </row>
    <row r="457" spans="4:6" ht="15.75" customHeight="1">
      <c r="D457" s="41"/>
      <c r="F457" s="40"/>
    </row>
    <row r="458" spans="4:6" ht="15.75" customHeight="1">
      <c r="D458" s="41"/>
      <c r="F458" s="40"/>
    </row>
    <row r="459" spans="4:6" ht="15.75" customHeight="1">
      <c r="D459" s="41"/>
      <c r="F459" s="40"/>
    </row>
    <row r="460" spans="4:6" ht="15.75" customHeight="1">
      <c r="D460" s="41"/>
      <c r="F460" s="40"/>
    </row>
    <row r="461" spans="4:6" ht="15.75" customHeight="1">
      <c r="D461" s="41"/>
      <c r="F461" s="40"/>
    </row>
    <row r="462" spans="4:6" ht="15.75" customHeight="1">
      <c r="D462" s="41"/>
      <c r="F462" s="40"/>
    </row>
    <row r="463" spans="4:6" ht="15.75" customHeight="1">
      <c r="D463" s="41"/>
      <c r="F463" s="40"/>
    </row>
    <row r="464" spans="4:6" ht="15.75" customHeight="1">
      <c r="D464" s="41"/>
      <c r="F464" s="40"/>
    </row>
    <row r="465" spans="4:6" ht="15.75" customHeight="1">
      <c r="D465" s="41"/>
      <c r="F465" s="40"/>
    </row>
    <row r="466" spans="4:6" ht="15.75" customHeight="1">
      <c r="D466" s="41"/>
      <c r="F466" s="40"/>
    </row>
    <row r="467" spans="4:6" ht="15.75" customHeight="1">
      <c r="D467" s="41"/>
      <c r="F467" s="40"/>
    </row>
    <row r="468" spans="4:6" ht="15.75" customHeight="1">
      <c r="D468" s="41"/>
      <c r="F468" s="40"/>
    </row>
    <row r="469" spans="4:6" ht="15.75" customHeight="1">
      <c r="D469" s="41"/>
      <c r="F469" s="40"/>
    </row>
    <row r="470" spans="4:6" ht="15.75" customHeight="1">
      <c r="D470" s="41"/>
      <c r="F470" s="40"/>
    </row>
    <row r="471" spans="4:6" ht="15.75" customHeight="1">
      <c r="D471" s="41"/>
      <c r="F471" s="40"/>
    </row>
    <row r="472" spans="4:6" ht="15.75" customHeight="1">
      <c r="D472" s="41"/>
      <c r="F472" s="40"/>
    </row>
    <row r="473" spans="4:6" ht="15.75" customHeight="1">
      <c r="D473" s="41"/>
      <c r="F473" s="40"/>
    </row>
    <row r="474" spans="4:6" ht="15.75" customHeight="1">
      <c r="D474" s="41"/>
      <c r="F474" s="40"/>
    </row>
    <row r="475" spans="4:6" ht="15.75" customHeight="1">
      <c r="D475" s="41"/>
      <c r="F475" s="40"/>
    </row>
    <row r="476" spans="4:6" ht="15.75" customHeight="1">
      <c r="D476" s="41"/>
      <c r="F476" s="40"/>
    </row>
    <row r="477" spans="4:6" ht="15.75" customHeight="1">
      <c r="D477" s="41"/>
      <c r="F477" s="40"/>
    </row>
    <row r="478" spans="4:6" ht="15.75" customHeight="1">
      <c r="D478" s="41"/>
      <c r="F478" s="40"/>
    </row>
    <row r="479" spans="4:6" ht="15.75" customHeight="1">
      <c r="D479" s="41"/>
      <c r="F479" s="40"/>
    </row>
    <row r="480" spans="4:6" ht="15.75" customHeight="1">
      <c r="D480" s="41"/>
      <c r="F480" s="40"/>
    </row>
    <row r="481" spans="4:6" ht="15.75" customHeight="1">
      <c r="D481" s="41"/>
      <c r="F481" s="40"/>
    </row>
    <row r="482" spans="4:6" ht="15.75" customHeight="1">
      <c r="D482" s="41"/>
      <c r="F482" s="40"/>
    </row>
    <row r="483" spans="4:6" ht="15.75" customHeight="1">
      <c r="D483" s="41"/>
      <c r="F483" s="40"/>
    </row>
    <row r="484" spans="4:6" ht="15.75" customHeight="1">
      <c r="D484" s="41"/>
      <c r="F484" s="40"/>
    </row>
    <row r="485" spans="4:6" ht="15.75" customHeight="1">
      <c r="D485" s="41"/>
      <c r="F485" s="40"/>
    </row>
    <row r="486" spans="4:6" ht="15.75" customHeight="1">
      <c r="D486" s="41"/>
      <c r="F486" s="40"/>
    </row>
    <row r="487" spans="4:6" ht="15.75" customHeight="1">
      <c r="D487" s="41"/>
      <c r="F487" s="40"/>
    </row>
    <row r="488" spans="4:6" ht="15.75" customHeight="1">
      <c r="D488" s="41"/>
      <c r="F488" s="40"/>
    </row>
    <row r="489" spans="4:6" ht="15.75" customHeight="1">
      <c r="D489" s="41"/>
      <c r="F489" s="40"/>
    </row>
    <row r="490" spans="4:6" ht="15.75" customHeight="1">
      <c r="D490" s="41"/>
      <c r="F490" s="40"/>
    </row>
    <row r="491" spans="4:6" ht="15.75" customHeight="1">
      <c r="D491" s="41"/>
      <c r="F491" s="40"/>
    </row>
    <row r="492" spans="4:6" ht="15.75" customHeight="1">
      <c r="D492" s="41"/>
      <c r="F492" s="40"/>
    </row>
    <row r="493" spans="4:6" ht="15.75" customHeight="1">
      <c r="D493" s="41"/>
      <c r="F493" s="40"/>
    </row>
    <row r="494" spans="4:6" ht="15.75" customHeight="1">
      <c r="D494" s="41"/>
      <c r="F494" s="40"/>
    </row>
    <row r="495" spans="4:6" ht="15.75" customHeight="1">
      <c r="D495" s="41"/>
      <c r="F495" s="40"/>
    </row>
    <row r="496" spans="4:6" ht="15.75" customHeight="1">
      <c r="D496" s="41"/>
      <c r="F496" s="40"/>
    </row>
    <row r="497" spans="4:6" ht="15.75" customHeight="1">
      <c r="D497" s="41"/>
      <c r="F497" s="40"/>
    </row>
    <row r="498" spans="4:6" ht="15.75" customHeight="1">
      <c r="D498" s="41"/>
      <c r="F498" s="40"/>
    </row>
    <row r="499" spans="4:6" ht="15.75" customHeight="1">
      <c r="D499" s="41"/>
      <c r="F499" s="40"/>
    </row>
    <row r="500" spans="4:6" ht="15.75" customHeight="1">
      <c r="D500" s="41"/>
      <c r="F500" s="40"/>
    </row>
    <row r="501" spans="4:6" ht="15.75" customHeight="1">
      <c r="D501" s="41"/>
      <c r="F501" s="40"/>
    </row>
    <row r="502" spans="4:6" ht="15.75" customHeight="1">
      <c r="D502" s="41"/>
      <c r="F502" s="40"/>
    </row>
    <row r="503" spans="4:6" ht="15.75" customHeight="1">
      <c r="D503" s="41"/>
      <c r="F503" s="40"/>
    </row>
    <row r="504" spans="4:6" ht="15.75" customHeight="1">
      <c r="D504" s="41"/>
      <c r="F504" s="40"/>
    </row>
    <row r="505" spans="4:6" ht="15.75" customHeight="1">
      <c r="D505" s="41"/>
      <c r="F505" s="40"/>
    </row>
    <row r="506" spans="4:6" ht="15.75" customHeight="1">
      <c r="D506" s="41"/>
      <c r="F506" s="40"/>
    </row>
    <row r="507" spans="4:6" ht="15.75" customHeight="1">
      <c r="D507" s="41"/>
      <c r="F507" s="40"/>
    </row>
    <row r="508" spans="4:6" ht="15.75" customHeight="1">
      <c r="D508" s="41"/>
      <c r="F508" s="40"/>
    </row>
    <row r="509" spans="4:6" ht="15.75" customHeight="1">
      <c r="D509" s="41"/>
      <c r="F509" s="40"/>
    </row>
    <row r="510" spans="4:6" ht="15.75" customHeight="1">
      <c r="D510" s="41"/>
      <c r="F510" s="40"/>
    </row>
    <row r="511" spans="4:6" ht="15.75" customHeight="1">
      <c r="D511" s="41"/>
      <c r="F511" s="40"/>
    </row>
    <row r="512" spans="4:6" ht="15.75" customHeight="1">
      <c r="D512" s="41"/>
      <c r="F512" s="40"/>
    </row>
    <row r="513" spans="4:6" ht="15.75" customHeight="1">
      <c r="D513" s="41"/>
      <c r="F513" s="40"/>
    </row>
    <row r="514" spans="4:6" ht="15.75" customHeight="1">
      <c r="D514" s="41"/>
      <c r="F514" s="40"/>
    </row>
    <row r="515" spans="4:6" ht="15.75" customHeight="1">
      <c r="D515" s="41"/>
      <c r="F515" s="40"/>
    </row>
    <row r="516" spans="4:6" ht="15.75" customHeight="1">
      <c r="D516" s="41"/>
      <c r="F516" s="40"/>
    </row>
    <row r="517" spans="4:6" ht="15.75" customHeight="1">
      <c r="D517" s="41"/>
      <c r="F517" s="40"/>
    </row>
    <row r="518" spans="4:6" ht="15.75" customHeight="1">
      <c r="D518" s="41"/>
      <c r="F518" s="40"/>
    </row>
    <row r="519" spans="4:6" ht="15.75" customHeight="1">
      <c r="D519" s="41"/>
      <c r="F519" s="40"/>
    </row>
    <row r="520" spans="4:6" ht="15.75" customHeight="1">
      <c r="D520" s="41"/>
      <c r="F520" s="40"/>
    </row>
    <row r="521" spans="4:6" ht="15.75" customHeight="1">
      <c r="D521" s="41"/>
      <c r="F521" s="40"/>
    </row>
    <row r="522" spans="4:6" ht="15.75" customHeight="1">
      <c r="D522" s="41"/>
      <c r="F522" s="40"/>
    </row>
    <row r="523" spans="4:6" ht="15.75" customHeight="1">
      <c r="D523" s="41"/>
      <c r="F523" s="40"/>
    </row>
    <row r="524" spans="4:6" ht="15.75" customHeight="1">
      <c r="D524" s="41"/>
      <c r="F524" s="40"/>
    </row>
    <row r="525" spans="4:6" ht="15.75" customHeight="1">
      <c r="D525" s="41"/>
      <c r="F525" s="40"/>
    </row>
    <row r="526" spans="4:6" ht="15.75" customHeight="1">
      <c r="D526" s="41"/>
      <c r="F526" s="40"/>
    </row>
    <row r="527" spans="4:6" ht="15.75" customHeight="1">
      <c r="D527" s="41"/>
      <c r="F527" s="40"/>
    </row>
    <row r="528" spans="4:6" ht="15.75" customHeight="1">
      <c r="D528" s="41"/>
      <c r="F528" s="40"/>
    </row>
    <row r="529" spans="4:6" ht="15.75" customHeight="1">
      <c r="D529" s="41"/>
      <c r="F529" s="40"/>
    </row>
    <row r="530" spans="4:6" ht="15.75" customHeight="1">
      <c r="D530" s="41"/>
      <c r="F530" s="40"/>
    </row>
    <row r="531" spans="4:6" ht="15.75" customHeight="1">
      <c r="D531" s="41"/>
      <c r="F531" s="40"/>
    </row>
    <row r="532" spans="4:6" ht="15.75" customHeight="1">
      <c r="D532" s="41"/>
      <c r="F532" s="40"/>
    </row>
    <row r="533" spans="4:6" ht="15.75" customHeight="1">
      <c r="D533" s="41"/>
      <c r="F533" s="40"/>
    </row>
    <row r="534" spans="4:6" ht="15.75" customHeight="1">
      <c r="D534" s="41"/>
      <c r="F534" s="40"/>
    </row>
    <row r="535" spans="4:6" ht="15.75" customHeight="1">
      <c r="D535" s="41"/>
      <c r="F535" s="40"/>
    </row>
    <row r="536" spans="4:6" ht="15.75" customHeight="1">
      <c r="D536" s="41"/>
      <c r="F536" s="40"/>
    </row>
    <row r="537" spans="4:6" ht="15.75" customHeight="1">
      <c r="D537" s="41"/>
      <c r="F537" s="40"/>
    </row>
    <row r="538" spans="4:6" ht="15.75" customHeight="1">
      <c r="D538" s="41"/>
      <c r="F538" s="40"/>
    </row>
    <row r="539" spans="4:6" ht="15.75" customHeight="1">
      <c r="D539" s="41"/>
      <c r="F539" s="40"/>
    </row>
    <row r="540" spans="4:6" ht="15.75" customHeight="1">
      <c r="D540" s="41"/>
      <c r="F540" s="40"/>
    </row>
    <row r="541" spans="4:6" ht="15.75" customHeight="1">
      <c r="D541" s="41"/>
      <c r="F541" s="40"/>
    </row>
    <row r="542" spans="4:6" ht="15.75" customHeight="1">
      <c r="D542" s="41"/>
      <c r="F542" s="40"/>
    </row>
    <row r="543" spans="4:6" ht="15.75" customHeight="1">
      <c r="D543" s="41"/>
      <c r="F543" s="40"/>
    </row>
    <row r="544" spans="4:6" ht="15.75" customHeight="1">
      <c r="D544" s="41"/>
      <c r="F544" s="40"/>
    </row>
    <row r="545" spans="4:6" ht="15.75" customHeight="1">
      <c r="D545" s="41"/>
      <c r="F545" s="40"/>
    </row>
    <row r="546" spans="4:6" ht="15.75" customHeight="1">
      <c r="D546" s="41"/>
      <c r="F546" s="40"/>
    </row>
    <row r="547" spans="4:6" ht="15.75" customHeight="1">
      <c r="D547" s="41"/>
      <c r="F547" s="40"/>
    </row>
    <row r="548" spans="4:6" ht="15.75" customHeight="1">
      <c r="D548" s="41"/>
      <c r="F548" s="40"/>
    </row>
    <row r="549" spans="4:6" ht="15.75" customHeight="1">
      <c r="D549" s="41"/>
      <c r="F549" s="40"/>
    </row>
    <row r="550" spans="4:6" ht="15.75" customHeight="1">
      <c r="D550" s="41"/>
      <c r="F550" s="40"/>
    </row>
    <row r="551" spans="4:6" ht="15.75" customHeight="1">
      <c r="D551" s="41"/>
      <c r="F551" s="40"/>
    </row>
    <row r="552" spans="4:6" ht="15.75" customHeight="1">
      <c r="D552" s="41"/>
      <c r="F552" s="40"/>
    </row>
    <row r="553" spans="4:6" ht="15.75" customHeight="1">
      <c r="D553" s="41"/>
      <c r="F553" s="40"/>
    </row>
    <row r="554" spans="4:6" ht="15.75" customHeight="1">
      <c r="D554" s="41"/>
      <c r="F554" s="40"/>
    </row>
    <row r="555" spans="4:6" ht="15.75" customHeight="1">
      <c r="D555" s="41"/>
      <c r="F555" s="40"/>
    </row>
    <row r="556" spans="4:6" ht="15.75" customHeight="1">
      <c r="D556" s="41"/>
      <c r="F556" s="40"/>
    </row>
    <row r="557" spans="4:6" ht="15.75" customHeight="1">
      <c r="D557" s="41"/>
      <c r="F557" s="40"/>
    </row>
    <row r="558" spans="4:6" ht="15.75" customHeight="1">
      <c r="D558" s="41"/>
      <c r="F558" s="40"/>
    </row>
    <row r="559" spans="4:6" ht="15.75" customHeight="1">
      <c r="D559" s="41"/>
      <c r="F559" s="40"/>
    </row>
    <row r="560" spans="4:6" ht="15.75" customHeight="1">
      <c r="D560" s="41"/>
      <c r="F560" s="40"/>
    </row>
    <row r="561" spans="4:6" ht="15.75" customHeight="1">
      <c r="D561" s="41"/>
      <c r="F561" s="40"/>
    </row>
    <row r="562" spans="4:6" ht="15.75" customHeight="1">
      <c r="D562" s="41"/>
      <c r="F562" s="40"/>
    </row>
    <row r="563" spans="4:6" ht="15.75" customHeight="1">
      <c r="D563" s="41"/>
      <c r="F563" s="40"/>
    </row>
    <row r="564" spans="4:6" ht="15.75" customHeight="1">
      <c r="D564" s="41"/>
      <c r="F564" s="40"/>
    </row>
    <row r="565" spans="4:6" ht="15.75" customHeight="1">
      <c r="D565" s="41"/>
      <c r="F565" s="40"/>
    </row>
    <row r="566" spans="4:6" ht="15.75" customHeight="1">
      <c r="D566" s="41"/>
      <c r="F566" s="40"/>
    </row>
    <row r="567" spans="4:6" ht="15.75" customHeight="1">
      <c r="D567" s="41"/>
      <c r="F567" s="40"/>
    </row>
    <row r="568" spans="4:6" ht="15.75" customHeight="1">
      <c r="D568" s="41"/>
      <c r="F568" s="40"/>
    </row>
    <row r="569" spans="4:6" ht="15.75" customHeight="1">
      <c r="D569" s="41"/>
      <c r="F569" s="40"/>
    </row>
    <row r="570" spans="4:6" ht="15.75" customHeight="1">
      <c r="D570" s="41"/>
      <c r="F570" s="40"/>
    </row>
    <row r="571" spans="4:6" ht="15.75" customHeight="1">
      <c r="D571" s="41"/>
      <c r="F571" s="40"/>
    </row>
    <row r="572" spans="4:6" ht="15.75" customHeight="1">
      <c r="D572" s="41"/>
      <c r="F572" s="40"/>
    </row>
    <row r="573" spans="4:6" ht="15.75" customHeight="1">
      <c r="D573" s="41"/>
      <c r="F573" s="40"/>
    </row>
    <row r="574" spans="4:6" ht="15.75" customHeight="1">
      <c r="D574" s="41"/>
      <c r="F574" s="40"/>
    </row>
    <row r="575" spans="4:6" ht="15.75" customHeight="1">
      <c r="D575" s="41"/>
      <c r="F575" s="40"/>
    </row>
    <row r="576" spans="4:6" ht="15.75" customHeight="1">
      <c r="D576" s="41"/>
      <c r="F576" s="40"/>
    </row>
    <row r="577" spans="4:6" ht="15.75" customHeight="1">
      <c r="D577" s="41"/>
      <c r="F577" s="40"/>
    </row>
    <row r="578" spans="4:6" ht="15.75" customHeight="1">
      <c r="D578" s="41"/>
      <c r="F578" s="40"/>
    </row>
    <row r="579" spans="4:6" ht="15.75" customHeight="1">
      <c r="D579" s="41"/>
      <c r="F579" s="40"/>
    </row>
    <row r="580" spans="4:6" ht="15.75" customHeight="1">
      <c r="D580" s="41"/>
      <c r="F580" s="40"/>
    </row>
    <row r="581" spans="4:6" ht="15.75" customHeight="1">
      <c r="D581" s="41"/>
      <c r="F581" s="40"/>
    </row>
    <row r="582" spans="4:6" ht="15.75" customHeight="1">
      <c r="D582" s="41"/>
      <c r="F582" s="40"/>
    </row>
    <row r="583" spans="4:6" ht="15.75" customHeight="1">
      <c r="D583" s="41"/>
      <c r="F583" s="40"/>
    </row>
    <row r="584" spans="4:6" ht="15.75" customHeight="1">
      <c r="D584" s="41"/>
      <c r="F584" s="40"/>
    </row>
    <row r="585" spans="4:6" ht="15.75" customHeight="1">
      <c r="D585" s="41"/>
      <c r="F585" s="40"/>
    </row>
    <row r="586" spans="4:6" ht="15.75" customHeight="1">
      <c r="D586" s="41"/>
      <c r="F586" s="40"/>
    </row>
    <row r="587" spans="4:6" ht="15.75" customHeight="1">
      <c r="D587" s="41"/>
      <c r="F587" s="40"/>
    </row>
    <row r="588" spans="4:6" ht="15.75" customHeight="1">
      <c r="D588" s="41"/>
      <c r="F588" s="40"/>
    </row>
    <row r="589" spans="4:6" ht="15.75" customHeight="1">
      <c r="D589" s="41"/>
      <c r="F589" s="40"/>
    </row>
    <row r="590" spans="4:6" ht="15.75" customHeight="1">
      <c r="D590" s="41"/>
      <c r="F590" s="40"/>
    </row>
    <row r="591" spans="4:6" ht="15.75" customHeight="1">
      <c r="D591" s="41"/>
      <c r="F591" s="40"/>
    </row>
    <row r="592" spans="4:6" ht="15.75" customHeight="1">
      <c r="D592" s="41"/>
      <c r="F592" s="40"/>
    </row>
    <row r="593" spans="4:6" ht="15.75" customHeight="1">
      <c r="D593" s="41"/>
      <c r="F593" s="40"/>
    </row>
    <row r="594" spans="4:6" ht="15.75" customHeight="1">
      <c r="D594" s="41"/>
      <c r="F594" s="40"/>
    </row>
    <row r="595" spans="4:6" ht="15.75" customHeight="1">
      <c r="D595" s="41"/>
      <c r="F595" s="40"/>
    </row>
    <row r="596" spans="4:6" ht="15.75" customHeight="1">
      <c r="D596" s="41"/>
      <c r="F596" s="40"/>
    </row>
    <row r="597" spans="4:6" ht="15.75" customHeight="1">
      <c r="D597" s="41"/>
      <c r="F597" s="40"/>
    </row>
    <row r="598" spans="4:6" ht="15.75" customHeight="1">
      <c r="D598" s="41"/>
      <c r="F598" s="40"/>
    </row>
    <row r="599" spans="4:6" ht="15.75" customHeight="1">
      <c r="D599" s="41"/>
      <c r="F599" s="40"/>
    </row>
    <row r="600" spans="4:6" ht="15.75" customHeight="1">
      <c r="D600" s="41"/>
      <c r="F600" s="40"/>
    </row>
    <row r="601" spans="4:6" ht="15.75" customHeight="1">
      <c r="D601" s="41"/>
      <c r="F601" s="40"/>
    </row>
    <row r="602" spans="4:6" ht="15.75" customHeight="1">
      <c r="D602" s="41"/>
      <c r="F602" s="40"/>
    </row>
    <row r="603" spans="4:6" ht="15.75" customHeight="1">
      <c r="D603" s="41"/>
      <c r="F603" s="40"/>
    </row>
    <row r="604" spans="4:6" ht="15.75" customHeight="1">
      <c r="D604" s="41"/>
      <c r="F604" s="40"/>
    </row>
    <row r="605" spans="4:6" ht="15.75" customHeight="1">
      <c r="D605" s="41"/>
      <c r="F605" s="40"/>
    </row>
    <row r="606" spans="4:6" ht="15.75" customHeight="1">
      <c r="D606" s="41"/>
      <c r="F606" s="40"/>
    </row>
    <row r="607" spans="4:6" ht="15.75" customHeight="1">
      <c r="D607" s="41"/>
      <c r="F607" s="40"/>
    </row>
    <row r="608" spans="4:6" ht="15.75" customHeight="1">
      <c r="D608" s="41"/>
      <c r="F608" s="40"/>
    </row>
    <row r="609" spans="4:6" ht="15.75" customHeight="1">
      <c r="D609" s="41"/>
      <c r="F609" s="40"/>
    </row>
    <row r="610" spans="4:6" ht="15.75" customHeight="1">
      <c r="D610" s="41"/>
      <c r="F610" s="40"/>
    </row>
    <row r="611" spans="4:6" ht="15.75" customHeight="1">
      <c r="D611" s="41"/>
      <c r="F611" s="40"/>
    </row>
    <row r="612" spans="4:6" ht="15.75" customHeight="1">
      <c r="D612" s="41"/>
      <c r="F612" s="40"/>
    </row>
    <row r="613" spans="4:6" ht="15.75" customHeight="1">
      <c r="D613" s="41"/>
      <c r="F613" s="40"/>
    </row>
    <row r="614" spans="4:6" ht="15.75" customHeight="1">
      <c r="D614" s="41"/>
      <c r="F614" s="40"/>
    </row>
    <row r="615" spans="4:6" ht="15.75" customHeight="1">
      <c r="D615" s="41"/>
      <c r="F615" s="40"/>
    </row>
    <row r="616" spans="4:6" ht="15.75" customHeight="1">
      <c r="D616" s="41"/>
      <c r="F616" s="40"/>
    </row>
    <row r="617" spans="4:6" ht="15.75" customHeight="1">
      <c r="D617" s="41"/>
      <c r="F617" s="40"/>
    </row>
    <row r="618" spans="4:6" ht="15.75" customHeight="1">
      <c r="D618" s="41"/>
      <c r="F618" s="40"/>
    </row>
    <row r="619" spans="4:6" ht="15.75" customHeight="1">
      <c r="D619" s="41"/>
      <c r="F619" s="40"/>
    </row>
    <row r="620" spans="4:6" ht="15.75" customHeight="1">
      <c r="D620" s="41"/>
      <c r="F620" s="40"/>
    </row>
    <row r="621" spans="4:6" ht="15.75" customHeight="1">
      <c r="D621" s="41"/>
      <c r="F621" s="40"/>
    </row>
    <row r="622" spans="4:6" ht="15.75" customHeight="1">
      <c r="D622" s="41"/>
      <c r="F622" s="40"/>
    </row>
    <row r="623" spans="4:6" ht="15.75" customHeight="1">
      <c r="D623" s="41"/>
      <c r="F623" s="40"/>
    </row>
    <row r="624" spans="4:6" ht="15.75" customHeight="1">
      <c r="D624" s="41"/>
      <c r="F624" s="40"/>
    </row>
    <row r="625" spans="4:6" ht="15.75" customHeight="1">
      <c r="D625" s="41"/>
      <c r="F625" s="40"/>
    </row>
    <row r="626" spans="4:6" ht="15.75" customHeight="1">
      <c r="D626" s="41"/>
      <c r="F626" s="40"/>
    </row>
    <row r="627" spans="4:6" ht="15.75" customHeight="1">
      <c r="D627" s="41"/>
      <c r="F627" s="40"/>
    </row>
    <row r="628" spans="4:6" ht="15.75" customHeight="1">
      <c r="D628" s="41"/>
      <c r="F628" s="40"/>
    </row>
    <row r="629" spans="4:6" ht="15.75" customHeight="1">
      <c r="D629" s="41"/>
      <c r="F629" s="40"/>
    </row>
    <row r="630" spans="4:6" ht="15.75" customHeight="1">
      <c r="D630" s="41"/>
      <c r="F630" s="40"/>
    </row>
    <row r="631" spans="4:6" ht="15.75" customHeight="1">
      <c r="D631" s="41"/>
      <c r="F631" s="40"/>
    </row>
    <row r="632" spans="4:6" ht="15.75" customHeight="1">
      <c r="D632" s="41"/>
      <c r="F632" s="40"/>
    </row>
    <row r="633" spans="4:6" ht="15.75" customHeight="1">
      <c r="D633" s="41"/>
      <c r="F633" s="40"/>
    </row>
    <row r="634" spans="4:6" ht="15.75" customHeight="1">
      <c r="D634" s="41"/>
      <c r="F634" s="40"/>
    </row>
    <row r="635" spans="4:6" ht="15.75" customHeight="1">
      <c r="D635" s="41"/>
      <c r="F635" s="40"/>
    </row>
    <row r="636" spans="4:6" ht="15.75" customHeight="1">
      <c r="D636" s="41"/>
      <c r="F636" s="40"/>
    </row>
    <row r="637" spans="4:6" ht="15.75" customHeight="1">
      <c r="D637" s="41"/>
      <c r="F637" s="40"/>
    </row>
    <row r="638" spans="4:6" ht="15.75" customHeight="1">
      <c r="D638" s="41"/>
      <c r="F638" s="40"/>
    </row>
    <row r="639" spans="4:6" ht="15.75" customHeight="1">
      <c r="D639" s="41"/>
      <c r="F639" s="40"/>
    </row>
    <row r="640" spans="4:6" ht="15.75" customHeight="1">
      <c r="D640" s="41"/>
      <c r="F640" s="40"/>
    </row>
    <row r="641" spans="4:6" ht="15.75" customHeight="1">
      <c r="D641" s="41"/>
      <c r="F641" s="40"/>
    </row>
    <row r="642" spans="4:6" ht="15.75" customHeight="1">
      <c r="D642" s="41"/>
      <c r="F642" s="40"/>
    </row>
    <row r="643" spans="4:6" ht="15.75" customHeight="1">
      <c r="D643" s="41"/>
      <c r="F643" s="40"/>
    </row>
    <row r="644" spans="4:6" ht="15.75" customHeight="1">
      <c r="D644" s="41"/>
      <c r="F644" s="40"/>
    </row>
    <row r="645" spans="4:6" ht="15.75" customHeight="1">
      <c r="D645" s="41"/>
      <c r="F645" s="40"/>
    </row>
    <row r="646" spans="4:6" ht="15.75" customHeight="1">
      <c r="D646" s="41"/>
      <c r="F646" s="40"/>
    </row>
    <row r="647" spans="4:6" ht="15.75" customHeight="1">
      <c r="D647" s="41"/>
      <c r="F647" s="40"/>
    </row>
    <row r="648" spans="4:6" ht="15.75" customHeight="1">
      <c r="D648" s="41"/>
      <c r="F648" s="40"/>
    </row>
    <row r="649" spans="4:6" ht="15.75" customHeight="1">
      <c r="D649" s="41"/>
      <c r="F649" s="40"/>
    </row>
    <row r="650" spans="4:6" ht="15.75" customHeight="1">
      <c r="D650" s="41"/>
      <c r="F650" s="40"/>
    </row>
    <row r="651" spans="4:6" ht="15.75" customHeight="1">
      <c r="D651" s="41"/>
      <c r="F651" s="40"/>
    </row>
    <row r="652" spans="4:6" ht="15.75" customHeight="1">
      <c r="D652" s="41"/>
      <c r="F652" s="40"/>
    </row>
    <row r="653" spans="4:6" ht="15.75" customHeight="1">
      <c r="D653" s="41"/>
      <c r="F653" s="40"/>
    </row>
    <row r="654" spans="4:6" ht="15.75" customHeight="1">
      <c r="D654" s="41"/>
      <c r="F654" s="40"/>
    </row>
    <row r="655" spans="4:6" ht="15.75" customHeight="1">
      <c r="D655" s="41"/>
      <c r="F655" s="40"/>
    </row>
    <row r="656" spans="4:6" ht="15.75" customHeight="1">
      <c r="D656" s="41"/>
      <c r="F656" s="40"/>
    </row>
    <row r="657" spans="4:6" ht="15.75" customHeight="1">
      <c r="D657" s="41"/>
      <c r="F657" s="40"/>
    </row>
    <row r="658" spans="4:6" ht="15.75" customHeight="1">
      <c r="D658" s="41"/>
      <c r="F658" s="40"/>
    </row>
    <row r="659" spans="4:6" ht="15.75" customHeight="1">
      <c r="D659" s="41"/>
      <c r="F659" s="40"/>
    </row>
    <row r="660" spans="4:6" ht="15.75" customHeight="1">
      <c r="D660" s="41"/>
      <c r="F660" s="40"/>
    </row>
    <row r="661" spans="4:6" ht="15.75" customHeight="1">
      <c r="D661" s="41"/>
      <c r="F661" s="40"/>
    </row>
    <row r="662" spans="4:6" ht="15.75" customHeight="1">
      <c r="D662" s="41"/>
      <c r="F662" s="40"/>
    </row>
    <row r="663" spans="4:6" ht="15.75" customHeight="1">
      <c r="D663" s="41"/>
      <c r="F663" s="40"/>
    </row>
    <row r="664" spans="4:6" ht="15.75" customHeight="1">
      <c r="D664" s="41"/>
      <c r="F664" s="40"/>
    </row>
    <row r="665" spans="4:6" ht="15.75" customHeight="1">
      <c r="D665" s="41"/>
      <c r="F665" s="40"/>
    </row>
    <row r="666" spans="4:6" ht="15.75" customHeight="1">
      <c r="D666" s="41"/>
      <c r="F666" s="40"/>
    </row>
    <row r="667" spans="4:6" ht="15.75" customHeight="1">
      <c r="D667" s="41"/>
      <c r="F667" s="40"/>
    </row>
    <row r="668" spans="4:6" ht="15.75" customHeight="1">
      <c r="D668" s="41"/>
      <c r="F668" s="40"/>
    </row>
    <row r="669" spans="4:6" ht="15.75" customHeight="1">
      <c r="D669" s="41"/>
      <c r="F669" s="40"/>
    </row>
    <row r="670" spans="4:6" ht="15.75" customHeight="1">
      <c r="D670" s="41"/>
      <c r="F670" s="40"/>
    </row>
    <row r="671" spans="4:6" ht="15.75" customHeight="1">
      <c r="D671" s="41"/>
      <c r="F671" s="40"/>
    </row>
    <row r="672" spans="4:6" ht="15.75" customHeight="1">
      <c r="D672" s="41"/>
      <c r="F672" s="40"/>
    </row>
    <row r="673" spans="4:6" ht="15.75" customHeight="1">
      <c r="D673" s="41"/>
      <c r="F673" s="40"/>
    </row>
    <row r="674" spans="4:6" ht="15.75" customHeight="1">
      <c r="D674" s="41"/>
      <c r="F674" s="40"/>
    </row>
    <row r="675" spans="4:6" ht="15.75" customHeight="1">
      <c r="D675" s="41"/>
      <c r="F675" s="40"/>
    </row>
    <row r="676" spans="4:6" ht="15.75" customHeight="1">
      <c r="D676" s="41"/>
      <c r="F676" s="40"/>
    </row>
    <row r="677" spans="4:6" ht="15.75" customHeight="1">
      <c r="D677" s="41"/>
      <c r="F677" s="40"/>
    </row>
    <row r="678" spans="4:6" ht="15.75" customHeight="1">
      <c r="D678" s="41"/>
      <c r="F678" s="40"/>
    </row>
    <row r="679" spans="4:6" ht="15.75" customHeight="1">
      <c r="D679" s="41"/>
      <c r="F679" s="40"/>
    </row>
    <row r="680" spans="4:6" ht="15.75" customHeight="1">
      <c r="D680" s="41"/>
      <c r="F680" s="40"/>
    </row>
    <row r="681" spans="4:6" ht="15.75" customHeight="1">
      <c r="D681" s="41"/>
      <c r="F681" s="40"/>
    </row>
    <row r="682" spans="4:6" ht="15.75" customHeight="1">
      <c r="D682" s="41"/>
      <c r="F682" s="40"/>
    </row>
    <row r="683" spans="4:6" ht="15.75" customHeight="1">
      <c r="D683" s="41"/>
      <c r="F683" s="40"/>
    </row>
    <row r="684" spans="4:6" ht="15.75" customHeight="1">
      <c r="D684" s="41"/>
      <c r="F684" s="40"/>
    </row>
    <row r="685" spans="4:6" ht="15.75" customHeight="1">
      <c r="D685" s="41"/>
      <c r="F685" s="40"/>
    </row>
    <row r="686" spans="4:6" ht="15.75" customHeight="1">
      <c r="D686" s="41"/>
      <c r="F686" s="40"/>
    </row>
    <row r="687" spans="4:6" ht="15.75" customHeight="1">
      <c r="D687" s="41"/>
      <c r="F687" s="40"/>
    </row>
    <row r="688" spans="4:6" ht="15.75" customHeight="1">
      <c r="D688" s="41"/>
      <c r="F688" s="40"/>
    </row>
    <row r="689" spans="4:6" ht="15.75" customHeight="1">
      <c r="D689" s="41"/>
      <c r="F689" s="40"/>
    </row>
    <row r="690" spans="4:6" ht="15.75" customHeight="1">
      <c r="D690" s="41"/>
      <c r="F690" s="40"/>
    </row>
    <row r="691" spans="4:6" ht="15.75" customHeight="1">
      <c r="D691" s="41"/>
      <c r="F691" s="40"/>
    </row>
    <row r="692" spans="4:6" ht="15.75" customHeight="1">
      <c r="D692" s="41"/>
      <c r="F692" s="40"/>
    </row>
    <row r="693" spans="4:6" ht="15.75" customHeight="1">
      <c r="D693" s="41"/>
      <c r="F693" s="40"/>
    </row>
    <row r="694" spans="4:6" ht="15.75" customHeight="1">
      <c r="D694" s="41"/>
      <c r="F694" s="40"/>
    </row>
    <row r="695" spans="4:6" ht="15.75" customHeight="1">
      <c r="D695" s="41"/>
      <c r="F695" s="40"/>
    </row>
    <row r="696" spans="4:6" ht="15.75" customHeight="1">
      <c r="D696" s="41"/>
      <c r="F696" s="40"/>
    </row>
    <row r="697" spans="4:6" ht="15.75" customHeight="1">
      <c r="D697" s="41"/>
      <c r="F697" s="40"/>
    </row>
    <row r="698" spans="4:6" ht="15.75" customHeight="1">
      <c r="D698" s="41"/>
      <c r="F698" s="40"/>
    </row>
    <row r="699" spans="4:6" ht="15.75" customHeight="1">
      <c r="D699" s="41"/>
      <c r="F699" s="40"/>
    </row>
    <row r="700" spans="4:6" ht="15.75" customHeight="1">
      <c r="D700" s="41"/>
      <c r="F700" s="40"/>
    </row>
    <row r="701" spans="4:6" ht="15.75" customHeight="1">
      <c r="D701" s="41"/>
      <c r="F701" s="40"/>
    </row>
    <row r="702" spans="4:6" ht="15.75" customHeight="1">
      <c r="D702" s="41"/>
      <c r="F702" s="40"/>
    </row>
    <row r="703" spans="4:6" ht="15.75" customHeight="1">
      <c r="D703" s="41"/>
      <c r="F703" s="40"/>
    </row>
    <row r="704" spans="4:6" ht="15.75" customHeight="1">
      <c r="D704" s="41"/>
      <c r="F704" s="40"/>
    </row>
    <row r="705" spans="4:6" ht="15.75" customHeight="1">
      <c r="D705" s="41"/>
      <c r="F705" s="40"/>
    </row>
    <row r="706" spans="4:6" ht="15.75" customHeight="1">
      <c r="D706" s="41"/>
      <c r="F706" s="40"/>
    </row>
    <row r="707" spans="4:6" ht="15.75" customHeight="1">
      <c r="D707" s="41"/>
      <c r="F707" s="40"/>
    </row>
    <row r="708" spans="4:6" ht="15.75" customHeight="1">
      <c r="D708" s="41"/>
      <c r="F708" s="40"/>
    </row>
    <row r="709" spans="4:6" ht="15.75" customHeight="1">
      <c r="D709" s="41"/>
      <c r="F709" s="40"/>
    </row>
    <row r="710" spans="4:6" ht="15.75" customHeight="1">
      <c r="D710" s="41"/>
      <c r="F710" s="40"/>
    </row>
    <row r="711" spans="4:6" ht="15.75" customHeight="1">
      <c r="D711" s="41"/>
      <c r="F711" s="40"/>
    </row>
    <row r="712" spans="4:6" ht="15.75" customHeight="1">
      <c r="D712" s="41"/>
      <c r="F712" s="40"/>
    </row>
    <row r="713" spans="4:6" ht="15.75" customHeight="1">
      <c r="D713" s="41"/>
      <c r="F713" s="40"/>
    </row>
    <row r="714" spans="4:6" ht="15.75" customHeight="1">
      <c r="D714" s="41"/>
      <c r="F714" s="40"/>
    </row>
    <row r="715" spans="4:6" ht="15.75" customHeight="1">
      <c r="D715" s="41"/>
      <c r="F715" s="40"/>
    </row>
    <row r="716" spans="4:6" ht="15.75" customHeight="1">
      <c r="D716" s="41"/>
      <c r="F716" s="40"/>
    </row>
    <row r="717" spans="4:6" ht="15.75" customHeight="1">
      <c r="D717" s="41"/>
      <c r="F717" s="40"/>
    </row>
    <row r="718" spans="4:6" ht="15.75" customHeight="1">
      <c r="D718" s="41"/>
      <c r="F718" s="40"/>
    </row>
    <row r="719" spans="4:6" ht="15.75" customHeight="1">
      <c r="D719" s="41"/>
      <c r="F719" s="40"/>
    </row>
    <row r="720" spans="4:6" ht="15.75" customHeight="1">
      <c r="D720" s="41"/>
      <c r="F720" s="40"/>
    </row>
    <row r="721" spans="4:6" ht="15.75" customHeight="1">
      <c r="D721" s="41"/>
      <c r="F721" s="40"/>
    </row>
    <row r="722" spans="4:6" ht="15.75" customHeight="1">
      <c r="D722" s="41"/>
      <c r="F722" s="40"/>
    </row>
    <row r="723" spans="4:6" ht="15.75" customHeight="1">
      <c r="D723" s="41"/>
      <c r="F723" s="40"/>
    </row>
    <row r="724" spans="4:6" ht="15.75" customHeight="1">
      <c r="D724" s="41"/>
      <c r="F724" s="40"/>
    </row>
    <row r="725" spans="4:6" ht="15.75" customHeight="1">
      <c r="D725" s="41"/>
      <c r="F725" s="40"/>
    </row>
    <row r="726" spans="4:6" ht="15.75" customHeight="1">
      <c r="D726" s="41"/>
      <c r="F726" s="40"/>
    </row>
    <row r="727" spans="4:6" ht="15.75" customHeight="1">
      <c r="D727" s="41"/>
      <c r="F727" s="40"/>
    </row>
    <row r="728" spans="4:6" ht="15.75" customHeight="1">
      <c r="D728" s="41"/>
      <c r="F728" s="40"/>
    </row>
    <row r="729" spans="4:6" ht="15.75" customHeight="1">
      <c r="D729" s="41"/>
      <c r="F729" s="40"/>
    </row>
    <row r="730" spans="4:6" ht="15.75" customHeight="1">
      <c r="D730" s="41"/>
      <c r="F730" s="40"/>
    </row>
    <row r="731" spans="4:6" ht="15.75" customHeight="1">
      <c r="D731" s="41"/>
      <c r="F731" s="40"/>
    </row>
    <row r="732" spans="4:6" ht="15.75" customHeight="1">
      <c r="D732" s="41"/>
      <c r="F732" s="40"/>
    </row>
    <row r="733" spans="4:6" ht="15.75" customHeight="1">
      <c r="D733" s="41"/>
      <c r="F733" s="40"/>
    </row>
    <row r="734" spans="4:6" ht="15.75" customHeight="1">
      <c r="D734" s="41"/>
      <c r="F734" s="40"/>
    </row>
    <row r="735" spans="4:6" ht="15.75" customHeight="1">
      <c r="D735" s="41"/>
      <c r="F735" s="40"/>
    </row>
    <row r="736" spans="4:6" ht="15.75" customHeight="1">
      <c r="D736" s="41"/>
      <c r="F736" s="40"/>
    </row>
    <row r="737" spans="4:6" ht="15.75" customHeight="1">
      <c r="D737" s="41"/>
      <c r="F737" s="40"/>
    </row>
    <row r="738" spans="4:6" ht="15.75" customHeight="1">
      <c r="D738" s="41"/>
      <c r="F738" s="40"/>
    </row>
    <row r="739" spans="4:6" ht="15.75" customHeight="1">
      <c r="D739" s="41"/>
      <c r="F739" s="40"/>
    </row>
    <row r="740" spans="4:6" ht="15.75" customHeight="1">
      <c r="D740" s="41"/>
      <c r="F740" s="40"/>
    </row>
    <row r="741" spans="4:6" ht="15.75" customHeight="1">
      <c r="D741" s="41"/>
      <c r="F741" s="40"/>
    </row>
    <row r="742" spans="4:6" ht="15.75" customHeight="1">
      <c r="D742" s="41"/>
      <c r="F742" s="40"/>
    </row>
    <row r="743" spans="4:6" ht="15.75" customHeight="1">
      <c r="D743" s="41"/>
      <c r="F743" s="40"/>
    </row>
    <row r="744" spans="4:6" ht="15.75" customHeight="1">
      <c r="D744" s="41"/>
      <c r="F744" s="40"/>
    </row>
    <row r="745" spans="4:6" ht="15.75" customHeight="1">
      <c r="D745" s="41"/>
      <c r="F745" s="40"/>
    </row>
    <row r="746" spans="4:6" ht="15.75" customHeight="1">
      <c r="D746" s="41"/>
      <c r="F746" s="40"/>
    </row>
    <row r="747" spans="4:6" ht="15.75" customHeight="1">
      <c r="D747" s="41"/>
      <c r="F747" s="40"/>
    </row>
    <row r="748" spans="4:6" ht="15.75" customHeight="1">
      <c r="D748" s="41"/>
      <c r="F748" s="40"/>
    </row>
    <row r="749" spans="4:6" ht="15.75" customHeight="1">
      <c r="D749" s="41"/>
      <c r="F749" s="40"/>
    </row>
    <row r="750" spans="4:6" ht="15.75" customHeight="1">
      <c r="D750" s="41"/>
      <c r="F750" s="40"/>
    </row>
    <row r="751" spans="4:6" ht="15.75" customHeight="1">
      <c r="D751" s="41"/>
      <c r="F751" s="40"/>
    </row>
    <row r="752" spans="4:6" ht="15.75" customHeight="1">
      <c r="D752" s="41"/>
      <c r="F752" s="40"/>
    </row>
    <row r="753" spans="4:6" ht="15.75" customHeight="1">
      <c r="D753" s="41"/>
      <c r="F753" s="40"/>
    </row>
    <row r="754" spans="4:6" ht="15.75" customHeight="1">
      <c r="D754" s="41"/>
      <c r="F754" s="40"/>
    </row>
    <row r="755" spans="4:6" ht="15.75" customHeight="1">
      <c r="D755" s="41"/>
      <c r="F755" s="40"/>
    </row>
    <row r="756" spans="4:6" ht="15.75" customHeight="1">
      <c r="D756" s="41"/>
      <c r="F756" s="40"/>
    </row>
    <row r="757" spans="4:6" ht="15.75" customHeight="1">
      <c r="D757" s="41"/>
      <c r="F757" s="40"/>
    </row>
    <row r="758" spans="4:6" ht="15.75" customHeight="1">
      <c r="D758" s="41"/>
      <c r="F758" s="40"/>
    </row>
    <row r="759" spans="4:6" ht="15.75" customHeight="1">
      <c r="D759" s="41"/>
      <c r="F759" s="40"/>
    </row>
    <row r="760" spans="4:6" ht="15.75" customHeight="1">
      <c r="D760" s="41"/>
      <c r="F760" s="40"/>
    </row>
    <row r="761" spans="4:6" ht="15.75" customHeight="1">
      <c r="D761" s="41"/>
      <c r="F761" s="40"/>
    </row>
    <row r="762" spans="4:6" ht="15.75" customHeight="1">
      <c r="D762" s="41"/>
      <c r="F762" s="40"/>
    </row>
    <row r="763" spans="4:6" ht="15.75" customHeight="1">
      <c r="D763" s="41"/>
      <c r="F763" s="40"/>
    </row>
    <row r="764" spans="4:6" ht="15.75" customHeight="1">
      <c r="D764" s="41"/>
      <c r="F764" s="40"/>
    </row>
    <row r="765" spans="4:6" ht="15.75" customHeight="1">
      <c r="D765" s="41"/>
      <c r="F765" s="40"/>
    </row>
    <row r="766" spans="4:6" ht="15.75" customHeight="1">
      <c r="D766" s="41"/>
      <c r="F766" s="40"/>
    </row>
    <row r="767" spans="4:6" ht="15.75" customHeight="1">
      <c r="D767" s="41"/>
      <c r="F767" s="40"/>
    </row>
    <row r="768" spans="4:6" ht="15.75" customHeight="1">
      <c r="D768" s="41"/>
      <c r="F768" s="40"/>
    </row>
    <row r="769" spans="4:6" ht="15.75" customHeight="1">
      <c r="D769" s="41"/>
      <c r="F769" s="40"/>
    </row>
    <row r="770" spans="4:6" ht="15.75" customHeight="1">
      <c r="D770" s="41"/>
      <c r="F770" s="40"/>
    </row>
    <row r="771" spans="4:6" ht="15.75" customHeight="1">
      <c r="D771" s="41"/>
      <c r="F771" s="40"/>
    </row>
    <row r="772" spans="4:6" ht="15.75" customHeight="1">
      <c r="D772" s="41"/>
      <c r="F772" s="40"/>
    </row>
    <row r="773" spans="4:6" ht="15.75" customHeight="1">
      <c r="D773" s="41"/>
      <c r="F773" s="40"/>
    </row>
    <row r="774" spans="4:6" ht="15.75" customHeight="1">
      <c r="D774" s="41"/>
      <c r="F774" s="40"/>
    </row>
    <row r="775" spans="4:6" ht="15.75" customHeight="1">
      <c r="D775" s="41"/>
      <c r="F775" s="40"/>
    </row>
    <row r="776" spans="4:6" ht="15.75" customHeight="1">
      <c r="D776" s="41"/>
      <c r="F776" s="40"/>
    </row>
    <row r="777" spans="4:6" ht="15.75" customHeight="1">
      <c r="D777" s="41"/>
      <c r="F777" s="40"/>
    </row>
    <row r="778" spans="4:6" ht="15.75" customHeight="1">
      <c r="D778" s="41"/>
      <c r="F778" s="40"/>
    </row>
    <row r="779" spans="4:6" ht="15.75" customHeight="1">
      <c r="D779" s="41"/>
      <c r="F779" s="40"/>
    </row>
    <row r="780" spans="4:6" ht="15.75" customHeight="1">
      <c r="D780" s="41"/>
      <c r="F780" s="40"/>
    </row>
    <row r="781" spans="4:6" ht="15.75" customHeight="1">
      <c r="D781" s="41"/>
      <c r="F781" s="40"/>
    </row>
    <row r="782" spans="4:6" ht="15.75" customHeight="1">
      <c r="D782" s="41"/>
      <c r="F782" s="40"/>
    </row>
    <row r="783" spans="4:6" ht="15.75" customHeight="1">
      <c r="D783" s="41"/>
      <c r="F783" s="40"/>
    </row>
    <row r="784" spans="4:6" ht="15.75" customHeight="1">
      <c r="D784" s="41"/>
      <c r="F784" s="40"/>
    </row>
    <row r="785" spans="4:6" ht="15.75" customHeight="1">
      <c r="D785" s="41"/>
      <c r="F785" s="40"/>
    </row>
    <row r="786" spans="4:6" ht="15.75" customHeight="1">
      <c r="D786" s="41"/>
      <c r="F786" s="40"/>
    </row>
    <row r="787" spans="4:6" ht="15.75" customHeight="1">
      <c r="D787" s="41"/>
      <c r="F787" s="40"/>
    </row>
    <row r="788" spans="4:6" ht="15.75" customHeight="1">
      <c r="D788" s="41"/>
      <c r="F788" s="40"/>
    </row>
    <row r="789" spans="4:6" ht="15.75" customHeight="1">
      <c r="D789" s="41"/>
      <c r="F789" s="40"/>
    </row>
    <row r="790" spans="4:6" ht="15.75" customHeight="1">
      <c r="D790" s="41"/>
      <c r="F790" s="40"/>
    </row>
    <row r="791" spans="4:6" ht="15.75" customHeight="1">
      <c r="D791" s="41"/>
      <c r="F791" s="40"/>
    </row>
    <row r="792" spans="4:6" ht="15.75" customHeight="1">
      <c r="D792" s="41"/>
      <c r="F792" s="40"/>
    </row>
    <row r="793" spans="4:6" ht="15.75" customHeight="1">
      <c r="D793" s="41"/>
      <c r="F793" s="40"/>
    </row>
    <row r="794" spans="4:6" ht="15.75" customHeight="1">
      <c r="D794" s="41"/>
      <c r="F794" s="40"/>
    </row>
    <row r="795" spans="4:6" ht="15.75" customHeight="1">
      <c r="D795" s="41"/>
      <c r="F795" s="40"/>
    </row>
    <row r="796" spans="4:6" ht="15.75" customHeight="1">
      <c r="D796" s="41"/>
      <c r="F796" s="40"/>
    </row>
    <row r="797" spans="4:6" ht="15.75" customHeight="1">
      <c r="D797" s="41"/>
      <c r="F797" s="40"/>
    </row>
    <row r="798" spans="4:6" ht="15.75" customHeight="1">
      <c r="D798" s="41"/>
      <c r="F798" s="40"/>
    </row>
    <row r="799" spans="4:6" ht="15.75" customHeight="1">
      <c r="D799" s="41"/>
      <c r="F799" s="40"/>
    </row>
    <row r="800" spans="4:6" ht="15.75" customHeight="1">
      <c r="D800" s="41"/>
      <c r="F800" s="40"/>
    </row>
    <row r="801" spans="4:6" ht="15.75" customHeight="1">
      <c r="D801" s="41"/>
      <c r="F801" s="40"/>
    </row>
    <row r="802" spans="4:6" ht="15.75" customHeight="1">
      <c r="D802" s="41"/>
      <c r="F802" s="40"/>
    </row>
    <row r="803" spans="4:6" ht="15.75" customHeight="1">
      <c r="D803" s="41"/>
      <c r="F803" s="40"/>
    </row>
    <row r="804" spans="4:6" ht="15.75" customHeight="1">
      <c r="D804" s="41"/>
      <c r="F804" s="40"/>
    </row>
    <row r="805" spans="4:6" ht="15.75" customHeight="1">
      <c r="D805" s="41"/>
      <c r="F805" s="40"/>
    </row>
    <row r="806" spans="4:6" ht="15.75" customHeight="1">
      <c r="D806" s="41"/>
      <c r="F806" s="40"/>
    </row>
    <row r="807" spans="4:6" ht="15.75" customHeight="1">
      <c r="D807" s="41"/>
      <c r="F807" s="40"/>
    </row>
    <row r="808" spans="4:6" ht="15.75" customHeight="1">
      <c r="D808" s="41"/>
      <c r="F808" s="40"/>
    </row>
    <row r="809" spans="4:6" ht="15.75" customHeight="1">
      <c r="D809" s="41"/>
      <c r="F809" s="40"/>
    </row>
    <row r="810" spans="4:6" ht="15.75" customHeight="1">
      <c r="D810" s="41"/>
      <c r="F810" s="40"/>
    </row>
    <row r="811" spans="4:6" ht="15.75" customHeight="1">
      <c r="D811" s="41"/>
      <c r="F811" s="40"/>
    </row>
    <row r="812" spans="4:6" ht="15.75" customHeight="1">
      <c r="D812" s="41"/>
      <c r="F812" s="40"/>
    </row>
    <row r="813" spans="4:6" ht="15.75" customHeight="1">
      <c r="D813" s="41"/>
      <c r="F813" s="40"/>
    </row>
    <row r="814" spans="4:6" ht="15.75" customHeight="1">
      <c r="D814" s="41"/>
      <c r="F814" s="40"/>
    </row>
    <row r="815" spans="4:6" ht="15.75" customHeight="1">
      <c r="D815" s="41"/>
      <c r="F815" s="40"/>
    </row>
    <row r="816" spans="4:6" ht="15.75" customHeight="1">
      <c r="D816" s="41"/>
      <c r="F816" s="40"/>
    </row>
    <row r="817" spans="4:6" ht="15.75" customHeight="1">
      <c r="D817" s="41"/>
      <c r="F817" s="40"/>
    </row>
    <row r="818" spans="4:6" ht="15.75" customHeight="1">
      <c r="D818" s="41"/>
      <c r="F818" s="40"/>
    </row>
    <row r="819" spans="4:6" ht="15.75" customHeight="1">
      <c r="D819" s="41"/>
      <c r="F819" s="40"/>
    </row>
    <row r="820" spans="4:6" ht="15.75" customHeight="1">
      <c r="D820" s="41"/>
      <c r="F820" s="40"/>
    </row>
    <row r="821" spans="4:6" ht="15.75" customHeight="1">
      <c r="D821" s="41"/>
      <c r="F821" s="40"/>
    </row>
    <row r="822" spans="4:6" ht="15.75" customHeight="1">
      <c r="D822" s="41"/>
      <c r="F822" s="40"/>
    </row>
    <row r="823" spans="4:6" ht="15.75" customHeight="1">
      <c r="D823" s="41"/>
      <c r="F823" s="40"/>
    </row>
    <row r="824" spans="4:6" ht="15.75" customHeight="1">
      <c r="D824" s="41"/>
      <c r="F824" s="40"/>
    </row>
    <row r="825" spans="4:6" ht="15.75" customHeight="1">
      <c r="D825" s="41"/>
      <c r="F825" s="40"/>
    </row>
    <row r="826" spans="4:6" ht="15.75" customHeight="1">
      <c r="D826" s="41"/>
      <c r="F826" s="40"/>
    </row>
    <row r="827" spans="4:6" ht="15.75" customHeight="1">
      <c r="D827" s="41"/>
      <c r="F827" s="40"/>
    </row>
    <row r="828" spans="4:6" ht="15.75" customHeight="1">
      <c r="D828" s="41"/>
      <c r="F828" s="40"/>
    </row>
    <row r="829" spans="4:6" ht="15.75" customHeight="1">
      <c r="D829" s="41"/>
      <c r="F829" s="40"/>
    </row>
    <row r="830" spans="4:6" ht="15.75" customHeight="1">
      <c r="D830" s="41"/>
      <c r="F830" s="40"/>
    </row>
    <row r="831" spans="4:6" ht="15.75" customHeight="1">
      <c r="D831" s="41"/>
      <c r="F831" s="40"/>
    </row>
    <row r="832" spans="4:6" ht="15.75" customHeight="1">
      <c r="D832" s="41"/>
      <c r="F832" s="40"/>
    </row>
    <row r="833" spans="4:6" ht="15.75" customHeight="1">
      <c r="D833" s="41"/>
      <c r="F833" s="40"/>
    </row>
    <row r="834" spans="4:6" ht="15.75" customHeight="1">
      <c r="D834" s="41"/>
      <c r="F834" s="40"/>
    </row>
    <row r="835" spans="4:6" ht="15.75" customHeight="1">
      <c r="D835" s="41"/>
      <c r="F835" s="40"/>
    </row>
    <row r="836" spans="4:6" ht="15.75" customHeight="1">
      <c r="D836" s="41"/>
      <c r="F836" s="40"/>
    </row>
    <row r="837" spans="4:6" ht="15.75" customHeight="1">
      <c r="D837" s="41"/>
      <c r="F837" s="40"/>
    </row>
    <row r="838" spans="4:6" ht="15.75" customHeight="1">
      <c r="D838" s="41"/>
      <c r="F838" s="40"/>
    </row>
    <row r="839" spans="4:6" ht="15.75" customHeight="1">
      <c r="D839" s="41"/>
      <c r="F839" s="40"/>
    </row>
    <row r="840" spans="4:6" ht="15.75" customHeight="1">
      <c r="D840" s="41"/>
      <c r="F840" s="40"/>
    </row>
    <row r="841" spans="4:6" ht="15.75" customHeight="1">
      <c r="D841" s="41"/>
      <c r="F841" s="40"/>
    </row>
    <row r="842" spans="4:6" ht="15.75" customHeight="1">
      <c r="D842" s="41"/>
      <c r="F842" s="40"/>
    </row>
    <row r="843" spans="4:6" ht="15.75" customHeight="1">
      <c r="D843" s="41"/>
      <c r="F843" s="40"/>
    </row>
    <row r="844" spans="4:6" ht="15.75" customHeight="1">
      <c r="D844" s="41"/>
      <c r="F844" s="40"/>
    </row>
    <row r="845" spans="4:6" ht="15.75" customHeight="1">
      <c r="D845" s="41"/>
      <c r="F845" s="40"/>
    </row>
    <row r="846" spans="4:6" ht="15.75" customHeight="1">
      <c r="D846" s="41"/>
      <c r="F846" s="40"/>
    </row>
    <row r="847" spans="4:6" ht="15.75" customHeight="1">
      <c r="D847" s="41"/>
      <c r="F847" s="40"/>
    </row>
    <row r="848" spans="4:6" ht="15.75" customHeight="1">
      <c r="D848" s="41"/>
      <c r="F848" s="40"/>
    </row>
    <row r="849" spans="4:6" ht="15.75" customHeight="1">
      <c r="D849" s="41"/>
      <c r="F849" s="40"/>
    </row>
    <row r="850" spans="4:6" ht="15.75" customHeight="1">
      <c r="D850" s="41"/>
      <c r="F850" s="40"/>
    </row>
    <row r="851" spans="4:6" ht="15.75" customHeight="1">
      <c r="D851" s="41"/>
      <c r="F851" s="40"/>
    </row>
    <row r="852" spans="4:6" ht="15.75" customHeight="1">
      <c r="D852" s="41"/>
      <c r="F852" s="40"/>
    </row>
    <row r="853" spans="4:6" ht="15.75" customHeight="1">
      <c r="D853" s="41"/>
      <c r="F853" s="40"/>
    </row>
    <row r="854" spans="4:6" ht="15.75" customHeight="1">
      <c r="D854" s="41"/>
      <c r="F854" s="40"/>
    </row>
    <row r="855" spans="4:6" ht="15.75" customHeight="1">
      <c r="D855" s="41"/>
      <c r="F855" s="40"/>
    </row>
    <row r="856" spans="4:6" ht="15.75" customHeight="1">
      <c r="D856" s="41"/>
      <c r="F856" s="40"/>
    </row>
    <row r="857" spans="4:6" ht="15.75" customHeight="1">
      <c r="D857" s="41"/>
      <c r="F857" s="40"/>
    </row>
    <row r="858" spans="4:6" ht="15.75" customHeight="1">
      <c r="D858" s="41"/>
      <c r="F858" s="40"/>
    </row>
    <row r="859" spans="4:6" ht="15.75" customHeight="1">
      <c r="D859" s="41"/>
      <c r="F859" s="40"/>
    </row>
    <row r="860" spans="4:6" ht="15.75" customHeight="1">
      <c r="D860" s="41"/>
      <c r="F860" s="40"/>
    </row>
    <row r="861" spans="4:6" ht="15.75" customHeight="1">
      <c r="D861" s="41"/>
      <c r="F861" s="40"/>
    </row>
    <row r="862" spans="4:6" ht="15.75" customHeight="1">
      <c r="D862" s="41"/>
      <c r="F862" s="40"/>
    </row>
    <row r="863" spans="4:6" ht="15.75" customHeight="1">
      <c r="D863" s="41"/>
      <c r="F863" s="40"/>
    </row>
    <row r="864" spans="4:6" ht="15.75" customHeight="1">
      <c r="D864" s="41"/>
      <c r="F864" s="40"/>
    </row>
    <row r="865" spans="4:6" ht="15.75" customHeight="1">
      <c r="D865" s="41"/>
      <c r="F865" s="40"/>
    </row>
    <row r="866" spans="4:6" ht="15.75" customHeight="1">
      <c r="D866" s="41"/>
      <c r="F866" s="40"/>
    </row>
    <row r="867" spans="4:6" ht="15.75" customHeight="1">
      <c r="D867" s="41"/>
      <c r="F867" s="40"/>
    </row>
    <row r="868" spans="4:6" ht="15.75" customHeight="1">
      <c r="D868" s="41"/>
      <c r="F868" s="40"/>
    </row>
    <row r="869" spans="4:6" ht="15.75" customHeight="1">
      <c r="D869" s="41"/>
      <c r="F869" s="40"/>
    </row>
    <row r="870" spans="4:6" ht="15.75" customHeight="1">
      <c r="D870" s="41"/>
      <c r="F870" s="40"/>
    </row>
    <row r="871" spans="4:6" ht="15.75" customHeight="1">
      <c r="D871" s="41"/>
      <c r="F871" s="40"/>
    </row>
    <row r="872" spans="4:6" ht="15.75" customHeight="1">
      <c r="D872" s="41"/>
      <c r="F872" s="40"/>
    </row>
    <row r="873" spans="4:6" ht="15.75" customHeight="1">
      <c r="D873" s="41"/>
      <c r="F873" s="40"/>
    </row>
    <row r="874" spans="4:6" ht="15.75" customHeight="1">
      <c r="D874" s="41"/>
      <c r="F874" s="40"/>
    </row>
    <row r="875" spans="4:6" ht="15.75" customHeight="1">
      <c r="D875" s="41"/>
      <c r="F875" s="40"/>
    </row>
    <row r="876" spans="4:6" ht="15.75" customHeight="1">
      <c r="D876" s="41"/>
      <c r="F876" s="40"/>
    </row>
    <row r="877" spans="4:6" ht="15.75" customHeight="1">
      <c r="D877" s="41"/>
      <c r="F877" s="40"/>
    </row>
    <row r="878" spans="4:6" ht="15.75" customHeight="1">
      <c r="D878" s="41"/>
      <c r="F878" s="40"/>
    </row>
    <row r="879" spans="4:6" ht="15.75" customHeight="1">
      <c r="D879" s="41"/>
      <c r="F879" s="40"/>
    </row>
    <row r="880" spans="4:6" ht="15.75" customHeight="1">
      <c r="D880" s="41"/>
      <c r="F880" s="40"/>
    </row>
    <row r="881" spans="4:6" ht="15.75" customHeight="1">
      <c r="D881" s="41"/>
      <c r="F881" s="40"/>
    </row>
    <row r="882" spans="4:6" ht="15.75" customHeight="1">
      <c r="D882" s="41"/>
      <c r="F882" s="40"/>
    </row>
    <row r="883" spans="4:6" ht="15.75" customHeight="1">
      <c r="D883" s="41"/>
      <c r="F883" s="40"/>
    </row>
    <row r="884" spans="4:6" ht="15.75" customHeight="1">
      <c r="D884" s="41"/>
      <c r="F884" s="40"/>
    </row>
    <row r="885" spans="4:6" ht="15.75" customHeight="1">
      <c r="D885" s="41"/>
      <c r="F885" s="40"/>
    </row>
    <row r="886" spans="4:6" ht="15.75" customHeight="1">
      <c r="D886" s="41"/>
      <c r="F886" s="40"/>
    </row>
    <row r="887" spans="4:6" ht="15.75" customHeight="1">
      <c r="D887" s="41"/>
      <c r="F887" s="40"/>
    </row>
    <row r="888" spans="4:6" ht="15.75" customHeight="1">
      <c r="D888" s="41"/>
      <c r="F888" s="40"/>
    </row>
    <row r="889" spans="4:6" ht="15.75" customHeight="1">
      <c r="D889" s="41"/>
      <c r="F889" s="40"/>
    </row>
    <row r="890" spans="4:6" ht="15.75" customHeight="1">
      <c r="D890" s="41"/>
      <c r="F890" s="40"/>
    </row>
    <row r="891" spans="4:6" ht="15.75" customHeight="1">
      <c r="D891" s="41"/>
      <c r="F891" s="40"/>
    </row>
    <row r="892" spans="4:6" ht="15.75" customHeight="1">
      <c r="D892" s="41"/>
      <c r="F892" s="40"/>
    </row>
    <row r="893" spans="4:6" ht="15.75" customHeight="1">
      <c r="D893" s="41"/>
      <c r="F893" s="40"/>
    </row>
    <row r="894" spans="4:6" ht="15.75" customHeight="1">
      <c r="D894" s="41"/>
      <c r="F894" s="40"/>
    </row>
    <row r="895" spans="4:6" ht="15.75" customHeight="1">
      <c r="D895" s="41"/>
      <c r="F895" s="40"/>
    </row>
    <row r="896" spans="4:6" ht="15.75" customHeight="1">
      <c r="D896" s="41"/>
      <c r="F896" s="40"/>
    </row>
    <row r="897" spans="4:6" ht="15.75" customHeight="1">
      <c r="D897" s="41"/>
      <c r="F897" s="40"/>
    </row>
    <row r="898" spans="4:6" ht="15.75" customHeight="1">
      <c r="D898" s="41"/>
      <c r="F898" s="40"/>
    </row>
    <row r="899" spans="4:6" ht="15.75" customHeight="1">
      <c r="D899" s="41"/>
      <c r="F899" s="40"/>
    </row>
    <row r="900" spans="4:6" ht="15.75" customHeight="1">
      <c r="D900" s="41"/>
      <c r="F900" s="40"/>
    </row>
    <row r="901" spans="4:6" ht="15.75" customHeight="1">
      <c r="D901" s="41"/>
      <c r="F901" s="40"/>
    </row>
    <row r="902" spans="4:6" ht="15.75" customHeight="1">
      <c r="D902" s="41"/>
      <c r="F902" s="40"/>
    </row>
    <row r="903" spans="4:6" ht="15.75" customHeight="1">
      <c r="D903" s="41"/>
      <c r="F903" s="40"/>
    </row>
    <row r="904" spans="4:6" ht="15.75" customHeight="1">
      <c r="D904" s="41"/>
      <c r="F904" s="40"/>
    </row>
    <row r="905" spans="4:6" ht="15.75" customHeight="1">
      <c r="D905" s="41"/>
      <c r="F905" s="40"/>
    </row>
    <row r="906" spans="4:6" ht="15.75" customHeight="1">
      <c r="D906" s="41"/>
      <c r="F906" s="40"/>
    </row>
    <row r="907" spans="4:6" ht="15.75" customHeight="1">
      <c r="D907" s="41"/>
      <c r="F907" s="40"/>
    </row>
    <row r="908" spans="4:6" ht="15.75" customHeight="1">
      <c r="D908" s="41"/>
      <c r="F908" s="40"/>
    </row>
    <row r="909" spans="4:6" ht="15.75" customHeight="1">
      <c r="D909" s="41"/>
      <c r="F909" s="40"/>
    </row>
    <row r="910" spans="4:6" ht="15.75" customHeight="1">
      <c r="D910" s="41"/>
      <c r="F910" s="40"/>
    </row>
    <row r="911" spans="4:6" ht="15.75" customHeight="1">
      <c r="D911" s="41"/>
      <c r="F911" s="40"/>
    </row>
    <row r="912" spans="4:6" ht="15.75" customHeight="1">
      <c r="D912" s="41"/>
      <c r="F912" s="40"/>
    </row>
    <row r="913" spans="4:6" ht="15.75" customHeight="1">
      <c r="D913" s="41"/>
      <c r="F913" s="40"/>
    </row>
    <row r="914" spans="4:6" ht="15.75" customHeight="1">
      <c r="D914" s="41"/>
      <c r="F914" s="40"/>
    </row>
    <row r="915" spans="4:6" ht="15.75" customHeight="1">
      <c r="D915" s="41"/>
      <c r="F915" s="40"/>
    </row>
    <row r="916" spans="4:6" ht="15.75" customHeight="1">
      <c r="D916" s="41"/>
      <c r="F916" s="40"/>
    </row>
    <row r="917" spans="4:6" ht="15.75" customHeight="1">
      <c r="D917" s="41"/>
      <c r="F917" s="40"/>
    </row>
    <row r="918" spans="4:6" ht="15.75" customHeight="1">
      <c r="D918" s="41"/>
      <c r="F918" s="40"/>
    </row>
    <row r="919" spans="4:6" ht="15.75" customHeight="1">
      <c r="D919" s="41"/>
      <c r="F919" s="40"/>
    </row>
    <row r="920" spans="4:6" ht="15.75" customHeight="1">
      <c r="D920" s="41"/>
      <c r="F920" s="40"/>
    </row>
    <row r="921" spans="4:6" ht="15.75" customHeight="1">
      <c r="D921" s="41"/>
      <c r="F921" s="40"/>
    </row>
    <row r="922" spans="4:6" ht="15.75" customHeight="1">
      <c r="D922" s="41"/>
      <c r="F922" s="40"/>
    </row>
    <row r="923" spans="4:6" ht="15.75" customHeight="1">
      <c r="D923" s="41"/>
      <c r="F923" s="40"/>
    </row>
    <row r="924" spans="4:6" ht="15.75" customHeight="1">
      <c r="D924" s="41"/>
      <c r="F924" s="40"/>
    </row>
    <row r="925" spans="4:6" ht="15.75" customHeight="1">
      <c r="D925" s="41"/>
      <c r="F925" s="40"/>
    </row>
    <row r="926" spans="4:6" ht="15.75" customHeight="1">
      <c r="D926" s="41"/>
      <c r="F926" s="40"/>
    </row>
    <row r="927" spans="4:6" ht="15.75" customHeight="1">
      <c r="D927" s="41"/>
      <c r="F927" s="40"/>
    </row>
    <row r="928" spans="4:6" ht="15.75" customHeight="1">
      <c r="D928" s="41"/>
      <c r="F928" s="40"/>
    </row>
    <row r="929" spans="4:6" ht="15.75" customHeight="1">
      <c r="D929" s="41"/>
      <c r="F929" s="40"/>
    </row>
    <row r="930" spans="4:6" ht="15.75" customHeight="1">
      <c r="D930" s="41"/>
      <c r="F930" s="40"/>
    </row>
    <row r="931" spans="4:6" ht="15.75" customHeight="1">
      <c r="D931" s="41"/>
      <c r="F931" s="40"/>
    </row>
    <row r="932" spans="4:6" ht="15.75" customHeight="1">
      <c r="D932" s="41"/>
      <c r="F932" s="40"/>
    </row>
    <row r="933" spans="4:6" ht="15.75" customHeight="1">
      <c r="D933" s="41"/>
      <c r="F933" s="40"/>
    </row>
    <row r="934" spans="4:6" ht="15.75" customHeight="1">
      <c r="D934" s="41"/>
      <c r="F934" s="40"/>
    </row>
    <row r="935" spans="4:6" ht="15.75" customHeight="1">
      <c r="D935" s="41"/>
      <c r="F935" s="40"/>
    </row>
    <row r="936" spans="4:6" ht="15.75" customHeight="1">
      <c r="D936" s="41"/>
      <c r="F936" s="40"/>
    </row>
    <row r="937" spans="4:6" ht="15.75" customHeight="1">
      <c r="D937" s="41"/>
      <c r="F937" s="40"/>
    </row>
    <row r="938" spans="4:6" ht="15.75" customHeight="1">
      <c r="D938" s="41"/>
      <c r="F938" s="40"/>
    </row>
    <row r="939" spans="4:6" ht="15.75" customHeight="1">
      <c r="D939" s="41"/>
      <c r="F939" s="40"/>
    </row>
    <row r="940" spans="4:6" ht="15.75" customHeight="1">
      <c r="D940" s="41"/>
      <c r="F940" s="40"/>
    </row>
    <row r="941" spans="4:6" ht="15.75" customHeight="1">
      <c r="D941" s="41"/>
      <c r="F941" s="40"/>
    </row>
    <row r="942" spans="4:6" ht="15.75" customHeight="1">
      <c r="D942" s="41"/>
      <c r="F942" s="40"/>
    </row>
    <row r="943" spans="4:6" ht="15.75" customHeight="1">
      <c r="D943" s="41"/>
      <c r="F943" s="40"/>
    </row>
    <row r="944" spans="4:6" ht="15.75" customHeight="1">
      <c r="D944" s="41"/>
      <c r="F944" s="40"/>
    </row>
    <row r="945" spans="4:6" ht="15.75" customHeight="1">
      <c r="D945" s="41"/>
      <c r="F945" s="40"/>
    </row>
    <row r="946" spans="4:6" ht="15.75" customHeight="1">
      <c r="D946" s="41"/>
      <c r="F946" s="40"/>
    </row>
    <row r="947" spans="4:6" ht="15.75" customHeight="1">
      <c r="D947" s="41"/>
      <c r="F947" s="40"/>
    </row>
    <row r="948" spans="4:6" ht="15.75" customHeight="1">
      <c r="D948" s="41"/>
      <c r="F948" s="40"/>
    </row>
    <row r="949" spans="4:6" ht="15.75" customHeight="1">
      <c r="D949" s="41"/>
      <c r="F949" s="40"/>
    </row>
    <row r="950" spans="4:6" ht="15.75" customHeight="1">
      <c r="D950" s="41"/>
      <c r="F950" s="40"/>
    </row>
    <row r="951" spans="4:6" ht="15.75" customHeight="1">
      <c r="D951" s="41"/>
      <c r="F951" s="40"/>
    </row>
    <row r="952" spans="4:6" ht="15.75" customHeight="1">
      <c r="D952" s="41"/>
      <c r="F952" s="40"/>
    </row>
    <row r="953" spans="4:6" ht="15.75" customHeight="1">
      <c r="D953" s="41"/>
      <c r="F953" s="40"/>
    </row>
    <row r="954" spans="4:6" ht="15.75" customHeight="1">
      <c r="D954" s="41"/>
      <c r="F954" s="40"/>
    </row>
    <row r="955" spans="4:6" ht="15.75" customHeight="1">
      <c r="D955" s="41"/>
      <c r="F955" s="40"/>
    </row>
    <row r="956" spans="4:6" ht="15.75" customHeight="1">
      <c r="D956" s="41"/>
      <c r="F956" s="40"/>
    </row>
    <row r="957" spans="4:6" ht="15.75" customHeight="1">
      <c r="D957" s="41"/>
      <c r="F957" s="40"/>
    </row>
    <row r="958" spans="4:6" ht="15.75" customHeight="1">
      <c r="D958" s="41"/>
      <c r="F958" s="40"/>
    </row>
    <row r="959" spans="4:6" ht="15.75" customHeight="1">
      <c r="D959" s="41"/>
      <c r="F959" s="40"/>
    </row>
    <row r="960" spans="4:6" ht="15.75" customHeight="1">
      <c r="D960" s="41"/>
      <c r="F960" s="40"/>
    </row>
    <row r="961" spans="4:6" ht="15.75" customHeight="1">
      <c r="D961" s="41"/>
      <c r="F961" s="40"/>
    </row>
    <row r="962" spans="4:6" ht="15.75" customHeight="1">
      <c r="D962" s="41"/>
      <c r="F962" s="40"/>
    </row>
    <row r="963" spans="4:6" ht="15.75" customHeight="1">
      <c r="D963" s="41"/>
      <c r="F963" s="40"/>
    </row>
    <row r="964" spans="4:6" ht="15.75" customHeight="1">
      <c r="D964" s="41"/>
      <c r="F964" s="40"/>
    </row>
    <row r="965" spans="4:6" ht="15.75" customHeight="1">
      <c r="D965" s="41"/>
      <c r="F965" s="40"/>
    </row>
    <row r="966" spans="4:6" ht="15.75" customHeight="1">
      <c r="D966" s="41"/>
      <c r="F966" s="40"/>
    </row>
    <row r="967" spans="4:6" ht="15.75" customHeight="1">
      <c r="D967" s="41"/>
      <c r="F967" s="40"/>
    </row>
    <row r="968" spans="4:6" ht="15.75" customHeight="1">
      <c r="D968" s="41"/>
      <c r="F968" s="40"/>
    </row>
    <row r="969" spans="4:6" ht="15.75" customHeight="1">
      <c r="D969" s="41"/>
      <c r="F969" s="40"/>
    </row>
    <row r="970" spans="4:6" ht="15.75" customHeight="1">
      <c r="D970" s="41"/>
      <c r="F970" s="40"/>
    </row>
    <row r="971" spans="4:6" ht="15.75" customHeight="1">
      <c r="D971" s="41"/>
      <c r="F971" s="40"/>
    </row>
    <row r="972" spans="4:6" ht="15.75" customHeight="1">
      <c r="D972" s="41"/>
      <c r="F972" s="40"/>
    </row>
    <row r="973" spans="4:6" ht="15.75" customHeight="1">
      <c r="D973" s="41"/>
      <c r="F973" s="40"/>
    </row>
    <row r="974" spans="4:6" ht="15.75" customHeight="1">
      <c r="D974" s="41"/>
      <c r="F974" s="40"/>
    </row>
    <row r="975" spans="4:6" ht="15.75" customHeight="1">
      <c r="D975" s="41"/>
      <c r="F975" s="40"/>
    </row>
    <row r="976" spans="4:6" ht="15.75" customHeight="1">
      <c r="D976" s="41"/>
      <c r="F976" s="40"/>
    </row>
    <row r="977" spans="4:6" ht="15.75" customHeight="1">
      <c r="D977" s="41"/>
      <c r="F977" s="40"/>
    </row>
    <row r="978" spans="4:6" ht="15.75" customHeight="1">
      <c r="D978" s="41"/>
      <c r="F978" s="40"/>
    </row>
    <row r="979" spans="4:6" ht="15.75" customHeight="1">
      <c r="D979" s="41"/>
      <c r="F979" s="40"/>
    </row>
    <row r="980" spans="4:6" ht="15.75" customHeight="1">
      <c r="D980" s="41"/>
      <c r="F980" s="40"/>
    </row>
    <row r="981" spans="4:6" ht="15.75" customHeight="1">
      <c r="D981" s="41"/>
      <c r="F981" s="40"/>
    </row>
    <row r="982" spans="4:6" ht="15.75" customHeight="1">
      <c r="D982" s="41"/>
      <c r="F982" s="40"/>
    </row>
    <row r="983" spans="4:6" ht="15.75" customHeight="1">
      <c r="D983" s="41"/>
      <c r="F983" s="40"/>
    </row>
    <row r="984" spans="4:6" ht="15.75" customHeight="1">
      <c r="D984" s="41"/>
      <c r="F984" s="40"/>
    </row>
    <row r="985" spans="4:6" ht="15.75" customHeight="1">
      <c r="D985" s="41"/>
      <c r="F985" s="40"/>
    </row>
    <row r="986" spans="4:6" ht="15.75" customHeight="1">
      <c r="D986" s="41"/>
      <c r="F986" s="40"/>
    </row>
    <row r="987" spans="4:6" ht="15.75" customHeight="1">
      <c r="D987" s="41"/>
      <c r="F987" s="40"/>
    </row>
    <row r="988" spans="4:6" ht="15.75" customHeight="1">
      <c r="D988" s="41"/>
      <c r="F988" s="40"/>
    </row>
    <row r="989" spans="4:6" ht="15.75" customHeight="1">
      <c r="D989" s="41"/>
      <c r="F989" s="40"/>
    </row>
    <row r="990" spans="4:6" ht="15.75" customHeight="1">
      <c r="D990" s="41"/>
      <c r="F990" s="40"/>
    </row>
    <row r="991" spans="4:6" ht="15.75" customHeight="1">
      <c r="D991" s="41"/>
      <c r="F991" s="40"/>
    </row>
    <row r="992" spans="4:6" ht="15.75" customHeight="1">
      <c r="D992" s="41"/>
      <c r="F992" s="40"/>
    </row>
    <row r="993" spans="4:6" ht="15.75" customHeight="1">
      <c r="D993" s="41"/>
      <c r="F993" s="40"/>
    </row>
    <row r="994" spans="4:6" ht="15.75" customHeight="1">
      <c r="D994" s="41"/>
      <c r="F994" s="40"/>
    </row>
    <row r="995" spans="4:6" ht="15.75" customHeight="1">
      <c r="D995" s="41"/>
      <c r="F995" s="40"/>
    </row>
    <row r="996" spans="4:6" ht="15.75" customHeight="1">
      <c r="D996" s="41"/>
      <c r="F996" s="40"/>
    </row>
    <row r="997" spans="4:6" ht="15.75" customHeight="1">
      <c r="D997" s="41"/>
      <c r="F997" s="40"/>
    </row>
    <row r="998" spans="4:6" ht="15.75" customHeight="1">
      <c r="D998" s="41"/>
      <c r="F998" s="40"/>
    </row>
    <row r="999" spans="4:6" ht="15.75" customHeight="1">
      <c r="D999" s="41"/>
      <c r="F999" s="40"/>
    </row>
    <row r="1000" spans="4:6" ht="15.75" customHeight="1">
      <c r="D1000" s="41"/>
      <c r="F1000" s="40"/>
    </row>
  </sheetData>
  <mergeCells count="10">
    <mergeCell ref="A7:AZ7"/>
    <mergeCell ref="D10:D12"/>
    <mergeCell ref="E10:E12"/>
    <mergeCell ref="F10:F12"/>
    <mergeCell ref="A1:AZ1"/>
    <mergeCell ref="A2:AZ2"/>
    <mergeCell ref="A3:AZ3"/>
    <mergeCell ref="A4:AZ4"/>
    <mergeCell ref="A5:AZ5"/>
    <mergeCell ref="A6:AZ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PPS_class</vt:lpstr>
      <vt:lpstr>Lab_B1</vt:lpstr>
      <vt:lpstr>Lab_B2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Patel</dc:creator>
  <cp:lastModifiedBy>Ritesh Kumar</cp:lastModifiedBy>
  <dcterms:created xsi:type="dcterms:W3CDTF">2021-07-29T06:17:19Z</dcterms:created>
  <dcterms:modified xsi:type="dcterms:W3CDTF">2025-11-25T14:17:44Z</dcterms:modified>
</cp:coreProperties>
</file>