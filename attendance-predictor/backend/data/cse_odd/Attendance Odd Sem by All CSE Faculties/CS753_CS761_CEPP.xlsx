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ct(CSE_ECE)" sheetId="1" r:id="rId4"/>
  </sheets>
  <definedNames/>
  <calcPr/>
</workbook>
</file>

<file path=xl/sharedStrings.xml><?xml version="1.0" encoding="utf-8"?>
<sst xmlns="http://schemas.openxmlformats.org/spreadsheetml/2006/main" count="5057" uniqueCount="263">
  <si>
    <t>INDIAN INSTITUTE OF INFORMATION TECHNOLOGY, SURAT                        COMPUTER SCIENCE ENGINEERING DEPARTMENT                      
B.TECH. IV, SEMESTER- VII                                                                                                     Subject :COMPUTER ETHICS &amp; PUBLIC POLICY (CS753/CS 761)</t>
  </si>
  <si>
    <t>JULY</t>
  </si>
  <si>
    <t>AUGUST</t>
  </si>
  <si>
    <t>SEP</t>
  </si>
  <si>
    <t>OCT</t>
  </si>
  <si>
    <t>NOV</t>
  </si>
  <si>
    <t>Total P</t>
  </si>
  <si>
    <t>Total A</t>
  </si>
  <si>
    <t xml:space="preserve">Total </t>
  </si>
  <si>
    <t>Present (%)</t>
  </si>
  <si>
    <t>SL.No.</t>
  </si>
  <si>
    <t xml:space="preserve">Register No. </t>
  </si>
  <si>
    <t>Student Name</t>
  </si>
  <si>
    <t>UI22EC01</t>
  </si>
  <si>
    <t>ABHISHEK TIWARI</t>
  </si>
  <si>
    <t>A</t>
  </si>
  <si>
    <t>P</t>
  </si>
  <si>
    <t>NC</t>
  </si>
  <si>
    <t>HOLIDAY</t>
  </si>
  <si>
    <t>H</t>
  </si>
  <si>
    <t>UI22EC06</t>
  </si>
  <si>
    <t>AMAN KUMAR</t>
  </si>
  <si>
    <t>UI22EC07</t>
  </si>
  <si>
    <t>AMAN PARMAR</t>
  </si>
  <si>
    <t>UI22EC09</t>
  </si>
  <si>
    <t>AMIT RAJ</t>
  </si>
  <si>
    <t>UI22EC11</t>
  </si>
  <si>
    <t>ANSH AGARWAL</t>
  </si>
  <si>
    <t>UI22EC13</t>
  </si>
  <si>
    <t>AYUSH DINESH PARDHI</t>
  </si>
  <si>
    <t>UI22EC16</t>
  </si>
  <si>
    <t>DESAI ROHAN SAGAR</t>
  </si>
  <si>
    <t>UI22EC17</t>
  </si>
  <si>
    <t>DEV DAS YADAV</t>
  </si>
  <si>
    <t>UI22EC20</t>
  </si>
  <si>
    <t>DHARMVEER GARG</t>
  </si>
  <si>
    <t>UI22EC21</t>
  </si>
  <si>
    <t>DHEERAJ KUMAR GUTHIKONDA</t>
  </si>
  <si>
    <t>UI22EC22</t>
  </si>
  <si>
    <t>DHRUV KUMAR MEENA</t>
  </si>
  <si>
    <t>UI22EC23</t>
  </si>
  <si>
    <t>DIVYANSHU VISHWAKARMA</t>
  </si>
  <si>
    <t>UI22EC25</t>
  </si>
  <si>
    <t>GOURAV KUMAR SHAW</t>
  </si>
  <si>
    <t>UI22EC26</t>
  </si>
  <si>
    <t>HARSH KUMAR</t>
  </si>
  <si>
    <t>UI22EC27</t>
  </si>
  <si>
    <t>HARSH SHARMA</t>
  </si>
  <si>
    <t>UI22EC28</t>
  </si>
  <si>
    <t>HARSHIT</t>
  </si>
  <si>
    <t>UI22EC30</t>
  </si>
  <si>
    <t>HARSHITA PURWAR</t>
  </si>
  <si>
    <t>UI22EC31</t>
  </si>
  <si>
    <t>JAHNAVI GORLE</t>
  </si>
  <si>
    <t>UI22EC32</t>
  </si>
  <si>
    <t>JAMILI SAI LAKSHMI PRIYANKA</t>
  </si>
  <si>
    <t>UI22EC33</t>
  </si>
  <si>
    <t>JANNU VIVEK SAM</t>
  </si>
  <si>
    <t>UI22EC34</t>
  </si>
  <si>
    <t>JARPULA NIRJALA</t>
  </si>
  <si>
    <t>UI22EC36</t>
  </si>
  <si>
    <t>KADAMATI PYDI THANMAY SAI</t>
  </si>
  <si>
    <t>UI22EC37</t>
  </si>
  <si>
    <t>KANKHAR HARSHVARDHAN PRADEEP</t>
  </si>
  <si>
    <t>UI22EC39</t>
  </si>
  <si>
    <t>LINCY BAINIWAL</t>
  </si>
  <si>
    <t>UI22EC41</t>
  </si>
  <si>
    <t>MADDI KOUSHIK</t>
  </si>
  <si>
    <t>UI22EC42</t>
  </si>
  <si>
    <t>MANCHIKATLA SAI CHARAN</t>
  </si>
  <si>
    <t>UI22EC43</t>
  </si>
  <si>
    <t>MYAKALA SAMEERA</t>
  </si>
  <si>
    <t>UI22EC45</t>
  </si>
  <si>
    <t>P AKSHITH</t>
  </si>
  <si>
    <t>UI22EC47</t>
  </si>
  <si>
    <t>PERKA MANOGNA</t>
  </si>
  <si>
    <t>UI22EC49</t>
  </si>
  <si>
    <t>PITLA NISHOK BABU</t>
  </si>
  <si>
    <t>UI22EC51</t>
  </si>
  <si>
    <t>PRAKHAR MISHRA</t>
  </si>
  <si>
    <t>UI22EC53</t>
  </si>
  <si>
    <t>PRATHAM SACHAN</t>
  </si>
  <si>
    <t>UI22EC54</t>
  </si>
  <si>
    <t>Praveen</t>
  </si>
  <si>
    <t>UI22EC55</t>
  </si>
  <si>
    <t>PRINCE PATEL</t>
  </si>
  <si>
    <t>UI22EC57</t>
  </si>
  <si>
    <t>PRIYANSHU PANCHAL</t>
  </si>
  <si>
    <t>UI22EC58</t>
  </si>
  <si>
    <t>RAHUL PATEL</t>
  </si>
  <si>
    <t>UI22EC60</t>
  </si>
  <si>
    <t>RUCHITA AGARWAL</t>
  </si>
  <si>
    <t>UI22EC61</t>
  </si>
  <si>
    <t>RUDRANSH MALVI</t>
  </si>
  <si>
    <t>UI22EC62</t>
  </si>
  <si>
    <t>SANJAY GOND</t>
  </si>
  <si>
    <t>UI22EC63</t>
  </si>
  <si>
    <t>SANJAY KUMAR</t>
  </si>
  <si>
    <t>UI22EC64</t>
  </si>
  <si>
    <t>SANYA</t>
  </si>
  <si>
    <t>UI22EC65</t>
  </si>
  <si>
    <t>SARTHAK KUMAR</t>
  </si>
  <si>
    <t>UI22EC66</t>
  </si>
  <si>
    <t>SARTHAK SACHIN PARDESHI</t>
  </si>
  <si>
    <t>UI22EC67</t>
  </si>
  <si>
    <t>SHAURYA BISHT</t>
  </si>
  <si>
    <t>UI22EC68</t>
  </si>
  <si>
    <t>SHIVAM KUMAR</t>
  </si>
  <si>
    <t>UI22EC69</t>
  </si>
  <si>
    <t>SHIVAM SAGAR</t>
  </si>
  <si>
    <t>UI22EC70</t>
  </si>
  <si>
    <t>SHRADESH JODAWAT</t>
  </si>
  <si>
    <t>UI22EC71</t>
  </si>
  <si>
    <t>SIDDHARTH KAUSHIK</t>
  </si>
  <si>
    <t>UI22EC73</t>
  </si>
  <si>
    <t>SOLANKI KISHOR KHANGARAM</t>
  </si>
  <si>
    <t>UI22EC74</t>
  </si>
  <si>
    <t>SUMIT</t>
  </si>
  <si>
    <t>UI22EC76</t>
  </si>
  <si>
    <t>SUNNY PRITAM</t>
  </si>
  <si>
    <t>UI22EC77</t>
  </si>
  <si>
    <t>TANYA PURWAR</t>
  </si>
  <si>
    <t>UI22EC78</t>
  </si>
  <si>
    <t>TIMMAREDDY DEEKSHITHA</t>
  </si>
  <si>
    <t>UI22EC80</t>
  </si>
  <si>
    <t>UPADHYAY PREKSHA RAJENBHAI</t>
  </si>
  <si>
    <t>UI22EC81</t>
  </si>
  <si>
    <t>VAIBHAV VARSHNEY</t>
  </si>
  <si>
    <t>UI22EC82</t>
  </si>
  <si>
    <t>VANSHIT SHIVANI</t>
  </si>
  <si>
    <t>UI22EC83</t>
  </si>
  <si>
    <t>VERMA AMAN JILAJEET</t>
  </si>
  <si>
    <t>UI22EC85</t>
  </si>
  <si>
    <t>VIKESH KUMAR</t>
  </si>
  <si>
    <t>UI22EC86</t>
  </si>
  <si>
    <t>VISHNU VERMA</t>
  </si>
  <si>
    <t>UI22EC87</t>
  </si>
  <si>
    <t>VISHU PATLE</t>
  </si>
  <si>
    <t>UI21EC23</t>
  </si>
  <si>
    <t>Dhas Avdhut Ghansham</t>
  </si>
  <si>
    <t>UI21EC34</t>
  </si>
  <si>
    <t>KRUSHANG DHARMESHKUMAR PATEL</t>
  </si>
  <si>
    <t>UI21EC63</t>
  </si>
  <si>
    <t>Shubham yadav</t>
  </si>
  <si>
    <t>UI21EC69</t>
  </si>
  <si>
    <t>VANACHARLA VENKATA NAGA SATYA SAI</t>
  </si>
  <si>
    <t>UI21EC75</t>
  </si>
  <si>
    <t>Kethavath surender</t>
  </si>
  <si>
    <t>UI20EC19</t>
  </si>
  <si>
    <t>GAURAV SINGH</t>
  </si>
  <si>
    <t>CSE</t>
  </si>
  <si>
    <t>UI22CS01</t>
  </si>
  <si>
    <t>ABHIKUMAR</t>
  </si>
  <si>
    <t>UI22CS02</t>
  </si>
  <si>
    <t>ABHISHEK RATHORE</t>
  </si>
  <si>
    <t>UI22CS03</t>
  </si>
  <si>
    <t>ADITYA KUMAR</t>
  </si>
  <si>
    <t>UI22CS04</t>
  </si>
  <si>
    <t>ADITYA NARAIN TIWARI</t>
  </si>
  <si>
    <t>UI22CS07</t>
  </si>
  <si>
    <t>ANISHA SODANI</t>
  </si>
  <si>
    <t>UI22CS08</t>
  </si>
  <si>
    <t>ANNESHA KUILA</t>
  </si>
  <si>
    <t>UI22CS09</t>
  </si>
  <si>
    <t>ANURAG KUMAR</t>
  </si>
  <si>
    <t>UI22CS12</t>
  </si>
  <si>
    <t>BHOKARKAR SHANTANU SHIVSAMB</t>
  </si>
  <si>
    <t>UI22CS13</t>
  </si>
  <si>
    <t>CHINTHAPARTHI HEMADEEPTHI</t>
  </si>
  <si>
    <t>UI22CS14</t>
  </si>
  <si>
    <t>DAKSH MARU</t>
  </si>
  <si>
    <t>UI22CS17</t>
  </si>
  <si>
    <t>DEVANSH KUSHWAHA</t>
  </si>
  <si>
    <t>UI22CS18</t>
  </si>
  <si>
    <t>DHEERAJ</t>
  </si>
  <si>
    <t>UI22CS20</t>
  </si>
  <si>
    <t>DIVYANSH SINGH</t>
  </si>
  <si>
    <t>UI22CS21</t>
  </si>
  <si>
    <t>DODDAPANENI DHANUSH</t>
  </si>
  <si>
    <t>UI22CS22</t>
  </si>
  <si>
    <t>DURGE ANWAY ANIL</t>
  </si>
  <si>
    <t>UI22CS23</t>
  </si>
  <si>
    <t>EEMANI JWALA SAI NAG MAHADEV</t>
  </si>
  <si>
    <t>UI22CS24</t>
  </si>
  <si>
    <t>ESLAVATH ADITYA</t>
  </si>
  <si>
    <t>UI22CS25</t>
  </si>
  <si>
    <t>GAJAL KUMAR</t>
  </si>
  <si>
    <t>UI22CS26</t>
  </si>
  <si>
    <t>GAVIREDDI HEMANTH</t>
  </si>
  <si>
    <t>UI22CS27</t>
  </si>
  <si>
    <t>GUNTI HEMANTH KUMAR</t>
  </si>
  <si>
    <t>UI22CS28</t>
  </si>
  <si>
    <t>HARSHVARDHAN MANI TRIPATHI</t>
  </si>
  <si>
    <t>UI22CS29</t>
  </si>
  <si>
    <t>JANHAVI RAJENDRA NAIK</t>
  </si>
  <si>
    <t>UI22CS30</t>
  </si>
  <si>
    <t>JHA SUDARSHAN RAMAN</t>
  </si>
  <si>
    <t>UI22CS31</t>
  </si>
  <si>
    <t>JOOKANTTI ABHINAV</t>
  </si>
  <si>
    <t>UI22CS34</t>
  </si>
  <si>
    <t>KASHISH DHURVE</t>
  </si>
  <si>
    <t>UI22CS36</t>
  </si>
  <si>
    <t>Shankar</t>
  </si>
  <si>
    <t>UI22CS38</t>
  </si>
  <si>
    <t>KONDETI LARA PRANEETH</t>
  </si>
  <si>
    <t>UI22CS40</t>
  </si>
  <si>
    <t>KURAPATI RAGHAVI</t>
  </si>
  <si>
    <t>UI22CS41</t>
  </si>
  <si>
    <t>KUSHAGRA</t>
  </si>
  <si>
    <t>UI22CS44</t>
  </si>
  <si>
    <t>MALOTH PRAVEEN</t>
  </si>
  <si>
    <t>UI22CS48</t>
  </si>
  <si>
    <t>MOHAMMADSAMI CHOUDHARI</t>
  </si>
  <si>
    <t>UI22CS49</t>
  </si>
  <si>
    <t>MOOD KRISHNA HARSHITHA</t>
  </si>
  <si>
    <t>UI22CS50</t>
  </si>
  <si>
    <t>MOTHUKURI NAGAVARDHAN</t>
  </si>
  <si>
    <t>UI22CS51</t>
  </si>
  <si>
    <t>NADE YOGESH RAJENDRA</t>
  </si>
  <si>
    <t>UI22CS52</t>
  </si>
  <si>
    <t>NANDINI SHARMA</t>
  </si>
  <si>
    <t>UI22CS55</t>
  </si>
  <si>
    <t>PAKALAPATI S R S KRISHNAM RAJU</t>
  </si>
  <si>
    <t>UI22CS57</t>
  </si>
  <si>
    <t>PANCHAL TEJKUMAR JAYESH</t>
  </si>
  <si>
    <t>UI22CS58</t>
  </si>
  <si>
    <t>PATEL DATTKUMAR VINODBHAI</t>
  </si>
  <si>
    <t>UI22CS60</t>
  </si>
  <si>
    <t>PAWAR SHIVANAND</t>
  </si>
  <si>
    <t>UI22CS61</t>
  </si>
  <si>
    <t>PRASHASTI VYAS</t>
  </si>
  <si>
    <t>UI22CS63</t>
  </si>
  <si>
    <t>PRIYANKA GOYAL</t>
  </si>
  <si>
    <t>UI22CS64</t>
  </si>
  <si>
    <t>PRIYANSHU TOMAR</t>
  </si>
  <si>
    <t>UI22CS65</t>
  </si>
  <si>
    <t>PULAPA RAKESH</t>
  </si>
  <si>
    <t>UI22CS67</t>
  </si>
  <si>
    <t>REDDY ABHINAV</t>
  </si>
  <si>
    <t>UI22CS69</t>
  </si>
  <si>
    <t>SABNIS VEDASHREE PRASAD</t>
  </si>
  <si>
    <t>UI22CS71</t>
  </si>
  <si>
    <t>SECHI BURMAN</t>
  </si>
  <si>
    <t>UI22CS72</t>
  </si>
  <si>
    <t>SHAURYA DEVANG BHAVSAR</t>
  </si>
  <si>
    <t>UI22CS78</t>
  </si>
  <si>
    <t>SUVRAT BAJPAI</t>
  </si>
  <si>
    <t>UI22CS79</t>
  </si>
  <si>
    <t>Tarpita</t>
  </si>
  <si>
    <t>UI22CS80</t>
  </si>
  <si>
    <t>TARUN KUMAR</t>
  </si>
  <si>
    <t>UI22CS82</t>
  </si>
  <si>
    <t>THELKALA REVANTH REDDY</t>
  </si>
  <si>
    <t>UI22CS83</t>
  </si>
  <si>
    <t>VATSAL KUMAR SINGH</t>
  </si>
  <si>
    <t>UI22CS85</t>
  </si>
  <si>
    <t>VIKAS KUMAR</t>
  </si>
  <si>
    <t>UI22CS86</t>
  </si>
  <si>
    <t>VIKAS SHARMA</t>
  </si>
  <si>
    <t>UI21CS35</t>
  </si>
  <si>
    <t>MALA NEERAJ SRINIVAS</t>
  </si>
  <si>
    <t>UI20CS06</t>
  </si>
  <si>
    <t>ANIRUDH PALIWAL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</si>
</sst>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"/>
  </numFmts>
  <fonts count="26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theme="1"/>
      <name val="Times New Roman"/>
    </font>
    <font>
      <b/>
      <sz val="11.0"/>
      <color theme="1"/>
      <name val="Arial"/>
    </font>
    <font>
      <b/>
      <sz val="11.0"/>
      <color rgb="FFFF0000"/>
      <name val="Arial"/>
    </font>
    <font>
      <sz val="11.0"/>
      <color theme="1"/>
      <name val="Times New Roman"/>
    </font>
    <font>
      <sz val="10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sz val="12.0"/>
      <color theme="1"/>
      <name val="Roboto"/>
    </font>
    <font>
      <sz val="11.0"/>
      <color rgb="FF70AD47"/>
      <name val="Calibri"/>
    </font>
    <font>
      <b/>
      <sz val="11.0"/>
      <color rgb="FF70AD47"/>
      <name val="Calibri"/>
    </font>
    <font>
      <b/>
      <sz val="11.0"/>
      <color rgb="FFFF0000"/>
      <name val="Times New Roman"/>
    </font>
    <font>
      <sz val="11.0"/>
      <color theme="1"/>
      <name val="Arial"/>
    </font>
    <font>
      <sz val="12.0"/>
      <color theme="1"/>
      <name val="Calibri"/>
    </font>
    <font>
      <sz val="12.0"/>
      <color rgb="FFFF0000"/>
      <name val="Roboto"/>
    </font>
    <font>
      <sz val="12.0"/>
      <color theme="1"/>
      <name val="Arial"/>
    </font>
    <font>
      <sz val="30.0"/>
      <color theme="1"/>
      <name val="Calibri"/>
    </font>
    <font>
      <color theme="1"/>
      <name val="Roboto"/>
    </font>
    <font>
      <color rgb="FFFF0000"/>
      <name val="Roboto"/>
    </font>
    <font>
      <sz val="11.0"/>
      <color rgb="FFFF0000"/>
      <name val="Calibri"/>
    </font>
    <font>
      <color theme="1"/>
      <name val="Arial"/>
    </font>
    <font>
      <sz val="11.0"/>
      <color rgb="FFFF0000"/>
      <name val="Times New Roman"/>
    </font>
    <font>
      <sz val="11.0"/>
      <color rgb="FFC00000"/>
      <name val="Times New Roman"/>
    </font>
    <font>
      <b/>
      <sz val="11.0"/>
      <color rgb="FFC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  <fill>
      <patternFill patternType="solid">
        <fgColor rgb="FFE2EFD9"/>
        <bgColor rgb="FFE2EFD9"/>
      </patternFill>
    </fill>
    <fill>
      <patternFill patternType="solid">
        <fgColor rgb="FF00FFFF"/>
        <bgColor rgb="FF00FFFF"/>
      </patternFill>
    </fill>
    <fill>
      <patternFill patternType="solid">
        <fgColor rgb="FFC00000"/>
        <bgColor rgb="FFC0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4" fillId="2" fontId="3" numFmtId="1" xfId="0" applyAlignment="1" applyBorder="1" applyFill="1" applyFont="1" applyNumberFormat="1">
      <alignment horizontal="center" shrinkToFit="0" vertical="center" wrapText="1"/>
    </xf>
    <xf borderId="4" fillId="3" fontId="3" numFmtId="1" xfId="0" applyAlignment="1" applyBorder="1" applyFill="1" applyFont="1" applyNumberFormat="1">
      <alignment horizontal="center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4" fontId="3" numFmtId="1" xfId="0" applyAlignment="1" applyBorder="1" applyFont="1" applyNumberFormat="1">
      <alignment horizontal="center" readingOrder="0" shrinkToFit="0" vertical="center" wrapText="1"/>
    </xf>
    <xf borderId="1" fillId="4" fontId="3" numFmtId="1" xfId="0" applyAlignment="1" applyBorder="1" applyFont="1" applyNumberFormat="1">
      <alignment horizontal="center" readingOrder="0" shrinkToFit="0" vertical="center" wrapText="1"/>
    </xf>
    <xf borderId="5" fillId="4" fontId="1" numFmtId="1" xfId="0" applyAlignment="1" applyBorder="1" applyFont="1" applyNumberFormat="1">
      <alignment readingOrder="0"/>
    </xf>
    <xf borderId="6" fillId="4" fontId="3" numFmtId="1" xfId="0" applyAlignment="1" applyBorder="1" applyFont="1" applyNumberFormat="1">
      <alignment horizontal="center" readingOrder="0" shrinkToFit="0" vertical="center" wrapText="1"/>
    </xf>
    <xf borderId="6" fillId="4" fontId="3" numFmtId="1" xfId="0" applyAlignment="1" applyBorder="1" applyFont="1" applyNumberFormat="1">
      <alignment readingOrder="0" shrinkToFit="0" vertical="center" wrapText="1"/>
    </xf>
    <xf borderId="4" fillId="4" fontId="3" numFmtId="1" xfId="0" applyAlignment="1" applyBorder="1" applyFont="1" applyNumberFormat="1">
      <alignment horizontal="center" shrinkToFit="0" vertical="center" wrapText="1"/>
    </xf>
    <xf borderId="4" fillId="4" fontId="6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4" fillId="5" fontId="9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 vertical="bottom"/>
    </xf>
    <xf borderId="4" fillId="0" fontId="13" numFmtId="1" xfId="0" applyAlignment="1" applyBorder="1" applyFont="1" applyNumberFormat="1">
      <alignment horizontal="center" shrinkToFit="0" vertical="center" wrapText="1"/>
    </xf>
    <xf borderId="0" fillId="0" fontId="14" numFmtId="0" xfId="0" applyFont="1"/>
    <xf borderId="5" fillId="5" fontId="9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vertical="bottom"/>
    </xf>
    <xf borderId="4" fillId="3" fontId="10" numFmtId="0" xfId="0" applyAlignment="1" applyBorder="1" applyFont="1">
      <alignment readingOrder="0" shrinkToFit="0" vertical="bottom" wrapText="0"/>
    </xf>
    <xf borderId="4" fillId="3" fontId="10" numFmtId="0" xfId="0" applyAlignment="1" applyBorder="1" applyFont="1">
      <alignment shrinkToFit="0" vertical="bottom" wrapText="0"/>
    </xf>
    <xf borderId="4" fillId="0" fontId="10" numFmtId="1" xfId="0" applyAlignment="1" applyBorder="1" applyFont="1" applyNumberFormat="1">
      <alignment shrinkToFit="0" vertical="bottom" wrapText="0"/>
    </xf>
    <xf borderId="4" fillId="0" fontId="16" numFmtId="0" xfId="0" applyAlignment="1" applyBorder="1" applyFont="1">
      <alignment horizontal="center" vertical="bottom"/>
    </xf>
    <xf borderId="4" fillId="0" fontId="16" numFmtId="0" xfId="0" applyAlignment="1" applyBorder="1" applyFont="1">
      <alignment shrinkToFit="0" vertical="bottom" wrapText="0"/>
    </xf>
    <xf borderId="4" fillId="0" fontId="16" numFmtId="0" xfId="0" applyAlignment="1" applyBorder="1" applyFont="1">
      <alignment horizontal="center" readingOrder="0" vertical="bottom"/>
    </xf>
    <xf borderId="4" fillId="3" fontId="16" numFmtId="0" xfId="0" applyAlignment="1" applyBorder="1" applyFont="1">
      <alignment readingOrder="0" shrinkToFit="0" vertical="bottom" wrapText="0"/>
    </xf>
    <xf borderId="4" fillId="6" fontId="10" numFmtId="0" xfId="0" applyAlignment="1" applyBorder="1" applyFill="1" applyFont="1">
      <alignment horizontal="center" vertical="bottom"/>
    </xf>
    <xf borderId="4" fillId="6" fontId="10" numFmtId="0" xfId="0" applyAlignment="1" applyBorder="1" applyFont="1">
      <alignment shrinkToFit="0" vertical="bottom" wrapText="0"/>
    </xf>
    <xf borderId="4" fillId="6" fontId="17" numFmtId="0" xfId="0" applyAlignment="1" applyBorder="1" applyFont="1">
      <alignment vertical="bottom"/>
    </xf>
    <xf borderId="7" fillId="5" fontId="18" numFmtId="0" xfId="0" applyAlignment="1" applyBorder="1" applyFont="1">
      <alignment horizontal="center" readingOrder="0" vertical="bottom"/>
    </xf>
    <xf borderId="8" fillId="0" fontId="2" numFmtId="0" xfId="0" applyBorder="1" applyFont="1"/>
    <xf borderId="7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5" fillId="5" fontId="9" numFmtId="0" xfId="0" applyAlignment="1" applyBorder="1" applyFont="1">
      <alignment horizontal="center" readingOrder="0" vertical="bottom"/>
    </xf>
    <xf borderId="4" fillId="3" fontId="19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4" fillId="7" fontId="19" numFmtId="0" xfId="0" applyAlignment="1" applyBorder="1" applyFill="1" applyFont="1">
      <alignment horizontal="center" vertical="bottom"/>
    </xf>
    <xf borderId="4" fillId="7" fontId="9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20" numFmtId="0" xfId="0" applyAlignment="1" applyBorder="1" applyFont="1">
      <alignment horizontal="center" vertical="bottom"/>
    </xf>
    <xf borderId="4" fillId="0" fontId="21" numFmtId="0" xfId="0" applyAlignment="1" applyBorder="1" applyFont="1">
      <alignment vertical="bottom"/>
    </xf>
    <xf borderId="4" fillId="6" fontId="22" numFmtId="0" xfId="0" applyAlignment="1" applyBorder="1" applyFont="1">
      <alignment vertical="bottom"/>
    </xf>
    <xf borderId="4" fillId="5" fontId="9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4" fillId="0" fontId="21" numFmtId="0" xfId="0" applyAlignment="1" applyBorder="1" applyFont="1">
      <alignment vertical="bottom"/>
    </xf>
    <xf borderId="4" fillId="0" fontId="23" numFmtId="0" xfId="0" applyAlignment="1" applyBorder="1" applyFont="1">
      <alignment horizontal="center" readingOrder="0" shrinkToFit="0" vertical="center" wrapText="1"/>
    </xf>
    <xf borderId="4" fillId="0" fontId="23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24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C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2.25"/>
    <col customWidth="1" min="3" max="3" width="39.75"/>
    <col customWidth="1" min="4" max="4" width="2.5"/>
    <col customWidth="1" min="5" max="8" width="3.25"/>
    <col customWidth="1" min="9" max="12" width="3.63"/>
    <col customWidth="1" min="13" max="20" width="3.25"/>
    <col customWidth="1" min="21" max="21" width="3.88"/>
    <col customWidth="1" min="22" max="23" width="3.75"/>
    <col customWidth="1" min="24" max="24" width="2.63"/>
    <col customWidth="1" min="25" max="25" width="2.88"/>
    <col customWidth="1" min="26" max="26" width="1.88"/>
    <col customWidth="1" min="27" max="27" width="3.13"/>
    <col customWidth="1" min="28" max="29" width="2.75"/>
    <col customWidth="1" min="30" max="30" width="3.13"/>
    <col customWidth="1" min="31" max="31" width="2.88"/>
    <col customWidth="1" min="32" max="32" width="3.0"/>
    <col customWidth="1" min="33" max="33" width="3.13"/>
    <col customWidth="1" min="34" max="34" width="2.75"/>
    <col customWidth="1" min="35" max="35" width="3.38"/>
    <col customWidth="1" min="36" max="36" width="3.0"/>
    <col customWidth="1" min="37" max="37" width="3.13"/>
    <col customWidth="1" min="38" max="39" width="3.38"/>
    <col customWidth="1" min="40" max="40" width="3.25"/>
    <col customWidth="1" min="41" max="41" width="3.38"/>
    <col customWidth="1" min="42" max="44" width="3.75"/>
    <col customWidth="1" min="45" max="45" width="7.25"/>
    <col customWidth="1" min="46" max="46" width="6.88"/>
    <col customWidth="1" min="47" max="47" width="6.13"/>
    <col customWidth="1" min="48" max="48" width="7.38"/>
    <col customWidth="1" min="49" max="49" width="8.0"/>
  </cols>
  <sheetData>
    <row r="1" ht="105.75" customHeight="1">
      <c r="A1" s="1" t="s">
        <v>0</v>
      </c>
      <c r="B1" s="2"/>
      <c r="C1" s="3"/>
      <c r="D1" s="4" t="s">
        <v>1</v>
      </c>
      <c r="E1" s="5" t="s">
        <v>2</v>
      </c>
      <c r="F1" s="2"/>
      <c r="G1" s="2"/>
      <c r="H1" s="2"/>
      <c r="I1" s="2"/>
      <c r="J1" s="2"/>
      <c r="K1" s="2"/>
      <c r="L1" s="2"/>
      <c r="M1" s="2"/>
      <c r="N1" s="2"/>
      <c r="O1" s="5" t="s">
        <v>3</v>
      </c>
      <c r="P1" s="2"/>
      <c r="Q1" s="2"/>
      <c r="R1" s="2"/>
      <c r="S1" s="2"/>
      <c r="T1" s="2"/>
      <c r="U1" s="2"/>
      <c r="V1" s="2"/>
      <c r="W1" s="2"/>
      <c r="X1" s="2"/>
      <c r="Y1" s="4" t="s">
        <v>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5" t="s">
        <v>5</v>
      </c>
      <c r="AK1" s="2"/>
      <c r="AL1" s="2"/>
      <c r="AM1" s="2"/>
      <c r="AN1" s="2"/>
      <c r="AO1" s="2"/>
      <c r="AP1" s="2"/>
      <c r="AQ1" s="2"/>
      <c r="AR1" s="3"/>
      <c r="AS1" s="6" t="s">
        <v>6</v>
      </c>
      <c r="AT1" s="7" t="s">
        <v>7</v>
      </c>
      <c r="AU1" s="6" t="s">
        <v>8</v>
      </c>
      <c r="AV1" s="8" t="s">
        <v>9</v>
      </c>
      <c r="AW1" s="9"/>
    </row>
    <row r="2">
      <c r="A2" s="10"/>
      <c r="B2" s="11"/>
      <c r="C2" s="11"/>
      <c r="D2" s="12"/>
      <c r="E2" s="12"/>
      <c r="F2" s="12"/>
      <c r="G2" s="12"/>
      <c r="H2" s="12"/>
      <c r="I2" s="12"/>
      <c r="J2" s="12"/>
      <c r="K2" s="1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4"/>
      <c r="AW2" s="9"/>
    </row>
    <row r="3" ht="18.0" customHeight="1">
      <c r="A3" s="15" t="s">
        <v>10</v>
      </c>
      <c r="B3" s="16" t="s">
        <v>11</v>
      </c>
      <c r="C3" s="17" t="s">
        <v>12</v>
      </c>
      <c r="D3" s="18">
        <v>30.0</v>
      </c>
      <c r="E3" s="18">
        <v>4.0</v>
      </c>
      <c r="F3" s="18">
        <v>6.0</v>
      </c>
      <c r="G3" s="18">
        <v>8.0</v>
      </c>
      <c r="H3" s="18">
        <v>11.0</v>
      </c>
      <c r="I3" s="19">
        <v>13.0</v>
      </c>
      <c r="J3" s="20">
        <v>14.0</v>
      </c>
      <c r="K3" s="21">
        <v>18.0</v>
      </c>
      <c r="L3" s="22">
        <v>20.0</v>
      </c>
      <c r="M3" s="22">
        <v>21.0</v>
      </c>
      <c r="N3" s="22">
        <v>28.0</v>
      </c>
      <c r="O3" s="20">
        <v>2.0</v>
      </c>
      <c r="P3" s="20">
        <v>3.0</v>
      </c>
      <c r="Q3" s="20">
        <v>4.0</v>
      </c>
      <c r="R3" s="19">
        <v>9.0</v>
      </c>
      <c r="S3" s="23">
        <v>10.0</v>
      </c>
      <c r="T3" s="24">
        <v>11.0</v>
      </c>
      <c r="U3" s="19">
        <v>16.0</v>
      </c>
      <c r="V3" s="19">
        <v>17.0</v>
      </c>
      <c r="W3" s="19">
        <v>18.0</v>
      </c>
      <c r="X3" s="19">
        <v>30.0</v>
      </c>
      <c r="Y3" s="19">
        <v>1.0</v>
      </c>
      <c r="Z3" s="19">
        <v>2.0</v>
      </c>
      <c r="AA3" s="19">
        <v>7.0</v>
      </c>
      <c r="AB3" s="19">
        <v>8.0</v>
      </c>
      <c r="AC3" s="19">
        <v>9.0</v>
      </c>
      <c r="AD3" s="19">
        <v>14.0</v>
      </c>
      <c r="AE3" s="19">
        <v>15.0</v>
      </c>
      <c r="AF3" s="19">
        <v>16.0</v>
      </c>
      <c r="AG3" s="19">
        <v>28.0</v>
      </c>
      <c r="AH3" s="19">
        <v>29.0</v>
      </c>
      <c r="AI3" s="19">
        <v>30.0</v>
      </c>
      <c r="AJ3" s="19">
        <v>4.0</v>
      </c>
      <c r="AK3" s="19">
        <v>5.0</v>
      </c>
      <c r="AL3" s="19">
        <v>6.0</v>
      </c>
      <c r="AM3" s="19">
        <v>11.0</v>
      </c>
      <c r="AN3" s="19">
        <v>12.0</v>
      </c>
      <c r="AO3" s="19">
        <v>13.0</v>
      </c>
      <c r="AP3" s="19">
        <v>18.0</v>
      </c>
      <c r="AQ3" s="19">
        <v>19.0</v>
      </c>
      <c r="AR3" s="19">
        <v>20.0</v>
      </c>
      <c r="AS3" s="25"/>
      <c r="AT3" s="25"/>
      <c r="AU3" s="25"/>
      <c r="AV3" s="25"/>
      <c r="AW3" s="26"/>
    </row>
    <row r="4" ht="15.0" customHeight="1">
      <c r="A4" s="27">
        <v>1.0</v>
      </c>
      <c r="B4" s="28" t="s">
        <v>13</v>
      </c>
      <c r="C4" s="29" t="s">
        <v>14</v>
      </c>
      <c r="D4" s="30" t="s">
        <v>15</v>
      </c>
      <c r="E4" s="30" t="s">
        <v>15</v>
      </c>
      <c r="F4" s="30" t="s">
        <v>16</v>
      </c>
      <c r="G4" s="30" t="s">
        <v>15</v>
      </c>
      <c r="H4" s="30" t="s">
        <v>15</v>
      </c>
      <c r="I4" s="30" t="s">
        <v>16</v>
      </c>
      <c r="J4" s="30" t="s">
        <v>16</v>
      </c>
      <c r="K4" s="30" t="s">
        <v>16</v>
      </c>
      <c r="L4" s="30" t="s">
        <v>15</v>
      </c>
      <c r="M4" s="30" t="s">
        <v>16</v>
      </c>
      <c r="N4" s="31" t="s">
        <v>15</v>
      </c>
      <c r="O4" s="31" t="s">
        <v>15</v>
      </c>
      <c r="P4" s="31" t="s">
        <v>15</v>
      </c>
      <c r="Q4" s="31" t="s">
        <v>16</v>
      </c>
      <c r="R4" s="31" t="s">
        <v>15</v>
      </c>
      <c r="S4" s="31" t="s">
        <v>16</v>
      </c>
      <c r="T4" s="31" t="s">
        <v>16</v>
      </c>
      <c r="U4" s="31" t="s">
        <v>16</v>
      </c>
      <c r="V4" s="31" t="s">
        <v>15</v>
      </c>
      <c r="W4" s="31" t="s">
        <v>15</v>
      </c>
      <c r="X4" s="31" t="s">
        <v>17</v>
      </c>
      <c r="Y4" s="31" t="s">
        <v>15</v>
      </c>
      <c r="Z4" s="31" t="s">
        <v>18</v>
      </c>
      <c r="AA4" s="31" t="s">
        <v>15</v>
      </c>
      <c r="AB4" s="31" t="s">
        <v>16</v>
      </c>
      <c r="AC4" s="31" t="s">
        <v>16</v>
      </c>
      <c r="AD4" s="31" t="s">
        <v>15</v>
      </c>
      <c r="AE4" s="31" t="s">
        <v>15</v>
      </c>
      <c r="AF4" s="31" t="s">
        <v>15</v>
      </c>
      <c r="AG4" s="31" t="s">
        <v>16</v>
      </c>
      <c r="AH4" s="31" t="s">
        <v>15</v>
      </c>
      <c r="AI4" s="31" t="s">
        <v>15</v>
      </c>
      <c r="AJ4" s="31" t="s">
        <v>16</v>
      </c>
      <c r="AK4" s="31" t="s">
        <v>19</v>
      </c>
      <c r="AL4" s="31" t="s">
        <v>16</v>
      </c>
      <c r="AM4" s="31" t="s">
        <v>16</v>
      </c>
      <c r="AN4" s="31" t="s">
        <v>16</v>
      </c>
      <c r="AO4" s="31" t="s">
        <v>16</v>
      </c>
      <c r="AP4" s="31" t="s">
        <v>16</v>
      </c>
      <c r="AQ4" s="31" t="s">
        <v>16</v>
      </c>
      <c r="AR4" s="31" t="s">
        <v>16</v>
      </c>
      <c r="AS4" s="8">
        <f t="shared" ref="AS4:AS70" si="1">COUNTIF(D4:AQ4,"P")</f>
        <v>19</v>
      </c>
      <c r="AT4" s="8">
        <f t="shared" ref="AT4:AT70" si="2">COUNTIF(D4:AQ4,"A")</f>
        <v>18</v>
      </c>
      <c r="AU4" s="8">
        <f t="shared" ref="AU4:AU70" si="3">SUM(AS4,AT4)</f>
        <v>37</v>
      </c>
      <c r="AV4" s="32">
        <f t="shared" ref="AV4:AV70" si="4">(AS4/AU4)*100</f>
        <v>51.35135135</v>
      </c>
      <c r="AW4" s="33"/>
    </row>
    <row r="5" ht="15.0" customHeight="1">
      <c r="A5" s="34">
        <v>2.0</v>
      </c>
      <c r="B5" s="28" t="s">
        <v>20</v>
      </c>
      <c r="C5" s="29" t="s">
        <v>21</v>
      </c>
      <c r="D5" s="30" t="s">
        <v>15</v>
      </c>
      <c r="E5" s="30" t="s">
        <v>15</v>
      </c>
      <c r="F5" s="30" t="s">
        <v>16</v>
      </c>
      <c r="G5" s="30" t="s">
        <v>15</v>
      </c>
      <c r="H5" s="30" t="s">
        <v>15</v>
      </c>
      <c r="I5" s="30" t="s">
        <v>16</v>
      </c>
      <c r="J5" s="30" t="s">
        <v>15</v>
      </c>
      <c r="K5" s="30" t="s">
        <v>16</v>
      </c>
      <c r="L5" s="30" t="s">
        <v>15</v>
      </c>
      <c r="M5" s="30" t="s">
        <v>15</v>
      </c>
      <c r="N5" s="31" t="s">
        <v>16</v>
      </c>
      <c r="O5" s="31" t="s">
        <v>16</v>
      </c>
      <c r="P5" s="31" t="s">
        <v>15</v>
      </c>
      <c r="Q5" s="31" t="s">
        <v>16</v>
      </c>
      <c r="R5" s="31" t="s">
        <v>15</v>
      </c>
      <c r="S5" s="31" t="s">
        <v>16</v>
      </c>
      <c r="T5" s="31" t="s">
        <v>16</v>
      </c>
      <c r="U5" s="31" t="s">
        <v>15</v>
      </c>
      <c r="V5" s="31" t="s">
        <v>15</v>
      </c>
      <c r="W5" s="31" t="s">
        <v>15</v>
      </c>
      <c r="X5" s="35"/>
      <c r="Y5" s="31" t="s">
        <v>15</v>
      </c>
      <c r="Z5" s="35"/>
      <c r="AA5" s="31" t="s">
        <v>16</v>
      </c>
      <c r="AB5" s="31" t="s">
        <v>16</v>
      </c>
      <c r="AC5" s="31" t="s">
        <v>16</v>
      </c>
      <c r="AD5" s="31" t="s">
        <v>16</v>
      </c>
      <c r="AE5" s="31" t="s">
        <v>15</v>
      </c>
      <c r="AF5" s="31" t="s">
        <v>16</v>
      </c>
      <c r="AG5" s="31" t="s">
        <v>16</v>
      </c>
      <c r="AH5" s="31" t="s">
        <v>16</v>
      </c>
      <c r="AI5" s="31" t="s">
        <v>15</v>
      </c>
      <c r="AJ5" s="31" t="s">
        <v>16</v>
      </c>
      <c r="AK5" s="35"/>
      <c r="AL5" s="31" t="s">
        <v>15</v>
      </c>
      <c r="AM5" s="31" t="s">
        <v>15</v>
      </c>
      <c r="AN5" s="31" t="s">
        <v>16</v>
      </c>
      <c r="AO5" s="31" t="s">
        <v>16</v>
      </c>
      <c r="AP5" s="31" t="s">
        <v>16</v>
      </c>
      <c r="AQ5" s="31" t="s">
        <v>15</v>
      </c>
      <c r="AR5" s="31" t="s">
        <v>16</v>
      </c>
      <c r="AS5" s="8">
        <f t="shared" si="1"/>
        <v>19</v>
      </c>
      <c r="AT5" s="8">
        <f t="shared" si="2"/>
        <v>18</v>
      </c>
      <c r="AU5" s="8">
        <f t="shared" si="3"/>
        <v>37</v>
      </c>
      <c r="AV5" s="32">
        <f t="shared" si="4"/>
        <v>51.35135135</v>
      </c>
      <c r="AW5" s="33"/>
    </row>
    <row r="6" ht="15.0" customHeight="1">
      <c r="A6" s="34">
        <v>3.0</v>
      </c>
      <c r="B6" s="28" t="s">
        <v>22</v>
      </c>
      <c r="C6" s="29" t="s">
        <v>23</v>
      </c>
      <c r="D6" s="30" t="s">
        <v>15</v>
      </c>
      <c r="E6" s="30" t="s">
        <v>15</v>
      </c>
      <c r="F6" s="30" t="s">
        <v>15</v>
      </c>
      <c r="G6" s="30" t="s">
        <v>15</v>
      </c>
      <c r="H6" s="30" t="s">
        <v>16</v>
      </c>
      <c r="I6" s="30" t="s">
        <v>16</v>
      </c>
      <c r="J6" s="30" t="s">
        <v>15</v>
      </c>
      <c r="K6" s="30" t="s">
        <v>16</v>
      </c>
      <c r="L6" s="30" t="s">
        <v>15</v>
      </c>
      <c r="M6" s="30" t="s">
        <v>16</v>
      </c>
      <c r="N6" s="31" t="s">
        <v>16</v>
      </c>
      <c r="O6" s="31" t="s">
        <v>16</v>
      </c>
      <c r="P6" s="31" t="s">
        <v>15</v>
      </c>
      <c r="Q6" s="31" t="s">
        <v>16</v>
      </c>
      <c r="R6" s="31" t="s">
        <v>16</v>
      </c>
      <c r="S6" s="31" t="s">
        <v>15</v>
      </c>
      <c r="T6" s="31" t="s">
        <v>16</v>
      </c>
      <c r="U6" s="31" t="s">
        <v>16</v>
      </c>
      <c r="V6" s="31" t="s">
        <v>15</v>
      </c>
      <c r="W6" s="31" t="s">
        <v>16</v>
      </c>
      <c r="X6" s="35"/>
      <c r="Y6" s="31" t="s">
        <v>15</v>
      </c>
      <c r="Z6" s="35"/>
      <c r="AA6" s="31" t="s">
        <v>15</v>
      </c>
      <c r="AB6" s="31" t="s">
        <v>16</v>
      </c>
      <c r="AC6" s="31" t="s">
        <v>16</v>
      </c>
      <c r="AD6" s="31" t="s">
        <v>16</v>
      </c>
      <c r="AE6" s="31" t="s">
        <v>15</v>
      </c>
      <c r="AF6" s="31" t="s">
        <v>16</v>
      </c>
      <c r="AG6" s="31" t="s">
        <v>16</v>
      </c>
      <c r="AH6" s="31" t="s">
        <v>15</v>
      </c>
      <c r="AI6" s="31" t="s">
        <v>16</v>
      </c>
      <c r="AJ6" s="31" t="s">
        <v>16</v>
      </c>
      <c r="AK6" s="35"/>
      <c r="AL6" s="31" t="s">
        <v>15</v>
      </c>
      <c r="AM6" s="31" t="s">
        <v>15</v>
      </c>
      <c r="AN6" s="31" t="s">
        <v>16</v>
      </c>
      <c r="AO6" s="31" t="s">
        <v>15</v>
      </c>
      <c r="AP6" s="31" t="s">
        <v>16</v>
      </c>
      <c r="AQ6" s="31" t="s">
        <v>15</v>
      </c>
      <c r="AR6" s="31" t="s">
        <v>16</v>
      </c>
      <c r="AS6" s="8">
        <f t="shared" si="1"/>
        <v>20</v>
      </c>
      <c r="AT6" s="8">
        <f t="shared" si="2"/>
        <v>17</v>
      </c>
      <c r="AU6" s="8">
        <f t="shared" si="3"/>
        <v>37</v>
      </c>
      <c r="AV6" s="32">
        <f t="shared" si="4"/>
        <v>54.05405405</v>
      </c>
      <c r="AW6" s="33"/>
    </row>
    <row r="7" ht="15.0" customHeight="1">
      <c r="A7" s="34">
        <v>4.0</v>
      </c>
      <c r="B7" s="28" t="s">
        <v>24</v>
      </c>
      <c r="C7" s="29" t="s">
        <v>25</v>
      </c>
      <c r="D7" s="30" t="s">
        <v>15</v>
      </c>
      <c r="E7" s="30" t="s">
        <v>15</v>
      </c>
      <c r="F7" s="30" t="s">
        <v>15</v>
      </c>
      <c r="G7" s="30" t="s">
        <v>15</v>
      </c>
      <c r="H7" s="30" t="s">
        <v>15</v>
      </c>
      <c r="I7" s="30" t="s">
        <v>15</v>
      </c>
      <c r="J7" s="30" t="s">
        <v>15</v>
      </c>
      <c r="K7" s="30" t="s">
        <v>15</v>
      </c>
      <c r="L7" s="30" t="s">
        <v>15</v>
      </c>
      <c r="M7" s="30" t="s">
        <v>16</v>
      </c>
      <c r="N7" s="31" t="s">
        <v>16</v>
      </c>
      <c r="O7" s="31" t="s">
        <v>16</v>
      </c>
      <c r="P7" s="31" t="s">
        <v>15</v>
      </c>
      <c r="Q7" s="31" t="s">
        <v>16</v>
      </c>
      <c r="R7" s="31" t="s">
        <v>15</v>
      </c>
      <c r="S7" s="31" t="s">
        <v>15</v>
      </c>
      <c r="T7" s="31" t="s">
        <v>16</v>
      </c>
      <c r="U7" s="31" t="s">
        <v>16</v>
      </c>
      <c r="V7" s="31" t="s">
        <v>15</v>
      </c>
      <c r="W7" s="31" t="s">
        <v>15</v>
      </c>
      <c r="X7" s="35"/>
      <c r="Y7" s="31" t="s">
        <v>16</v>
      </c>
      <c r="Z7" s="35"/>
      <c r="AA7" s="31" t="s">
        <v>16</v>
      </c>
      <c r="AB7" s="31" t="s">
        <v>16</v>
      </c>
      <c r="AC7" s="31" t="s">
        <v>16</v>
      </c>
      <c r="AD7" s="31" t="s">
        <v>16</v>
      </c>
      <c r="AE7" s="31" t="s">
        <v>16</v>
      </c>
      <c r="AF7" s="31" t="s">
        <v>16</v>
      </c>
      <c r="AG7" s="31" t="s">
        <v>16</v>
      </c>
      <c r="AH7" s="31" t="s">
        <v>15</v>
      </c>
      <c r="AI7" s="31" t="s">
        <v>16</v>
      </c>
      <c r="AJ7" s="31" t="s">
        <v>16</v>
      </c>
      <c r="AK7" s="35"/>
      <c r="AL7" s="31" t="s">
        <v>16</v>
      </c>
      <c r="AM7" s="31" t="s">
        <v>16</v>
      </c>
      <c r="AN7" s="31" t="s">
        <v>15</v>
      </c>
      <c r="AO7" s="31" t="s">
        <v>16</v>
      </c>
      <c r="AP7" s="31" t="s">
        <v>15</v>
      </c>
      <c r="AQ7" s="31" t="s">
        <v>16</v>
      </c>
      <c r="AR7" s="31" t="s">
        <v>16</v>
      </c>
      <c r="AS7" s="8">
        <f t="shared" si="1"/>
        <v>20</v>
      </c>
      <c r="AT7" s="8">
        <f t="shared" si="2"/>
        <v>17</v>
      </c>
      <c r="AU7" s="8">
        <f t="shared" si="3"/>
        <v>37</v>
      </c>
      <c r="AV7" s="32">
        <f t="shared" si="4"/>
        <v>54.05405405</v>
      </c>
      <c r="AW7" s="33"/>
    </row>
    <row r="8" ht="15.0" customHeight="1">
      <c r="A8" s="34">
        <v>5.0</v>
      </c>
      <c r="B8" s="28" t="s">
        <v>26</v>
      </c>
      <c r="C8" s="29" t="s">
        <v>27</v>
      </c>
      <c r="D8" s="30" t="s">
        <v>15</v>
      </c>
      <c r="E8" s="30" t="s">
        <v>16</v>
      </c>
      <c r="F8" s="30" t="s">
        <v>16</v>
      </c>
      <c r="G8" s="30" t="s">
        <v>15</v>
      </c>
      <c r="H8" s="30" t="s">
        <v>15</v>
      </c>
      <c r="I8" s="30" t="s">
        <v>16</v>
      </c>
      <c r="J8" s="30" t="s">
        <v>16</v>
      </c>
      <c r="K8" s="30" t="s">
        <v>16</v>
      </c>
      <c r="L8" s="30" t="s">
        <v>15</v>
      </c>
      <c r="M8" s="30" t="s">
        <v>15</v>
      </c>
      <c r="N8" s="31" t="s">
        <v>16</v>
      </c>
      <c r="O8" s="31" t="s">
        <v>16</v>
      </c>
      <c r="P8" s="31" t="s">
        <v>15</v>
      </c>
      <c r="Q8" s="31" t="s">
        <v>15</v>
      </c>
      <c r="R8" s="31" t="s">
        <v>15</v>
      </c>
      <c r="S8" s="31" t="s">
        <v>15</v>
      </c>
      <c r="T8" s="31" t="s">
        <v>15</v>
      </c>
      <c r="U8" s="31" t="s">
        <v>16</v>
      </c>
      <c r="V8" s="31" t="s">
        <v>15</v>
      </c>
      <c r="W8" s="31" t="s">
        <v>16</v>
      </c>
      <c r="X8" s="35"/>
      <c r="Y8" s="31" t="s">
        <v>15</v>
      </c>
      <c r="Z8" s="35"/>
      <c r="AA8" s="31" t="s">
        <v>16</v>
      </c>
      <c r="AB8" s="31" t="s">
        <v>16</v>
      </c>
      <c r="AC8" s="31" t="s">
        <v>15</v>
      </c>
      <c r="AD8" s="31" t="s">
        <v>15</v>
      </c>
      <c r="AE8" s="31" t="s">
        <v>15</v>
      </c>
      <c r="AF8" s="31" t="s">
        <v>15</v>
      </c>
      <c r="AG8" s="31" t="s">
        <v>16</v>
      </c>
      <c r="AH8" s="31" t="s">
        <v>16</v>
      </c>
      <c r="AI8" s="31" t="s">
        <v>16</v>
      </c>
      <c r="AJ8" s="31" t="s">
        <v>15</v>
      </c>
      <c r="AK8" s="35"/>
      <c r="AL8" s="31" t="s">
        <v>16</v>
      </c>
      <c r="AM8" s="31" t="s">
        <v>15</v>
      </c>
      <c r="AN8" s="31" t="s">
        <v>16</v>
      </c>
      <c r="AO8" s="31" t="s">
        <v>16</v>
      </c>
      <c r="AP8" s="31" t="s">
        <v>15</v>
      </c>
      <c r="AQ8" s="31" t="s">
        <v>15</v>
      </c>
      <c r="AR8" s="31" t="s">
        <v>15</v>
      </c>
      <c r="AS8" s="8">
        <f t="shared" si="1"/>
        <v>17</v>
      </c>
      <c r="AT8" s="8">
        <f t="shared" si="2"/>
        <v>20</v>
      </c>
      <c r="AU8" s="8">
        <f t="shared" si="3"/>
        <v>37</v>
      </c>
      <c r="AV8" s="32">
        <f t="shared" si="4"/>
        <v>45.94594595</v>
      </c>
      <c r="AW8" s="33"/>
    </row>
    <row r="9" ht="15.0" customHeight="1">
      <c r="A9" s="34">
        <v>6.0</v>
      </c>
      <c r="B9" s="28" t="s">
        <v>28</v>
      </c>
      <c r="C9" s="29" t="s">
        <v>29</v>
      </c>
      <c r="D9" s="30" t="s">
        <v>15</v>
      </c>
      <c r="E9" s="30" t="s">
        <v>15</v>
      </c>
      <c r="F9" s="30" t="s">
        <v>16</v>
      </c>
      <c r="G9" s="30" t="s">
        <v>16</v>
      </c>
      <c r="H9" s="30" t="s">
        <v>15</v>
      </c>
      <c r="I9" s="30" t="s">
        <v>16</v>
      </c>
      <c r="J9" s="30" t="s">
        <v>16</v>
      </c>
      <c r="K9" s="30" t="s">
        <v>16</v>
      </c>
      <c r="L9" s="30" t="s">
        <v>15</v>
      </c>
      <c r="M9" s="30" t="s">
        <v>16</v>
      </c>
      <c r="N9" s="31" t="s">
        <v>16</v>
      </c>
      <c r="O9" s="31" t="s">
        <v>15</v>
      </c>
      <c r="P9" s="31" t="s">
        <v>16</v>
      </c>
      <c r="Q9" s="31" t="s">
        <v>15</v>
      </c>
      <c r="R9" s="31" t="s">
        <v>16</v>
      </c>
      <c r="S9" s="31" t="s">
        <v>16</v>
      </c>
      <c r="T9" s="31" t="s">
        <v>16</v>
      </c>
      <c r="U9" s="31" t="s">
        <v>16</v>
      </c>
      <c r="V9" s="31" t="s">
        <v>16</v>
      </c>
      <c r="W9" s="31" t="s">
        <v>16</v>
      </c>
      <c r="X9" s="35"/>
      <c r="Y9" s="31" t="s">
        <v>16</v>
      </c>
      <c r="Z9" s="35"/>
      <c r="AA9" s="31" t="s">
        <v>16</v>
      </c>
      <c r="AB9" s="31" t="s">
        <v>16</v>
      </c>
      <c r="AC9" s="31" t="s">
        <v>16</v>
      </c>
      <c r="AD9" s="31" t="s">
        <v>16</v>
      </c>
      <c r="AE9" s="31" t="s">
        <v>15</v>
      </c>
      <c r="AF9" s="31" t="s">
        <v>16</v>
      </c>
      <c r="AG9" s="31" t="s">
        <v>16</v>
      </c>
      <c r="AH9" s="31" t="s">
        <v>15</v>
      </c>
      <c r="AI9" s="31" t="s">
        <v>15</v>
      </c>
      <c r="AJ9" s="31" t="s">
        <v>16</v>
      </c>
      <c r="AK9" s="35"/>
      <c r="AL9" s="31" t="s">
        <v>15</v>
      </c>
      <c r="AM9" s="31" t="s">
        <v>16</v>
      </c>
      <c r="AN9" s="31" t="s">
        <v>15</v>
      </c>
      <c r="AO9" s="31" t="s">
        <v>16</v>
      </c>
      <c r="AP9" s="31" t="s">
        <v>15</v>
      </c>
      <c r="AQ9" s="31" t="s">
        <v>15</v>
      </c>
      <c r="AR9" s="31" t="s">
        <v>16</v>
      </c>
      <c r="AS9" s="8">
        <f t="shared" si="1"/>
        <v>24</v>
      </c>
      <c r="AT9" s="8">
        <f t="shared" si="2"/>
        <v>13</v>
      </c>
      <c r="AU9" s="8">
        <f t="shared" si="3"/>
        <v>37</v>
      </c>
      <c r="AV9" s="32">
        <f t="shared" si="4"/>
        <v>64.86486486</v>
      </c>
      <c r="AW9" s="33"/>
    </row>
    <row r="10" ht="15.0" customHeight="1">
      <c r="A10" s="34">
        <v>7.0</v>
      </c>
      <c r="B10" s="28" t="s">
        <v>30</v>
      </c>
      <c r="C10" s="29" t="s">
        <v>31</v>
      </c>
      <c r="D10" s="30" t="s">
        <v>15</v>
      </c>
      <c r="E10" s="30" t="s">
        <v>15</v>
      </c>
      <c r="F10" s="30" t="s">
        <v>16</v>
      </c>
      <c r="G10" s="30" t="s">
        <v>16</v>
      </c>
      <c r="H10" s="30" t="s">
        <v>16</v>
      </c>
      <c r="I10" s="30" t="s">
        <v>16</v>
      </c>
      <c r="J10" s="30" t="s">
        <v>16</v>
      </c>
      <c r="K10" s="30" t="s">
        <v>16</v>
      </c>
      <c r="L10" s="30" t="s">
        <v>15</v>
      </c>
      <c r="M10" s="30" t="s">
        <v>16</v>
      </c>
      <c r="N10" s="31" t="s">
        <v>16</v>
      </c>
      <c r="O10" s="31" t="s">
        <v>16</v>
      </c>
      <c r="P10" s="31" t="s">
        <v>16</v>
      </c>
      <c r="Q10" s="31" t="s">
        <v>16</v>
      </c>
      <c r="R10" s="31" t="s">
        <v>16</v>
      </c>
      <c r="S10" s="31" t="s">
        <v>16</v>
      </c>
      <c r="T10" s="31" t="s">
        <v>16</v>
      </c>
      <c r="U10" s="31" t="s">
        <v>16</v>
      </c>
      <c r="V10" s="31" t="s">
        <v>15</v>
      </c>
      <c r="W10" s="31" t="s">
        <v>16</v>
      </c>
      <c r="X10" s="35"/>
      <c r="Y10" s="31" t="s">
        <v>15</v>
      </c>
      <c r="Z10" s="35"/>
      <c r="AA10" s="31" t="s">
        <v>16</v>
      </c>
      <c r="AB10" s="31" t="s">
        <v>15</v>
      </c>
      <c r="AC10" s="31" t="s">
        <v>16</v>
      </c>
      <c r="AD10" s="31" t="s">
        <v>16</v>
      </c>
      <c r="AE10" s="31" t="s">
        <v>16</v>
      </c>
      <c r="AF10" s="31" t="s">
        <v>16</v>
      </c>
      <c r="AG10" s="31" t="s">
        <v>16</v>
      </c>
      <c r="AH10" s="31" t="s">
        <v>15</v>
      </c>
      <c r="AI10" s="31" t="s">
        <v>15</v>
      </c>
      <c r="AJ10" s="31" t="s">
        <v>15</v>
      </c>
      <c r="AK10" s="35"/>
      <c r="AL10" s="31" t="s">
        <v>16</v>
      </c>
      <c r="AM10" s="31" t="s">
        <v>16</v>
      </c>
      <c r="AN10" s="31" t="s">
        <v>16</v>
      </c>
      <c r="AO10" s="31" t="s">
        <v>16</v>
      </c>
      <c r="AP10" s="31" t="s">
        <v>16</v>
      </c>
      <c r="AQ10" s="31" t="s">
        <v>15</v>
      </c>
      <c r="AR10" s="31" t="s">
        <v>16</v>
      </c>
      <c r="AS10" s="8">
        <f t="shared" si="1"/>
        <v>27</v>
      </c>
      <c r="AT10" s="8">
        <f t="shared" si="2"/>
        <v>10</v>
      </c>
      <c r="AU10" s="8">
        <f t="shared" si="3"/>
        <v>37</v>
      </c>
      <c r="AV10" s="32">
        <f t="shared" si="4"/>
        <v>72.97297297</v>
      </c>
      <c r="AW10" s="33"/>
    </row>
    <row r="11" ht="15.0" customHeight="1">
      <c r="A11" s="34">
        <v>8.0</v>
      </c>
      <c r="B11" s="36" t="s">
        <v>32</v>
      </c>
      <c r="C11" s="29" t="s">
        <v>33</v>
      </c>
      <c r="D11" s="30" t="s">
        <v>16</v>
      </c>
      <c r="E11" s="30" t="s">
        <v>15</v>
      </c>
      <c r="F11" s="30" t="s">
        <v>16</v>
      </c>
      <c r="G11" s="30" t="s">
        <v>15</v>
      </c>
      <c r="H11" s="30" t="s">
        <v>15</v>
      </c>
      <c r="I11" s="30" t="s">
        <v>16</v>
      </c>
      <c r="J11" s="30" t="s">
        <v>16</v>
      </c>
      <c r="K11" s="30" t="s">
        <v>16</v>
      </c>
      <c r="L11" s="30" t="s">
        <v>15</v>
      </c>
      <c r="M11" s="30" t="s">
        <v>16</v>
      </c>
      <c r="N11" s="31" t="s">
        <v>16</v>
      </c>
      <c r="O11" s="31" t="s">
        <v>16</v>
      </c>
      <c r="P11" s="31" t="s">
        <v>15</v>
      </c>
      <c r="Q11" s="31" t="s">
        <v>16</v>
      </c>
      <c r="R11" s="31" t="s">
        <v>16</v>
      </c>
      <c r="S11" s="31" t="s">
        <v>16</v>
      </c>
      <c r="T11" s="31" t="s">
        <v>15</v>
      </c>
      <c r="U11" s="31" t="s">
        <v>15</v>
      </c>
      <c r="V11" s="31" t="s">
        <v>16</v>
      </c>
      <c r="W11" s="31" t="s">
        <v>15</v>
      </c>
      <c r="X11" s="35"/>
      <c r="Y11" s="31" t="s">
        <v>16</v>
      </c>
      <c r="Z11" s="35"/>
      <c r="AA11" s="31" t="s">
        <v>15</v>
      </c>
      <c r="AB11" s="31" t="s">
        <v>15</v>
      </c>
      <c r="AC11" s="31" t="s">
        <v>16</v>
      </c>
      <c r="AD11" s="31" t="s">
        <v>16</v>
      </c>
      <c r="AE11" s="31" t="s">
        <v>16</v>
      </c>
      <c r="AF11" s="31" t="s">
        <v>16</v>
      </c>
      <c r="AG11" s="31" t="s">
        <v>16</v>
      </c>
      <c r="AH11" s="31" t="s">
        <v>15</v>
      </c>
      <c r="AI11" s="31" t="s">
        <v>15</v>
      </c>
      <c r="AJ11" s="31" t="s">
        <v>16</v>
      </c>
      <c r="AK11" s="35"/>
      <c r="AL11" s="31" t="s">
        <v>16</v>
      </c>
      <c r="AM11" s="31" t="s">
        <v>15</v>
      </c>
      <c r="AN11" s="31" t="s">
        <v>16</v>
      </c>
      <c r="AO11" s="31" t="s">
        <v>16</v>
      </c>
      <c r="AP11" s="31" t="s">
        <v>15</v>
      </c>
      <c r="AQ11" s="31" t="s">
        <v>15</v>
      </c>
      <c r="AR11" s="31" t="s">
        <v>16</v>
      </c>
      <c r="AS11" s="8">
        <f t="shared" si="1"/>
        <v>22</v>
      </c>
      <c r="AT11" s="8">
        <f t="shared" si="2"/>
        <v>15</v>
      </c>
      <c r="AU11" s="8">
        <f t="shared" si="3"/>
        <v>37</v>
      </c>
      <c r="AV11" s="32">
        <f t="shared" si="4"/>
        <v>59.45945946</v>
      </c>
      <c r="AW11" s="33"/>
    </row>
    <row r="12" ht="15.0" customHeight="1">
      <c r="A12" s="34">
        <v>9.0</v>
      </c>
      <c r="B12" s="28" t="s">
        <v>34</v>
      </c>
      <c r="C12" s="29" t="s">
        <v>35</v>
      </c>
      <c r="D12" s="30" t="s">
        <v>15</v>
      </c>
      <c r="E12" s="30" t="s">
        <v>15</v>
      </c>
      <c r="F12" s="30" t="s">
        <v>15</v>
      </c>
      <c r="G12" s="30" t="s">
        <v>15</v>
      </c>
      <c r="H12" s="30" t="s">
        <v>15</v>
      </c>
      <c r="I12" s="30" t="s">
        <v>16</v>
      </c>
      <c r="J12" s="30" t="s">
        <v>16</v>
      </c>
      <c r="K12" s="30" t="s">
        <v>16</v>
      </c>
      <c r="L12" s="30" t="s">
        <v>15</v>
      </c>
      <c r="M12" s="30" t="s">
        <v>16</v>
      </c>
      <c r="N12" s="31" t="s">
        <v>16</v>
      </c>
      <c r="O12" s="31" t="s">
        <v>16</v>
      </c>
      <c r="P12" s="31" t="s">
        <v>15</v>
      </c>
      <c r="Q12" s="31" t="s">
        <v>16</v>
      </c>
      <c r="R12" s="31" t="s">
        <v>16</v>
      </c>
      <c r="S12" s="31" t="s">
        <v>15</v>
      </c>
      <c r="T12" s="31" t="s">
        <v>16</v>
      </c>
      <c r="U12" s="31" t="s">
        <v>15</v>
      </c>
      <c r="V12" s="31" t="s">
        <v>16</v>
      </c>
      <c r="W12" s="31" t="s">
        <v>16</v>
      </c>
      <c r="X12" s="35"/>
      <c r="Y12" s="31" t="s">
        <v>15</v>
      </c>
      <c r="Z12" s="35"/>
      <c r="AA12" s="31" t="s">
        <v>16</v>
      </c>
      <c r="AB12" s="31" t="s">
        <v>16</v>
      </c>
      <c r="AC12" s="31" t="s">
        <v>16</v>
      </c>
      <c r="AD12" s="31" t="s">
        <v>16</v>
      </c>
      <c r="AE12" s="31" t="s">
        <v>16</v>
      </c>
      <c r="AF12" s="31" t="s">
        <v>15</v>
      </c>
      <c r="AG12" s="31" t="s">
        <v>16</v>
      </c>
      <c r="AH12" s="31" t="s">
        <v>15</v>
      </c>
      <c r="AI12" s="31" t="s">
        <v>15</v>
      </c>
      <c r="AJ12" s="31" t="s">
        <v>15</v>
      </c>
      <c r="AK12" s="35"/>
      <c r="AL12" s="31" t="s">
        <v>16</v>
      </c>
      <c r="AM12" s="31" t="s">
        <v>16</v>
      </c>
      <c r="AN12" s="31" t="s">
        <v>16</v>
      </c>
      <c r="AO12" s="31" t="s">
        <v>16</v>
      </c>
      <c r="AP12" s="31" t="s">
        <v>16</v>
      </c>
      <c r="AQ12" s="31" t="s">
        <v>15</v>
      </c>
      <c r="AR12" s="31" t="s">
        <v>16</v>
      </c>
      <c r="AS12" s="8">
        <f t="shared" si="1"/>
        <v>22</v>
      </c>
      <c r="AT12" s="8">
        <f t="shared" si="2"/>
        <v>15</v>
      </c>
      <c r="AU12" s="8">
        <f t="shared" si="3"/>
        <v>37</v>
      </c>
      <c r="AV12" s="32">
        <f t="shared" si="4"/>
        <v>59.45945946</v>
      </c>
      <c r="AW12" s="33"/>
    </row>
    <row r="13">
      <c r="A13" s="34">
        <v>10.0</v>
      </c>
      <c r="B13" s="36" t="s">
        <v>36</v>
      </c>
      <c r="C13" s="29" t="s">
        <v>37</v>
      </c>
      <c r="D13" s="30" t="s">
        <v>15</v>
      </c>
      <c r="E13" s="30" t="s">
        <v>15</v>
      </c>
      <c r="F13" s="30" t="s">
        <v>15</v>
      </c>
      <c r="G13" s="30" t="s">
        <v>15</v>
      </c>
      <c r="H13" s="30" t="s">
        <v>16</v>
      </c>
      <c r="I13" s="30" t="s">
        <v>15</v>
      </c>
      <c r="J13" s="30" t="s">
        <v>15</v>
      </c>
      <c r="K13" s="30" t="s">
        <v>16</v>
      </c>
      <c r="L13" s="30" t="s">
        <v>15</v>
      </c>
      <c r="M13" s="30" t="s">
        <v>16</v>
      </c>
      <c r="N13" s="31" t="s">
        <v>15</v>
      </c>
      <c r="O13" s="31" t="s">
        <v>16</v>
      </c>
      <c r="P13" s="31" t="s">
        <v>15</v>
      </c>
      <c r="Q13" s="31" t="s">
        <v>15</v>
      </c>
      <c r="R13" s="31" t="s">
        <v>15</v>
      </c>
      <c r="S13" s="31" t="s">
        <v>15</v>
      </c>
      <c r="T13" s="31" t="s">
        <v>16</v>
      </c>
      <c r="U13" s="31" t="s">
        <v>15</v>
      </c>
      <c r="V13" s="31" t="s">
        <v>16</v>
      </c>
      <c r="W13" s="31" t="s">
        <v>16</v>
      </c>
      <c r="X13" s="35"/>
      <c r="Y13" s="31" t="s">
        <v>15</v>
      </c>
      <c r="Z13" s="35"/>
      <c r="AA13" s="31" t="s">
        <v>15</v>
      </c>
      <c r="AB13" s="31" t="s">
        <v>15</v>
      </c>
      <c r="AC13" s="31" t="s">
        <v>16</v>
      </c>
      <c r="AD13" s="31" t="s">
        <v>16</v>
      </c>
      <c r="AE13" s="31" t="s">
        <v>16</v>
      </c>
      <c r="AF13" s="31" t="s">
        <v>16</v>
      </c>
      <c r="AG13" s="31" t="s">
        <v>16</v>
      </c>
      <c r="AH13" s="31" t="s">
        <v>16</v>
      </c>
      <c r="AI13" s="31" t="s">
        <v>15</v>
      </c>
      <c r="AJ13" s="31" t="s">
        <v>16</v>
      </c>
      <c r="AK13" s="35"/>
      <c r="AL13" s="31" t="s">
        <v>16</v>
      </c>
      <c r="AM13" s="31" t="s">
        <v>15</v>
      </c>
      <c r="AN13" s="31" t="s">
        <v>16</v>
      </c>
      <c r="AO13" s="31" t="s">
        <v>16</v>
      </c>
      <c r="AP13" s="31" t="s">
        <v>16</v>
      </c>
      <c r="AQ13" s="31" t="s">
        <v>15</v>
      </c>
      <c r="AR13" s="31" t="s">
        <v>16</v>
      </c>
      <c r="AS13" s="8">
        <f t="shared" si="1"/>
        <v>18</v>
      </c>
      <c r="AT13" s="8">
        <f t="shared" si="2"/>
        <v>19</v>
      </c>
      <c r="AU13" s="8">
        <f t="shared" si="3"/>
        <v>37</v>
      </c>
      <c r="AV13" s="32">
        <f t="shared" si="4"/>
        <v>48.64864865</v>
      </c>
      <c r="AW13" s="33"/>
    </row>
    <row r="14">
      <c r="A14" s="34">
        <v>11.0</v>
      </c>
      <c r="B14" s="28" t="s">
        <v>38</v>
      </c>
      <c r="C14" s="29" t="s">
        <v>39</v>
      </c>
      <c r="D14" s="30" t="s">
        <v>15</v>
      </c>
      <c r="E14" s="30" t="s">
        <v>15</v>
      </c>
      <c r="F14" s="30" t="s">
        <v>16</v>
      </c>
      <c r="G14" s="30" t="s">
        <v>16</v>
      </c>
      <c r="H14" s="30" t="s">
        <v>16</v>
      </c>
      <c r="I14" s="30" t="s">
        <v>16</v>
      </c>
      <c r="J14" s="30" t="s">
        <v>16</v>
      </c>
      <c r="K14" s="30" t="s">
        <v>16</v>
      </c>
      <c r="L14" s="30" t="s">
        <v>15</v>
      </c>
      <c r="M14" s="30" t="s">
        <v>15</v>
      </c>
      <c r="N14" s="31" t="s">
        <v>16</v>
      </c>
      <c r="O14" s="31" t="s">
        <v>16</v>
      </c>
      <c r="P14" s="31" t="s">
        <v>16</v>
      </c>
      <c r="Q14" s="31" t="s">
        <v>15</v>
      </c>
      <c r="R14" s="31" t="s">
        <v>16</v>
      </c>
      <c r="S14" s="31" t="s">
        <v>16</v>
      </c>
      <c r="T14" s="31" t="s">
        <v>16</v>
      </c>
      <c r="U14" s="31" t="s">
        <v>16</v>
      </c>
      <c r="V14" s="31" t="s">
        <v>15</v>
      </c>
      <c r="W14" s="31" t="s">
        <v>15</v>
      </c>
      <c r="X14" s="35"/>
      <c r="Y14" s="31" t="s">
        <v>15</v>
      </c>
      <c r="Z14" s="35"/>
      <c r="AA14" s="31" t="s">
        <v>16</v>
      </c>
      <c r="AB14" s="31" t="s">
        <v>16</v>
      </c>
      <c r="AC14" s="31" t="s">
        <v>16</v>
      </c>
      <c r="AD14" s="31" t="s">
        <v>15</v>
      </c>
      <c r="AE14" s="31" t="s">
        <v>15</v>
      </c>
      <c r="AF14" s="31" t="s">
        <v>15</v>
      </c>
      <c r="AG14" s="31" t="s">
        <v>16</v>
      </c>
      <c r="AH14" s="31" t="s">
        <v>15</v>
      </c>
      <c r="AI14" s="31" t="s">
        <v>15</v>
      </c>
      <c r="AJ14" s="31" t="s">
        <v>15</v>
      </c>
      <c r="AK14" s="35"/>
      <c r="AL14" s="31" t="s">
        <v>15</v>
      </c>
      <c r="AM14" s="31" t="s">
        <v>15</v>
      </c>
      <c r="AN14" s="31" t="s">
        <v>16</v>
      </c>
      <c r="AO14" s="31" t="s">
        <v>16</v>
      </c>
      <c r="AP14" s="31" t="s">
        <v>15</v>
      </c>
      <c r="AQ14" s="31" t="s">
        <v>15</v>
      </c>
      <c r="AR14" s="31" t="s">
        <v>15</v>
      </c>
      <c r="AS14" s="8">
        <f t="shared" si="1"/>
        <v>19</v>
      </c>
      <c r="AT14" s="8">
        <f t="shared" si="2"/>
        <v>18</v>
      </c>
      <c r="AU14" s="8">
        <f t="shared" si="3"/>
        <v>37</v>
      </c>
      <c r="AV14" s="32">
        <f t="shared" si="4"/>
        <v>51.35135135</v>
      </c>
      <c r="AW14" s="33"/>
    </row>
    <row r="15">
      <c r="A15" s="34">
        <v>12.0</v>
      </c>
      <c r="B15" s="28" t="s">
        <v>40</v>
      </c>
      <c r="C15" s="29" t="s">
        <v>41</v>
      </c>
      <c r="D15" s="30" t="s">
        <v>15</v>
      </c>
      <c r="E15" s="30" t="s">
        <v>15</v>
      </c>
      <c r="F15" s="30" t="s">
        <v>16</v>
      </c>
      <c r="G15" s="30" t="s">
        <v>16</v>
      </c>
      <c r="H15" s="30" t="s">
        <v>15</v>
      </c>
      <c r="I15" s="30" t="s">
        <v>16</v>
      </c>
      <c r="J15" s="30" t="s">
        <v>15</v>
      </c>
      <c r="K15" s="30" t="s">
        <v>16</v>
      </c>
      <c r="L15" s="30" t="s">
        <v>15</v>
      </c>
      <c r="M15" s="30" t="s">
        <v>15</v>
      </c>
      <c r="N15" s="31" t="s">
        <v>15</v>
      </c>
      <c r="O15" s="31" t="s">
        <v>16</v>
      </c>
      <c r="P15" s="31" t="s">
        <v>15</v>
      </c>
      <c r="Q15" s="31" t="s">
        <v>16</v>
      </c>
      <c r="R15" s="31" t="s">
        <v>15</v>
      </c>
      <c r="S15" s="31" t="s">
        <v>16</v>
      </c>
      <c r="T15" s="31" t="s">
        <v>16</v>
      </c>
      <c r="U15" s="31" t="s">
        <v>15</v>
      </c>
      <c r="V15" s="31" t="s">
        <v>15</v>
      </c>
      <c r="W15" s="31" t="s">
        <v>16</v>
      </c>
      <c r="X15" s="35"/>
      <c r="Y15" s="31" t="s">
        <v>15</v>
      </c>
      <c r="Z15" s="35"/>
      <c r="AA15" s="31" t="s">
        <v>15</v>
      </c>
      <c r="AB15" s="31" t="s">
        <v>16</v>
      </c>
      <c r="AC15" s="31" t="s">
        <v>16</v>
      </c>
      <c r="AD15" s="31" t="s">
        <v>16</v>
      </c>
      <c r="AE15" s="31" t="s">
        <v>15</v>
      </c>
      <c r="AF15" s="31" t="s">
        <v>16</v>
      </c>
      <c r="AG15" s="31" t="s">
        <v>16</v>
      </c>
      <c r="AH15" s="31" t="s">
        <v>15</v>
      </c>
      <c r="AI15" s="31" t="s">
        <v>15</v>
      </c>
      <c r="AJ15" s="31" t="s">
        <v>16</v>
      </c>
      <c r="AK15" s="35"/>
      <c r="AL15" s="31" t="s">
        <v>16</v>
      </c>
      <c r="AM15" s="31" t="s">
        <v>16</v>
      </c>
      <c r="AN15" s="31" t="s">
        <v>16</v>
      </c>
      <c r="AO15" s="31" t="s">
        <v>16</v>
      </c>
      <c r="AP15" s="31" t="s">
        <v>16</v>
      </c>
      <c r="AQ15" s="31" t="s">
        <v>16</v>
      </c>
      <c r="AR15" s="31" t="s">
        <v>15</v>
      </c>
      <c r="AS15" s="8">
        <f t="shared" si="1"/>
        <v>21</v>
      </c>
      <c r="AT15" s="8">
        <f t="shared" si="2"/>
        <v>16</v>
      </c>
      <c r="AU15" s="8">
        <f t="shared" si="3"/>
        <v>37</v>
      </c>
      <c r="AV15" s="32">
        <f t="shared" si="4"/>
        <v>56.75675676</v>
      </c>
      <c r="AW15" s="33"/>
    </row>
    <row r="16" ht="15.75" customHeight="1">
      <c r="A16" s="34">
        <v>13.0</v>
      </c>
      <c r="B16" s="28" t="s">
        <v>42</v>
      </c>
      <c r="C16" s="29" t="s">
        <v>43</v>
      </c>
      <c r="D16" s="30" t="s">
        <v>15</v>
      </c>
      <c r="E16" s="30" t="s">
        <v>15</v>
      </c>
      <c r="F16" s="30" t="s">
        <v>16</v>
      </c>
      <c r="G16" s="30" t="s">
        <v>15</v>
      </c>
      <c r="H16" s="30" t="s">
        <v>15</v>
      </c>
      <c r="I16" s="30" t="s">
        <v>16</v>
      </c>
      <c r="J16" s="30" t="s">
        <v>15</v>
      </c>
      <c r="K16" s="30" t="s">
        <v>16</v>
      </c>
      <c r="L16" s="30" t="s">
        <v>15</v>
      </c>
      <c r="M16" s="30" t="s">
        <v>15</v>
      </c>
      <c r="N16" s="31" t="s">
        <v>16</v>
      </c>
      <c r="O16" s="31" t="s">
        <v>16</v>
      </c>
      <c r="P16" s="31" t="s">
        <v>15</v>
      </c>
      <c r="Q16" s="31" t="s">
        <v>16</v>
      </c>
      <c r="R16" s="31" t="s">
        <v>15</v>
      </c>
      <c r="S16" s="31" t="s">
        <v>15</v>
      </c>
      <c r="T16" s="31" t="s">
        <v>16</v>
      </c>
      <c r="U16" s="31" t="s">
        <v>16</v>
      </c>
      <c r="V16" s="31" t="s">
        <v>15</v>
      </c>
      <c r="W16" s="31" t="s">
        <v>16</v>
      </c>
      <c r="X16" s="35"/>
      <c r="Y16" s="31" t="s">
        <v>15</v>
      </c>
      <c r="Z16" s="35"/>
      <c r="AA16" s="31" t="s">
        <v>15</v>
      </c>
      <c r="AB16" s="31" t="s">
        <v>16</v>
      </c>
      <c r="AC16" s="31" t="s">
        <v>15</v>
      </c>
      <c r="AD16" s="31" t="s">
        <v>15</v>
      </c>
      <c r="AE16" s="31" t="s">
        <v>15</v>
      </c>
      <c r="AF16" s="31" t="s">
        <v>15</v>
      </c>
      <c r="AG16" s="31" t="s">
        <v>16</v>
      </c>
      <c r="AH16" s="31" t="s">
        <v>15</v>
      </c>
      <c r="AI16" s="31" t="s">
        <v>15</v>
      </c>
      <c r="AJ16" s="31" t="s">
        <v>15</v>
      </c>
      <c r="AK16" s="35"/>
      <c r="AL16" s="31" t="s">
        <v>16</v>
      </c>
      <c r="AM16" s="31" t="s">
        <v>16</v>
      </c>
      <c r="AN16" s="31" t="s">
        <v>16</v>
      </c>
      <c r="AO16" s="31" t="s">
        <v>16</v>
      </c>
      <c r="AP16" s="31" t="s">
        <v>15</v>
      </c>
      <c r="AQ16" s="31" t="s">
        <v>15</v>
      </c>
      <c r="AR16" s="31" t="s">
        <v>15</v>
      </c>
      <c r="AS16" s="8">
        <f t="shared" si="1"/>
        <v>15</v>
      </c>
      <c r="AT16" s="8">
        <f t="shared" si="2"/>
        <v>22</v>
      </c>
      <c r="AU16" s="8">
        <f t="shared" si="3"/>
        <v>37</v>
      </c>
      <c r="AV16" s="32">
        <f t="shared" si="4"/>
        <v>40.54054054</v>
      </c>
      <c r="AW16" s="33"/>
    </row>
    <row r="17" ht="15.75" customHeight="1">
      <c r="A17" s="34">
        <v>14.0</v>
      </c>
      <c r="B17" s="28" t="s">
        <v>44</v>
      </c>
      <c r="C17" s="29" t="s">
        <v>45</v>
      </c>
      <c r="D17" s="30" t="s">
        <v>15</v>
      </c>
      <c r="E17" s="30" t="s">
        <v>15</v>
      </c>
      <c r="F17" s="30" t="s">
        <v>16</v>
      </c>
      <c r="G17" s="30" t="s">
        <v>16</v>
      </c>
      <c r="H17" s="30" t="s">
        <v>15</v>
      </c>
      <c r="I17" s="30" t="s">
        <v>16</v>
      </c>
      <c r="J17" s="30" t="s">
        <v>15</v>
      </c>
      <c r="K17" s="30" t="s">
        <v>15</v>
      </c>
      <c r="L17" s="30" t="s">
        <v>15</v>
      </c>
      <c r="M17" s="30" t="s">
        <v>15</v>
      </c>
      <c r="N17" s="31" t="s">
        <v>16</v>
      </c>
      <c r="O17" s="31" t="s">
        <v>16</v>
      </c>
      <c r="P17" s="31" t="s">
        <v>15</v>
      </c>
      <c r="Q17" s="31" t="s">
        <v>16</v>
      </c>
      <c r="R17" s="31" t="s">
        <v>16</v>
      </c>
      <c r="S17" s="31" t="s">
        <v>16</v>
      </c>
      <c r="T17" s="31" t="s">
        <v>16</v>
      </c>
      <c r="U17" s="31" t="s">
        <v>16</v>
      </c>
      <c r="V17" s="31" t="s">
        <v>15</v>
      </c>
      <c r="W17" s="31" t="s">
        <v>16</v>
      </c>
      <c r="X17" s="35"/>
      <c r="Y17" s="31" t="s">
        <v>15</v>
      </c>
      <c r="Z17" s="35"/>
      <c r="AA17" s="31" t="s">
        <v>15</v>
      </c>
      <c r="AB17" s="31" t="s">
        <v>16</v>
      </c>
      <c r="AC17" s="31" t="s">
        <v>16</v>
      </c>
      <c r="AD17" s="31" t="s">
        <v>16</v>
      </c>
      <c r="AE17" s="31" t="s">
        <v>15</v>
      </c>
      <c r="AF17" s="31" t="s">
        <v>16</v>
      </c>
      <c r="AG17" s="31" t="s">
        <v>16</v>
      </c>
      <c r="AH17" s="31" t="s">
        <v>16</v>
      </c>
      <c r="AI17" s="31" t="s">
        <v>15</v>
      </c>
      <c r="AJ17" s="31" t="s">
        <v>16</v>
      </c>
      <c r="AK17" s="35"/>
      <c r="AL17" s="31" t="s">
        <v>16</v>
      </c>
      <c r="AM17" s="31" t="s">
        <v>15</v>
      </c>
      <c r="AN17" s="31" t="s">
        <v>16</v>
      </c>
      <c r="AO17" s="31" t="s">
        <v>16</v>
      </c>
      <c r="AP17" s="31" t="s">
        <v>15</v>
      </c>
      <c r="AQ17" s="31" t="s">
        <v>15</v>
      </c>
      <c r="AR17" s="31" t="s">
        <v>15</v>
      </c>
      <c r="AS17" s="8">
        <f t="shared" si="1"/>
        <v>21</v>
      </c>
      <c r="AT17" s="8">
        <f t="shared" si="2"/>
        <v>16</v>
      </c>
      <c r="AU17" s="8">
        <f t="shared" si="3"/>
        <v>37</v>
      </c>
      <c r="AV17" s="32">
        <f t="shared" si="4"/>
        <v>56.75675676</v>
      </c>
      <c r="AW17" s="33"/>
    </row>
    <row r="18" ht="15.75" customHeight="1">
      <c r="A18" s="34">
        <v>15.0</v>
      </c>
      <c r="B18" s="28" t="s">
        <v>46</v>
      </c>
      <c r="C18" s="29" t="s">
        <v>47</v>
      </c>
      <c r="D18" s="30" t="s">
        <v>15</v>
      </c>
      <c r="E18" s="30" t="s">
        <v>15</v>
      </c>
      <c r="F18" s="30" t="s">
        <v>16</v>
      </c>
      <c r="G18" s="30" t="s">
        <v>15</v>
      </c>
      <c r="H18" s="30" t="s">
        <v>16</v>
      </c>
      <c r="I18" s="30" t="s">
        <v>16</v>
      </c>
      <c r="J18" s="30" t="s">
        <v>16</v>
      </c>
      <c r="K18" s="30" t="s">
        <v>16</v>
      </c>
      <c r="L18" s="30" t="s">
        <v>15</v>
      </c>
      <c r="M18" s="30" t="s">
        <v>16</v>
      </c>
      <c r="N18" s="31" t="s">
        <v>16</v>
      </c>
      <c r="O18" s="31" t="s">
        <v>16</v>
      </c>
      <c r="P18" s="31" t="s">
        <v>15</v>
      </c>
      <c r="Q18" s="31" t="s">
        <v>16</v>
      </c>
      <c r="R18" s="31" t="s">
        <v>16</v>
      </c>
      <c r="S18" s="31" t="s">
        <v>16</v>
      </c>
      <c r="T18" s="31" t="s">
        <v>16</v>
      </c>
      <c r="U18" s="31" t="s">
        <v>16</v>
      </c>
      <c r="V18" s="31" t="s">
        <v>15</v>
      </c>
      <c r="W18" s="31" t="s">
        <v>15</v>
      </c>
      <c r="X18" s="35"/>
      <c r="Y18" s="31" t="s">
        <v>15</v>
      </c>
      <c r="Z18" s="35"/>
      <c r="AA18" s="31" t="s">
        <v>15</v>
      </c>
      <c r="AB18" s="31" t="s">
        <v>16</v>
      </c>
      <c r="AC18" s="31" t="s">
        <v>15</v>
      </c>
      <c r="AD18" s="31" t="s">
        <v>16</v>
      </c>
      <c r="AE18" s="31" t="s">
        <v>15</v>
      </c>
      <c r="AF18" s="31" t="s">
        <v>16</v>
      </c>
      <c r="AG18" s="31" t="s">
        <v>16</v>
      </c>
      <c r="AH18" s="31" t="s">
        <v>16</v>
      </c>
      <c r="AI18" s="31" t="s">
        <v>16</v>
      </c>
      <c r="AJ18" s="31" t="s">
        <v>15</v>
      </c>
      <c r="AK18" s="35"/>
      <c r="AL18" s="31" t="s">
        <v>16</v>
      </c>
      <c r="AM18" s="31" t="s">
        <v>15</v>
      </c>
      <c r="AN18" s="31" t="s">
        <v>15</v>
      </c>
      <c r="AO18" s="31" t="s">
        <v>16</v>
      </c>
      <c r="AP18" s="31" t="s">
        <v>16</v>
      </c>
      <c r="AQ18" s="31" t="s">
        <v>15</v>
      </c>
      <c r="AR18" s="31" t="s">
        <v>16</v>
      </c>
      <c r="AS18" s="8">
        <f t="shared" si="1"/>
        <v>22</v>
      </c>
      <c r="AT18" s="8">
        <f t="shared" si="2"/>
        <v>15</v>
      </c>
      <c r="AU18" s="8">
        <f t="shared" si="3"/>
        <v>37</v>
      </c>
      <c r="AV18" s="32">
        <f t="shared" si="4"/>
        <v>59.45945946</v>
      </c>
      <c r="AW18" s="33"/>
    </row>
    <row r="19" ht="15.75" customHeight="1">
      <c r="A19" s="34">
        <v>16.0</v>
      </c>
      <c r="B19" s="28" t="s">
        <v>48</v>
      </c>
      <c r="C19" s="29" t="s">
        <v>49</v>
      </c>
      <c r="D19" s="30" t="s">
        <v>15</v>
      </c>
      <c r="E19" s="30" t="s">
        <v>15</v>
      </c>
      <c r="F19" s="30" t="s">
        <v>15</v>
      </c>
      <c r="G19" s="30" t="s">
        <v>15</v>
      </c>
      <c r="H19" s="30" t="s">
        <v>15</v>
      </c>
      <c r="I19" s="30" t="s">
        <v>16</v>
      </c>
      <c r="J19" s="30" t="s">
        <v>16</v>
      </c>
      <c r="K19" s="30" t="s">
        <v>15</v>
      </c>
      <c r="L19" s="30" t="s">
        <v>15</v>
      </c>
      <c r="M19" s="30" t="s">
        <v>16</v>
      </c>
      <c r="N19" s="31" t="s">
        <v>16</v>
      </c>
      <c r="O19" s="31" t="s">
        <v>16</v>
      </c>
      <c r="P19" s="31" t="s">
        <v>16</v>
      </c>
      <c r="Q19" s="31" t="s">
        <v>16</v>
      </c>
      <c r="R19" s="31" t="s">
        <v>16</v>
      </c>
      <c r="S19" s="31" t="s">
        <v>16</v>
      </c>
      <c r="T19" s="31" t="s">
        <v>16</v>
      </c>
      <c r="U19" s="31" t="s">
        <v>15</v>
      </c>
      <c r="V19" s="31" t="s">
        <v>16</v>
      </c>
      <c r="W19" s="31" t="s">
        <v>16</v>
      </c>
      <c r="X19" s="35"/>
      <c r="Y19" s="31" t="s">
        <v>15</v>
      </c>
      <c r="Z19" s="35"/>
      <c r="AA19" s="31" t="s">
        <v>16</v>
      </c>
      <c r="AB19" s="31" t="s">
        <v>15</v>
      </c>
      <c r="AC19" s="31" t="s">
        <v>15</v>
      </c>
      <c r="AD19" s="31" t="s">
        <v>15</v>
      </c>
      <c r="AE19" s="31" t="s">
        <v>15</v>
      </c>
      <c r="AF19" s="31" t="s">
        <v>15</v>
      </c>
      <c r="AG19" s="31" t="s">
        <v>16</v>
      </c>
      <c r="AH19" s="31" t="s">
        <v>16</v>
      </c>
      <c r="AI19" s="31" t="s">
        <v>16</v>
      </c>
      <c r="AJ19" s="31" t="s">
        <v>16</v>
      </c>
      <c r="AK19" s="35"/>
      <c r="AL19" s="31" t="s">
        <v>16</v>
      </c>
      <c r="AM19" s="31" t="s">
        <v>16</v>
      </c>
      <c r="AN19" s="31" t="s">
        <v>16</v>
      </c>
      <c r="AO19" s="31" t="s">
        <v>16</v>
      </c>
      <c r="AP19" s="31" t="s">
        <v>15</v>
      </c>
      <c r="AQ19" s="31" t="s">
        <v>15</v>
      </c>
      <c r="AR19" s="31" t="s">
        <v>16</v>
      </c>
      <c r="AS19" s="8">
        <f t="shared" si="1"/>
        <v>21</v>
      </c>
      <c r="AT19" s="8">
        <f t="shared" si="2"/>
        <v>16</v>
      </c>
      <c r="AU19" s="8">
        <f t="shared" si="3"/>
        <v>37</v>
      </c>
      <c r="AV19" s="32">
        <f t="shared" si="4"/>
        <v>56.75675676</v>
      </c>
      <c r="AW19" s="33"/>
    </row>
    <row r="20" ht="15.75" customHeight="1">
      <c r="A20" s="34">
        <v>17.0</v>
      </c>
      <c r="B20" s="28" t="s">
        <v>50</v>
      </c>
      <c r="C20" s="29" t="s">
        <v>51</v>
      </c>
      <c r="D20" s="30" t="s">
        <v>15</v>
      </c>
      <c r="E20" s="30" t="s">
        <v>15</v>
      </c>
      <c r="F20" s="30" t="s">
        <v>15</v>
      </c>
      <c r="G20" s="30" t="s">
        <v>15</v>
      </c>
      <c r="H20" s="30" t="s">
        <v>15</v>
      </c>
      <c r="I20" s="30" t="s">
        <v>16</v>
      </c>
      <c r="J20" s="30" t="s">
        <v>15</v>
      </c>
      <c r="K20" s="30" t="s">
        <v>15</v>
      </c>
      <c r="L20" s="30" t="s">
        <v>15</v>
      </c>
      <c r="M20" s="30" t="s">
        <v>15</v>
      </c>
      <c r="N20" s="31" t="s">
        <v>16</v>
      </c>
      <c r="O20" s="31" t="s">
        <v>16</v>
      </c>
      <c r="P20" s="31" t="s">
        <v>16</v>
      </c>
      <c r="Q20" s="31" t="s">
        <v>16</v>
      </c>
      <c r="R20" s="31" t="s">
        <v>15</v>
      </c>
      <c r="S20" s="31" t="s">
        <v>16</v>
      </c>
      <c r="T20" s="31" t="s">
        <v>16</v>
      </c>
      <c r="U20" s="31" t="s">
        <v>15</v>
      </c>
      <c r="V20" s="31" t="s">
        <v>16</v>
      </c>
      <c r="W20" s="31" t="s">
        <v>15</v>
      </c>
      <c r="X20" s="35"/>
      <c r="Y20" s="31" t="s">
        <v>15</v>
      </c>
      <c r="Z20" s="35"/>
      <c r="AA20" s="31" t="s">
        <v>16</v>
      </c>
      <c r="AB20" s="31" t="s">
        <v>15</v>
      </c>
      <c r="AC20" s="31" t="s">
        <v>15</v>
      </c>
      <c r="AD20" s="31" t="s">
        <v>16</v>
      </c>
      <c r="AE20" s="31" t="s">
        <v>15</v>
      </c>
      <c r="AF20" s="31" t="s">
        <v>16</v>
      </c>
      <c r="AG20" s="31" t="s">
        <v>16</v>
      </c>
      <c r="AH20" s="31" t="s">
        <v>16</v>
      </c>
      <c r="AI20" s="31" t="s">
        <v>15</v>
      </c>
      <c r="AJ20" s="31" t="s">
        <v>16</v>
      </c>
      <c r="AK20" s="35"/>
      <c r="AL20" s="31" t="s">
        <v>16</v>
      </c>
      <c r="AM20" s="31" t="s">
        <v>15</v>
      </c>
      <c r="AN20" s="31" t="s">
        <v>16</v>
      </c>
      <c r="AO20" s="31" t="s">
        <v>15</v>
      </c>
      <c r="AP20" s="31" t="s">
        <v>16</v>
      </c>
      <c r="AQ20" s="31" t="s">
        <v>16</v>
      </c>
      <c r="AR20" s="31" t="s">
        <v>16</v>
      </c>
      <c r="AS20" s="8">
        <f t="shared" si="1"/>
        <v>18</v>
      </c>
      <c r="AT20" s="8">
        <f t="shared" si="2"/>
        <v>19</v>
      </c>
      <c r="AU20" s="8">
        <f t="shared" si="3"/>
        <v>37</v>
      </c>
      <c r="AV20" s="32">
        <f t="shared" si="4"/>
        <v>48.64864865</v>
      </c>
      <c r="AW20" s="33"/>
    </row>
    <row r="21" ht="15.75" customHeight="1">
      <c r="A21" s="34">
        <v>18.0</v>
      </c>
      <c r="B21" s="28" t="s">
        <v>52</v>
      </c>
      <c r="C21" s="29" t="s">
        <v>53</v>
      </c>
      <c r="D21" s="30" t="s">
        <v>15</v>
      </c>
      <c r="E21" s="30" t="s">
        <v>16</v>
      </c>
      <c r="F21" s="30" t="s">
        <v>16</v>
      </c>
      <c r="G21" s="30" t="s">
        <v>16</v>
      </c>
      <c r="H21" s="30" t="s">
        <v>16</v>
      </c>
      <c r="I21" s="30" t="s">
        <v>16</v>
      </c>
      <c r="J21" s="30" t="s">
        <v>16</v>
      </c>
      <c r="K21" s="30" t="s">
        <v>16</v>
      </c>
      <c r="L21" s="30" t="s">
        <v>15</v>
      </c>
      <c r="M21" s="30" t="s">
        <v>16</v>
      </c>
      <c r="N21" s="31" t="s">
        <v>16</v>
      </c>
      <c r="O21" s="31" t="s">
        <v>16</v>
      </c>
      <c r="P21" s="31" t="s">
        <v>16</v>
      </c>
      <c r="Q21" s="31" t="s">
        <v>15</v>
      </c>
      <c r="R21" s="31" t="s">
        <v>15</v>
      </c>
      <c r="S21" s="31" t="s">
        <v>16</v>
      </c>
      <c r="T21" s="31" t="s">
        <v>16</v>
      </c>
      <c r="U21" s="31" t="s">
        <v>16</v>
      </c>
      <c r="V21" s="31" t="s">
        <v>16</v>
      </c>
      <c r="W21" s="31" t="s">
        <v>16</v>
      </c>
      <c r="X21" s="35"/>
      <c r="Y21" s="31" t="s">
        <v>16</v>
      </c>
      <c r="Z21" s="35"/>
      <c r="AA21" s="31" t="s">
        <v>16</v>
      </c>
      <c r="AB21" s="31" t="s">
        <v>15</v>
      </c>
      <c r="AC21" s="31" t="s">
        <v>16</v>
      </c>
      <c r="AD21" s="31" t="s">
        <v>16</v>
      </c>
      <c r="AE21" s="31" t="s">
        <v>15</v>
      </c>
      <c r="AF21" s="31" t="s">
        <v>16</v>
      </c>
      <c r="AG21" s="31" t="s">
        <v>16</v>
      </c>
      <c r="AH21" s="31" t="s">
        <v>16</v>
      </c>
      <c r="AI21" s="31" t="s">
        <v>16</v>
      </c>
      <c r="AJ21" s="31" t="s">
        <v>16</v>
      </c>
      <c r="AK21" s="35"/>
      <c r="AL21" s="31" t="s">
        <v>15</v>
      </c>
      <c r="AM21" s="31" t="s">
        <v>15</v>
      </c>
      <c r="AN21" s="31" t="s">
        <v>16</v>
      </c>
      <c r="AO21" s="31" t="s">
        <v>15</v>
      </c>
      <c r="AP21" s="31" t="s">
        <v>16</v>
      </c>
      <c r="AQ21" s="31" t="s">
        <v>16</v>
      </c>
      <c r="AR21" s="31" t="s">
        <v>16</v>
      </c>
      <c r="AS21" s="8">
        <f t="shared" si="1"/>
        <v>28</v>
      </c>
      <c r="AT21" s="8">
        <f t="shared" si="2"/>
        <v>9</v>
      </c>
      <c r="AU21" s="8">
        <f t="shared" si="3"/>
        <v>37</v>
      </c>
      <c r="AV21" s="32">
        <f t="shared" si="4"/>
        <v>75.67567568</v>
      </c>
      <c r="AW21" s="33"/>
    </row>
    <row r="22" ht="15.75" customHeight="1">
      <c r="A22" s="34">
        <v>19.0</v>
      </c>
      <c r="B22" s="28" t="s">
        <v>54</v>
      </c>
      <c r="C22" s="29" t="s">
        <v>55</v>
      </c>
      <c r="D22" s="30" t="s">
        <v>15</v>
      </c>
      <c r="E22" s="30" t="s">
        <v>16</v>
      </c>
      <c r="F22" s="30" t="s">
        <v>16</v>
      </c>
      <c r="G22" s="30" t="s">
        <v>16</v>
      </c>
      <c r="H22" s="30" t="s">
        <v>16</v>
      </c>
      <c r="I22" s="30" t="s">
        <v>16</v>
      </c>
      <c r="J22" s="30" t="s">
        <v>16</v>
      </c>
      <c r="K22" s="30" t="s">
        <v>16</v>
      </c>
      <c r="L22" s="30" t="s">
        <v>15</v>
      </c>
      <c r="M22" s="30" t="s">
        <v>16</v>
      </c>
      <c r="N22" s="31" t="s">
        <v>16</v>
      </c>
      <c r="O22" s="31" t="s">
        <v>16</v>
      </c>
      <c r="P22" s="31" t="s">
        <v>16</v>
      </c>
      <c r="Q22" s="31" t="s">
        <v>16</v>
      </c>
      <c r="R22" s="31" t="s">
        <v>16</v>
      </c>
      <c r="S22" s="31" t="s">
        <v>16</v>
      </c>
      <c r="T22" s="31" t="s">
        <v>15</v>
      </c>
      <c r="U22" s="31" t="s">
        <v>16</v>
      </c>
      <c r="V22" s="31" t="s">
        <v>16</v>
      </c>
      <c r="W22" s="31" t="s">
        <v>16</v>
      </c>
      <c r="X22" s="35"/>
      <c r="Y22" s="31" t="s">
        <v>16</v>
      </c>
      <c r="Z22" s="35"/>
      <c r="AA22" s="31" t="s">
        <v>16</v>
      </c>
      <c r="AB22" s="31" t="s">
        <v>15</v>
      </c>
      <c r="AC22" s="31" t="s">
        <v>16</v>
      </c>
      <c r="AD22" s="31" t="s">
        <v>15</v>
      </c>
      <c r="AE22" s="31" t="s">
        <v>15</v>
      </c>
      <c r="AF22" s="31" t="s">
        <v>15</v>
      </c>
      <c r="AG22" s="31" t="s">
        <v>16</v>
      </c>
      <c r="AH22" s="31" t="s">
        <v>16</v>
      </c>
      <c r="AI22" s="31" t="s">
        <v>16</v>
      </c>
      <c r="AJ22" s="31" t="s">
        <v>16</v>
      </c>
      <c r="AK22" s="35"/>
      <c r="AL22" s="31" t="s">
        <v>15</v>
      </c>
      <c r="AM22" s="31" t="s">
        <v>15</v>
      </c>
      <c r="AN22" s="31" t="s">
        <v>16</v>
      </c>
      <c r="AO22" s="31" t="s">
        <v>16</v>
      </c>
      <c r="AP22" s="31" t="s">
        <v>16</v>
      </c>
      <c r="AQ22" s="31" t="s">
        <v>16</v>
      </c>
      <c r="AR22" s="31" t="s">
        <v>16</v>
      </c>
      <c r="AS22" s="8">
        <f t="shared" si="1"/>
        <v>28</v>
      </c>
      <c r="AT22" s="8">
        <f t="shared" si="2"/>
        <v>9</v>
      </c>
      <c r="AU22" s="8">
        <f t="shared" si="3"/>
        <v>37</v>
      </c>
      <c r="AV22" s="32">
        <f t="shared" si="4"/>
        <v>75.67567568</v>
      </c>
      <c r="AW22" s="33"/>
    </row>
    <row r="23" ht="15.75" customHeight="1">
      <c r="A23" s="34">
        <v>20.0</v>
      </c>
      <c r="B23" s="36" t="s">
        <v>56</v>
      </c>
      <c r="C23" s="29" t="s">
        <v>57</v>
      </c>
      <c r="D23" s="30" t="s">
        <v>16</v>
      </c>
      <c r="E23" s="30" t="s">
        <v>16</v>
      </c>
      <c r="F23" s="30" t="s">
        <v>16</v>
      </c>
      <c r="G23" s="30" t="s">
        <v>16</v>
      </c>
      <c r="H23" s="30" t="s">
        <v>15</v>
      </c>
      <c r="I23" s="30" t="s">
        <v>15</v>
      </c>
      <c r="J23" s="30" t="s">
        <v>15</v>
      </c>
      <c r="K23" s="30" t="s">
        <v>16</v>
      </c>
      <c r="L23" s="30" t="s">
        <v>15</v>
      </c>
      <c r="M23" s="30" t="s">
        <v>16</v>
      </c>
      <c r="N23" s="31" t="s">
        <v>16</v>
      </c>
      <c r="O23" s="31" t="s">
        <v>16</v>
      </c>
      <c r="P23" s="31" t="s">
        <v>15</v>
      </c>
      <c r="Q23" s="31" t="s">
        <v>16</v>
      </c>
      <c r="R23" s="31" t="s">
        <v>16</v>
      </c>
      <c r="S23" s="31" t="s">
        <v>15</v>
      </c>
      <c r="T23" s="31" t="s">
        <v>16</v>
      </c>
      <c r="U23" s="31" t="s">
        <v>15</v>
      </c>
      <c r="V23" s="31" t="s">
        <v>15</v>
      </c>
      <c r="W23" s="31" t="s">
        <v>15</v>
      </c>
      <c r="X23" s="35"/>
      <c r="Y23" s="31" t="s">
        <v>15</v>
      </c>
      <c r="Z23" s="35"/>
      <c r="AA23" s="31" t="s">
        <v>16</v>
      </c>
      <c r="AB23" s="31" t="s">
        <v>15</v>
      </c>
      <c r="AC23" s="31" t="s">
        <v>16</v>
      </c>
      <c r="AD23" s="31" t="s">
        <v>16</v>
      </c>
      <c r="AE23" s="31" t="s">
        <v>15</v>
      </c>
      <c r="AF23" s="31" t="s">
        <v>16</v>
      </c>
      <c r="AG23" s="31" t="s">
        <v>16</v>
      </c>
      <c r="AH23" s="31" t="s">
        <v>16</v>
      </c>
      <c r="AI23" s="31" t="s">
        <v>15</v>
      </c>
      <c r="AJ23" s="31" t="s">
        <v>15</v>
      </c>
      <c r="AK23" s="35"/>
      <c r="AL23" s="31" t="s">
        <v>16</v>
      </c>
      <c r="AM23" s="31" t="s">
        <v>16</v>
      </c>
      <c r="AN23" s="31" t="s">
        <v>16</v>
      </c>
      <c r="AO23" s="31" t="s">
        <v>16</v>
      </c>
      <c r="AP23" s="31" t="s">
        <v>16</v>
      </c>
      <c r="AQ23" s="31" t="s">
        <v>15</v>
      </c>
      <c r="AR23" s="31" t="s">
        <v>16</v>
      </c>
      <c r="AS23" s="8">
        <f t="shared" si="1"/>
        <v>22</v>
      </c>
      <c r="AT23" s="8">
        <f t="shared" si="2"/>
        <v>15</v>
      </c>
      <c r="AU23" s="8">
        <f t="shared" si="3"/>
        <v>37</v>
      </c>
      <c r="AV23" s="32">
        <f t="shared" si="4"/>
        <v>59.45945946</v>
      </c>
      <c r="AW23" s="33"/>
    </row>
    <row r="24" ht="15.75" customHeight="1">
      <c r="A24" s="34">
        <v>21.0</v>
      </c>
      <c r="B24" s="36" t="s">
        <v>58</v>
      </c>
      <c r="C24" s="29" t="s">
        <v>59</v>
      </c>
      <c r="D24" s="30" t="s">
        <v>16</v>
      </c>
      <c r="E24" s="30" t="s">
        <v>16</v>
      </c>
      <c r="F24" s="30" t="s">
        <v>16</v>
      </c>
      <c r="G24" s="30" t="s">
        <v>16</v>
      </c>
      <c r="H24" s="30" t="s">
        <v>15</v>
      </c>
      <c r="I24" s="30" t="s">
        <v>15</v>
      </c>
      <c r="J24" s="30" t="s">
        <v>16</v>
      </c>
      <c r="K24" s="30" t="s">
        <v>16</v>
      </c>
      <c r="L24" s="30" t="s">
        <v>15</v>
      </c>
      <c r="M24" s="30" t="s">
        <v>16</v>
      </c>
      <c r="N24" s="31" t="s">
        <v>16</v>
      </c>
      <c r="O24" s="31" t="s">
        <v>16</v>
      </c>
      <c r="P24" s="31" t="s">
        <v>16</v>
      </c>
      <c r="Q24" s="31" t="s">
        <v>16</v>
      </c>
      <c r="R24" s="31" t="s">
        <v>15</v>
      </c>
      <c r="S24" s="31" t="s">
        <v>16</v>
      </c>
      <c r="T24" s="31" t="s">
        <v>16</v>
      </c>
      <c r="U24" s="31" t="s">
        <v>16</v>
      </c>
      <c r="V24" s="31" t="s">
        <v>16</v>
      </c>
      <c r="W24" s="31" t="s">
        <v>15</v>
      </c>
      <c r="X24" s="35"/>
      <c r="Y24" s="31" t="s">
        <v>15</v>
      </c>
      <c r="Z24" s="35"/>
      <c r="AA24" s="31" t="s">
        <v>15</v>
      </c>
      <c r="AB24" s="31" t="s">
        <v>15</v>
      </c>
      <c r="AC24" s="31" t="s">
        <v>16</v>
      </c>
      <c r="AD24" s="31" t="s">
        <v>15</v>
      </c>
      <c r="AE24" s="31" t="s">
        <v>15</v>
      </c>
      <c r="AF24" s="31" t="s">
        <v>15</v>
      </c>
      <c r="AG24" s="31" t="s">
        <v>16</v>
      </c>
      <c r="AH24" s="31" t="s">
        <v>16</v>
      </c>
      <c r="AI24" s="31" t="s">
        <v>15</v>
      </c>
      <c r="AJ24" s="31" t="s">
        <v>16</v>
      </c>
      <c r="AK24" s="35"/>
      <c r="AL24" s="31" t="s">
        <v>15</v>
      </c>
      <c r="AM24" s="31" t="s">
        <v>15</v>
      </c>
      <c r="AN24" s="31" t="s">
        <v>16</v>
      </c>
      <c r="AO24" s="31" t="s">
        <v>16</v>
      </c>
      <c r="AP24" s="31" t="s">
        <v>16</v>
      </c>
      <c r="AQ24" s="31" t="s">
        <v>16</v>
      </c>
      <c r="AR24" s="31" t="s">
        <v>16</v>
      </c>
      <c r="AS24" s="8">
        <f t="shared" si="1"/>
        <v>23</v>
      </c>
      <c r="AT24" s="8">
        <f t="shared" si="2"/>
        <v>14</v>
      </c>
      <c r="AU24" s="8">
        <f t="shared" si="3"/>
        <v>37</v>
      </c>
      <c r="AV24" s="32">
        <f t="shared" si="4"/>
        <v>62.16216216</v>
      </c>
      <c r="AW24" s="33"/>
    </row>
    <row r="25" ht="15.75" customHeight="1">
      <c r="A25" s="34">
        <v>22.0</v>
      </c>
      <c r="B25" s="36" t="s">
        <v>60</v>
      </c>
      <c r="C25" s="29" t="s">
        <v>61</v>
      </c>
      <c r="D25" s="30" t="s">
        <v>15</v>
      </c>
      <c r="E25" s="30" t="s">
        <v>15</v>
      </c>
      <c r="F25" s="30" t="s">
        <v>16</v>
      </c>
      <c r="G25" s="30" t="s">
        <v>16</v>
      </c>
      <c r="H25" s="30" t="s">
        <v>15</v>
      </c>
      <c r="I25" s="30" t="s">
        <v>16</v>
      </c>
      <c r="J25" s="30" t="s">
        <v>16</v>
      </c>
      <c r="K25" s="30" t="s">
        <v>15</v>
      </c>
      <c r="L25" s="30" t="s">
        <v>15</v>
      </c>
      <c r="M25" s="30" t="s">
        <v>16</v>
      </c>
      <c r="N25" s="31" t="s">
        <v>15</v>
      </c>
      <c r="O25" s="31" t="s">
        <v>16</v>
      </c>
      <c r="P25" s="31" t="s">
        <v>15</v>
      </c>
      <c r="Q25" s="31" t="s">
        <v>16</v>
      </c>
      <c r="R25" s="31" t="s">
        <v>16</v>
      </c>
      <c r="S25" s="31" t="s">
        <v>15</v>
      </c>
      <c r="T25" s="31" t="s">
        <v>16</v>
      </c>
      <c r="U25" s="31" t="s">
        <v>15</v>
      </c>
      <c r="V25" s="31" t="s">
        <v>15</v>
      </c>
      <c r="W25" s="31" t="s">
        <v>16</v>
      </c>
      <c r="X25" s="35"/>
      <c r="Y25" s="31" t="s">
        <v>15</v>
      </c>
      <c r="Z25" s="35"/>
      <c r="AA25" s="31" t="s">
        <v>16</v>
      </c>
      <c r="AB25" s="31" t="s">
        <v>15</v>
      </c>
      <c r="AC25" s="31" t="s">
        <v>16</v>
      </c>
      <c r="AD25" s="31" t="s">
        <v>15</v>
      </c>
      <c r="AE25" s="31" t="s">
        <v>15</v>
      </c>
      <c r="AF25" s="31" t="s">
        <v>15</v>
      </c>
      <c r="AG25" s="31" t="s">
        <v>16</v>
      </c>
      <c r="AH25" s="31" t="s">
        <v>15</v>
      </c>
      <c r="AI25" s="31" t="s">
        <v>16</v>
      </c>
      <c r="AJ25" s="31" t="s">
        <v>16</v>
      </c>
      <c r="AK25" s="35"/>
      <c r="AL25" s="31" t="s">
        <v>16</v>
      </c>
      <c r="AM25" s="31" t="s">
        <v>15</v>
      </c>
      <c r="AN25" s="31" t="s">
        <v>15</v>
      </c>
      <c r="AO25" s="31" t="s">
        <v>15</v>
      </c>
      <c r="AP25" s="31" t="s">
        <v>16</v>
      </c>
      <c r="AQ25" s="31" t="s">
        <v>16</v>
      </c>
      <c r="AR25" s="31" t="s">
        <v>16</v>
      </c>
      <c r="AS25" s="8">
        <f t="shared" si="1"/>
        <v>18</v>
      </c>
      <c r="AT25" s="8">
        <f t="shared" si="2"/>
        <v>19</v>
      </c>
      <c r="AU25" s="8">
        <f t="shared" si="3"/>
        <v>37</v>
      </c>
      <c r="AV25" s="32">
        <f t="shared" si="4"/>
        <v>48.64864865</v>
      </c>
      <c r="AW25" s="33"/>
    </row>
    <row r="26" ht="15.75" customHeight="1">
      <c r="A26" s="34">
        <v>23.0</v>
      </c>
      <c r="B26" s="28" t="s">
        <v>62</v>
      </c>
      <c r="C26" s="29" t="s">
        <v>63</v>
      </c>
      <c r="D26" s="30" t="s">
        <v>15</v>
      </c>
      <c r="E26" s="30" t="s">
        <v>15</v>
      </c>
      <c r="F26" s="30" t="s">
        <v>15</v>
      </c>
      <c r="G26" s="30" t="s">
        <v>15</v>
      </c>
      <c r="H26" s="30" t="s">
        <v>16</v>
      </c>
      <c r="I26" s="30" t="s">
        <v>16</v>
      </c>
      <c r="J26" s="30" t="s">
        <v>15</v>
      </c>
      <c r="K26" s="30" t="s">
        <v>16</v>
      </c>
      <c r="L26" s="30" t="s">
        <v>15</v>
      </c>
      <c r="M26" s="30" t="s">
        <v>16</v>
      </c>
      <c r="N26" s="31" t="s">
        <v>16</v>
      </c>
      <c r="O26" s="31" t="s">
        <v>16</v>
      </c>
      <c r="P26" s="31" t="s">
        <v>15</v>
      </c>
      <c r="Q26" s="31" t="s">
        <v>16</v>
      </c>
      <c r="R26" s="31" t="s">
        <v>16</v>
      </c>
      <c r="S26" s="31" t="s">
        <v>15</v>
      </c>
      <c r="T26" s="31" t="s">
        <v>15</v>
      </c>
      <c r="U26" s="31" t="s">
        <v>15</v>
      </c>
      <c r="V26" s="31" t="s">
        <v>16</v>
      </c>
      <c r="W26" s="31" t="s">
        <v>15</v>
      </c>
      <c r="X26" s="35"/>
      <c r="Y26" s="31" t="s">
        <v>15</v>
      </c>
      <c r="Z26" s="35"/>
      <c r="AA26" s="31" t="s">
        <v>15</v>
      </c>
      <c r="AB26" s="31" t="s">
        <v>16</v>
      </c>
      <c r="AC26" s="31" t="s">
        <v>16</v>
      </c>
      <c r="AD26" s="31" t="s">
        <v>16</v>
      </c>
      <c r="AE26" s="31" t="s">
        <v>15</v>
      </c>
      <c r="AF26" s="31" t="s">
        <v>16</v>
      </c>
      <c r="AG26" s="31" t="s">
        <v>16</v>
      </c>
      <c r="AH26" s="31" t="s">
        <v>16</v>
      </c>
      <c r="AI26" s="31" t="s">
        <v>16</v>
      </c>
      <c r="AJ26" s="31" t="s">
        <v>16</v>
      </c>
      <c r="AK26" s="35"/>
      <c r="AL26" s="31" t="s">
        <v>15</v>
      </c>
      <c r="AM26" s="31" t="s">
        <v>16</v>
      </c>
      <c r="AN26" s="31" t="s">
        <v>15</v>
      </c>
      <c r="AO26" s="31" t="s">
        <v>15</v>
      </c>
      <c r="AP26" s="31" t="s">
        <v>16</v>
      </c>
      <c r="AQ26" s="31" t="s">
        <v>15</v>
      </c>
      <c r="AR26" s="31" t="s">
        <v>15</v>
      </c>
      <c r="AS26" s="8">
        <f t="shared" si="1"/>
        <v>19</v>
      </c>
      <c r="AT26" s="8">
        <f t="shared" si="2"/>
        <v>18</v>
      </c>
      <c r="AU26" s="8">
        <f t="shared" si="3"/>
        <v>37</v>
      </c>
      <c r="AV26" s="32">
        <f t="shared" si="4"/>
        <v>51.35135135</v>
      </c>
      <c r="AW26" s="33"/>
    </row>
    <row r="27" ht="15.75" customHeight="1">
      <c r="A27" s="34">
        <v>24.0</v>
      </c>
      <c r="B27" s="28" t="s">
        <v>64</v>
      </c>
      <c r="C27" s="29" t="s">
        <v>65</v>
      </c>
      <c r="D27" s="30" t="s">
        <v>16</v>
      </c>
      <c r="E27" s="30" t="s">
        <v>15</v>
      </c>
      <c r="F27" s="30" t="s">
        <v>16</v>
      </c>
      <c r="G27" s="30" t="s">
        <v>15</v>
      </c>
      <c r="H27" s="30" t="s">
        <v>15</v>
      </c>
      <c r="I27" s="30" t="s">
        <v>15</v>
      </c>
      <c r="J27" s="30" t="s">
        <v>15</v>
      </c>
      <c r="K27" s="30" t="s">
        <v>16</v>
      </c>
      <c r="L27" s="30" t="s">
        <v>15</v>
      </c>
      <c r="M27" s="30" t="s">
        <v>15</v>
      </c>
      <c r="N27" s="31" t="s">
        <v>16</v>
      </c>
      <c r="O27" s="31" t="s">
        <v>16</v>
      </c>
      <c r="P27" s="31" t="s">
        <v>15</v>
      </c>
      <c r="Q27" s="31" t="s">
        <v>16</v>
      </c>
      <c r="R27" s="31" t="s">
        <v>15</v>
      </c>
      <c r="S27" s="31" t="s">
        <v>16</v>
      </c>
      <c r="T27" s="31" t="s">
        <v>16</v>
      </c>
      <c r="U27" s="31" t="s">
        <v>15</v>
      </c>
      <c r="V27" s="31" t="s">
        <v>16</v>
      </c>
      <c r="W27" s="31" t="s">
        <v>16</v>
      </c>
      <c r="X27" s="35"/>
      <c r="Y27" s="31" t="s">
        <v>15</v>
      </c>
      <c r="Z27" s="35"/>
      <c r="AA27" s="31" t="s">
        <v>16</v>
      </c>
      <c r="AB27" s="31" t="s">
        <v>16</v>
      </c>
      <c r="AC27" s="31" t="s">
        <v>15</v>
      </c>
      <c r="AD27" s="31" t="s">
        <v>16</v>
      </c>
      <c r="AE27" s="31" t="s">
        <v>15</v>
      </c>
      <c r="AF27" s="31" t="s">
        <v>15</v>
      </c>
      <c r="AG27" s="31" t="s">
        <v>16</v>
      </c>
      <c r="AH27" s="31" t="s">
        <v>15</v>
      </c>
      <c r="AI27" s="31" t="s">
        <v>16</v>
      </c>
      <c r="AJ27" s="31" t="s">
        <v>16</v>
      </c>
      <c r="AK27" s="35"/>
      <c r="AL27" s="31" t="s">
        <v>16</v>
      </c>
      <c r="AM27" s="31" t="s">
        <v>15</v>
      </c>
      <c r="AN27" s="31" t="s">
        <v>16</v>
      </c>
      <c r="AO27" s="31" t="s">
        <v>15</v>
      </c>
      <c r="AP27" s="31" t="s">
        <v>15</v>
      </c>
      <c r="AQ27" s="31" t="s">
        <v>16</v>
      </c>
      <c r="AR27" s="31" t="s">
        <v>16</v>
      </c>
      <c r="AS27" s="8">
        <f t="shared" si="1"/>
        <v>19</v>
      </c>
      <c r="AT27" s="8">
        <f t="shared" si="2"/>
        <v>18</v>
      </c>
      <c r="AU27" s="8">
        <f t="shared" si="3"/>
        <v>37</v>
      </c>
      <c r="AV27" s="32">
        <f t="shared" si="4"/>
        <v>51.35135135</v>
      </c>
      <c r="AW27" s="33"/>
    </row>
    <row r="28" ht="15.75" customHeight="1">
      <c r="A28" s="34">
        <v>25.0</v>
      </c>
      <c r="B28" s="36" t="s">
        <v>66</v>
      </c>
      <c r="C28" s="29" t="s">
        <v>67</v>
      </c>
      <c r="D28" s="30" t="s">
        <v>16</v>
      </c>
      <c r="E28" s="30" t="s">
        <v>16</v>
      </c>
      <c r="F28" s="30" t="s">
        <v>16</v>
      </c>
      <c r="G28" s="30" t="s">
        <v>16</v>
      </c>
      <c r="H28" s="30" t="s">
        <v>15</v>
      </c>
      <c r="I28" s="30" t="s">
        <v>15</v>
      </c>
      <c r="J28" s="30" t="s">
        <v>16</v>
      </c>
      <c r="K28" s="30" t="s">
        <v>16</v>
      </c>
      <c r="L28" s="30" t="s">
        <v>15</v>
      </c>
      <c r="M28" s="30" t="s">
        <v>16</v>
      </c>
      <c r="N28" s="31" t="s">
        <v>16</v>
      </c>
      <c r="O28" s="31" t="s">
        <v>16</v>
      </c>
      <c r="P28" s="31" t="s">
        <v>16</v>
      </c>
      <c r="Q28" s="31" t="s">
        <v>16</v>
      </c>
      <c r="R28" s="31" t="s">
        <v>16</v>
      </c>
      <c r="S28" s="31" t="s">
        <v>16</v>
      </c>
      <c r="T28" s="31" t="s">
        <v>16</v>
      </c>
      <c r="U28" s="31" t="s">
        <v>16</v>
      </c>
      <c r="V28" s="31" t="s">
        <v>16</v>
      </c>
      <c r="W28" s="31" t="s">
        <v>16</v>
      </c>
      <c r="X28" s="35"/>
      <c r="Y28" s="31" t="s">
        <v>16</v>
      </c>
      <c r="Z28" s="35"/>
      <c r="AA28" s="31" t="s">
        <v>15</v>
      </c>
      <c r="AB28" s="31" t="s">
        <v>15</v>
      </c>
      <c r="AC28" s="31" t="s">
        <v>16</v>
      </c>
      <c r="AD28" s="31" t="s">
        <v>15</v>
      </c>
      <c r="AE28" s="31" t="s">
        <v>16</v>
      </c>
      <c r="AF28" s="31" t="s">
        <v>15</v>
      </c>
      <c r="AG28" s="31" t="s">
        <v>16</v>
      </c>
      <c r="AH28" s="31" t="s">
        <v>15</v>
      </c>
      <c r="AI28" s="31" t="s">
        <v>15</v>
      </c>
      <c r="AJ28" s="31" t="s">
        <v>16</v>
      </c>
      <c r="AK28" s="35"/>
      <c r="AL28" s="31" t="s">
        <v>16</v>
      </c>
      <c r="AM28" s="31" t="s">
        <v>15</v>
      </c>
      <c r="AN28" s="31" t="s">
        <v>16</v>
      </c>
      <c r="AO28" s="31" t="s">
        <v>16</v>
      </c>
      <c r="AP28" s="31" t="s">
        <v>16</v>
      </c>
      <c r="AQ28" s="31" t="s">
        <v>16</v>
      </c>
      <c r="AR28" s="31" t="s">
        <v>16</v>
      </c>
      <c r="AS28" s="8">
        <f t="shared" si="1"/>
        <v>27</v>
      </c>
      <c r="AT28" s="8">
        <f t="shared" si="2"/>
        <v>10</v>
      </c>
      <c r="AU28" s="8">
        <f t="shared" si="3"/>
        <v>37</v>
      </c>
      <c r="AV28" s="32">
        <f t="shared" si="4"/>
        <v>72.97297297</v>
      </c>
      <c r="AW28" s="33"/>
    </row>
    <row r="29" ht="15.75" customHeight="1">
      <c r="A29" s="34">
        <v>26.0</v>
      </c>
      <c r="B29" s="28" t="s">
        <v>68</v>
      </c>
      <c r="C29" s="29" t="s">
        <v>69</v>
      </c>
      <c r="D29" s="30" t="s">
        <v>16</v>
      </c>
      <c r="E29" s="30" t="s">
        <v>16</v>
      </c>
      <c r="F29" s="30" t="s">
        <v>16</v>
      </c>
      <c r="G29" s="30" t="s">
        <v>16</v>
      </c>
      <c r="H29" s="30" t="s">
        <v>16</v>
      </c>
      <c r="I29" s="30" t="s">
        <v>16</v>
      </c>
      <c r="J29" s="30" t="s">
        <v>15</v>
      </c>
      <c r="K29" s="30" t="s">
        <v>16</v>
      </c>
      <c r="L29" s="30" t="s">
        <v>15</v>
      </c>
      <c r="M29" s="30" t="s">
        <v>15</v>
      </c>
      <c r="N29" s="31" t="s">
        <v>16</v>
      </c>
      <c r="O29" s="31" t="s">
        <v>15</v>
      </c>
      <c r="P29" s="31" t="s">
        <v>16</v>
      </c>
      <c r="Q29" s="31" t="s">
        <v>15</v>
      </c>
      <c r="R29" s="31" t="s">
        <v>16</v>
      </c>
      <c r="S29" s="31" t="s">
        <v>16</v>
      </c>
      <c r="T29" s="31" t="s">
        <v>16</v>
      </c>
      <c r="U29" s="31" t="s">
        <v>16</v>
      </c>
      <c r="V29" s="31" t="s">
        <v>16</v>
      </c>
      <c r="W29" s="31" t="s">
        <v>16</v>
      </c>
      <c r="X29" s="35"/>
      <c r="Y29" s="31" t="s">
        <v>15</v>
      </c>
      <c r="Z29" s="35"/>
      <c r="AA29" s="31" t="s">
        <v>15</v>
      </c>
      <c r="AB29" s="31" t="s">
        <v>15</v>
      </c>
      <c r="AC29" s="31" t="s">
        <v>15</v>
      </c>
      <c r="AD29" s="31" t="s">
        <v>15</v>
      </c>
      <c r="AE29" s="31" t="s">
        <v>15</v>
      </c>
      <c r="AF29" s="31" t="s">
        <v>15</v>
      </c>
      <c r="AG29" s="31" t="s">
        <v>16</v>
      </c>
      <c r="AH29" s="31" t="s">
        <v>16</v>
      </c>
      <c r="AI29" s="31" t="s">
        <v>16</v>
      </c>
      <c r="AJ29" s="31" t="s">
        <v>16</v>
      </c>
      <c r="AK29" s="35"/>
      <c r="AL29" s="31" t="s">
        <v>16</v>
      </c>
      <c r="AM29" s="31" t="s">
        <v>15</v>
      </c>
      <c r="AN29" s="31" t="s">
        <v>16</v>
      </c>
      <c r="AO29" s="31" t="s">
        <v>16</v>
      </c>
      <c r="AP29" s="31" t="s">
        <v>16</v>
      </c>
      <c r="AQ29" s="31" t="s">
        <v>16</v>
      </c>
      <c r="AR29" s="31" t="s">
        <v>16</v>
      </c>
      <c r="AS29" s="8">
        <f t="shared" si="1"/>
        <v>24</v>
      </c>
      <c r="AT29" s="8">
        <f t="shared" si="2"/>
        <v>13</v>
      </c>
      <c r="AU29" s="8">
        <f t="shared" si="3"/>
        <v>37</v>
      </c>
      <c r="AV29" s="32">
        <f t="shared" si="4"/>
        <v>64.86486486</v>
      </c>
      <c r="AW29" s="33"/>
    </row>
    <row r="30" ht="15.75" customHeight="1">
      <c r="A30" s="34">
        <v>27.0</v>
      </c>
      <c r="B30" s="28" t="s">
        <v>70</v>
      </c>
      <c r="C30" s="29" t="s">
        <v>71</v>
      </c>
      <c r="D30" s="30" t="s">
        <v>16</v>
      </c>
      <c r="E30" s="30" t="s">
        <v>15</v>
      </c>
      <c r="F30" s="30" t="s">
        <v>16</v>
      </c>
      <c r="G30" s="30" t="s">
        <v>16</v>
      </c>
      <c r="H30" s="30" t="s">
        <v>16</v>
      </c>
      <c r="I30" s="30" t="s">
        <v>16</v>
      </c>
      <c r="J30" s="30" t="s">
        <v>15</v>
      </c>
      <c r="K30" s="30" t="s">
        <v>16</v>
      </c>
      <c r="L30" s="30" t="s">
        <v>15</v>
      </c>
      <c r="M30" s="30" t="s">
        <v>16</v>
      </c>
      <c r="N30" s="31" t="s">
        <v>16</v>
      </c>
      <c r="O30" s="31" t="s">
        <v>16</v>
      </c>
      <c r="P30" s="31" t="s">
        <v>15</v>
      </c>
      <c r="Q30" s="31" t="s">
        <v>15</v>
      </c>
      <c r="R30" s="31" t="s">
        <v>16</v>
      </c>
      <c r="S30" s="31" t="s">
        <v>16</v>
      </c>
      <c r="T30" s="31" t="s">
        <v>16</v>
      </c>
      <c r="U30" s="31" t="s">
        <v>16</v>
      </c>
      <c r="V30" s="31" t="s">
        <v>16</v>
      </c>
      <c r="W30" s="31" t="s">
        <v>16</v>
      </c>
      <c r="X30" s="35"/>
      <c r="Y30" s="31" t="s">
        <v>15</v>
      </c>
      <c r="Z30" s="35"/>
      <c r="AA30" s="31" t="s">
        <v>16</v>
      </c>
      <c r="AB30" s="31" t="s">
        <v>15</v>
      </c>
      <c r="AC30" s="31" t="s">
        <v>15</v>
      </c>
      <c r="AD30" s="31" t="s">
        <v>16</v>
      </c>
      <c r="AE30" s="31" t="s">
        <v>16</v>
      </c>
      <c r="AF30" s="31" t="s">
        <v>15</v>
      </c>
      <c r="AG30" s="31" t="s">
        <v>16</v>
      </c>
      <c r="AH30" s="31" t="s">
        <v>16</v>
      </c>
      <c r="AI30" s="31" t="s">
        <v>16</v>
      </c>
      <c r="AJ30" s="31" t="s">
        <v>16</v>
      </c>
      <c r="AK30" s="35"/>
      <c r="AL30" s="31" t="s">
        <v>16</v>
      </c>
      <c r="AM30" s="31" t="s">
        <v>15</v>
      </c>
      <c r="AN30" s="31" t="s">
        <v>16</v>
      </c>
      <c r="AO30" s="31" t="s">
        <v>15</v>
      </c>
      <c r="AP30" s="31" t="s">
        <v>16</v>
      </c>
      <c r="AQ30" s="31" t="s">
        <v>16</v>
      </c>
      <c r="AR30" s="31" t="s">
        <v>16</v>
      </c>
      <c r="AS30" s="8">
        <f t="shared" si="1"/>
        <v>26</v>
      </c>
      <c r="AT30" s="8">
        <f t="shared" si="2"/>
        <v>11</v>
      </c>
      <c r="AU30" s="8">
        <f t="shared" si="3"/>
        <v>37</v>
      </c>
      <c r="AV30" s="32">
        <f t="shared" si="4"/>
        <v>70.27027027</v>
      </c>
      <c r="AW30" s="33"/>
    </row>
    <row r="31" ht="15.75" customHeight="1">
      <c r="A31" s="34">
        <v>28.0</v>
      </c>
      <c r="B31" s="36" t="s">
        <v>72</v>
      </c>
      <c r="C31" s="29" t="s">
        <v>73</v>
      </c>
      <c r="D31" s="30" t="s">
        <v>16</v>
      </c>
      <c r="E31" s="30" t="s">
        <v>16</v>
      </c>
      <c r="F31" s="30" t="s">
        <v>16</v>
      </c>
      <c r="G31" s="30" t="s">
        <v>15</v>
      </c>
      <c r="H31" s="30" t="s">
        <v>16</v>
      </c>
      <c r="I31" s="30" t="s">
        <v>16</v>
      </c>
      <c r="J31" s="30" t="s">
        <v>16</v>
      </c>
      <c r="K31" s="30" t="s">
        <v>16</v>
      </c>
      <c r="L31" s="30" t="s">
        <v>15</v>
      </c>
      <c r="M31" s="30" t="s">
        <v>15</v>
      </c>
      <c r="N31" s="31" t="s">
        <v>16</v>
      </c>
      <c r="O31" s="31" t="s">
        <v>16</v>
      </c>
      <c r="P31" s="31" t="s">
        <v>15</v>
      </c>
      <c r="Q31" s="31" t="s">
        <v>16</v>
      </c>
      <c r="R31" s="31" t="s">
        <v>16</v>
      </c>
      <c r="S31" s="31" t="s">
        <v>16</v>
      </c>
      <c r="T31" s="31" t="s">
        <v>15</v>
      </c>
      <c r="U31" s="31" t="s">
        <v>15</v>
      </c>
      <c r="V31" s="31" t="s">
        <v>15</v>
      </c>
      <c r="W31" s="31" t="s">
        <v>16</v>
      </c>
      <c r="X31" s="35"/>
      <c r="Y31" s="31" t="s">
        <v>15</v>
      </c>
      <c r="Z31" s="35"/>
      <c r="AA31" s="31" t="s">
        <v>16</v>
      </c>
      <c r="AB31" s="31" t="s">
        <v>16</v>
      </c>
      <c r="AC31" s="31" t="s">
        <v>15</v>
      </c>
      <c r="AD31" s="31" t="s">
        <v>16</v>
      </c>
      <c r="AE31" s="31" t="s">
        <v>16</v>
      </c>
      <c r="AF31" s="31" t="s">
        <v>15</v>
      </c>
      <c r="AG31" s="31" t="s">
        <v>16</v>
      </c>
      <c r="AH31" s="31" t="s">
        <v>15</v>
      </c>
      <c r="AI31" s="31" t="s">
        <v>15</v>
      </c>
      <c r="AJ31" s="31" t="s">
        <v>16</v>
      </c>
      <c r="AK31" s="35"/>
      <c r="AL31" s="31" t="s">
        <v>16</v>
      </c>
      <c r="AM31" s="31" t="s">
        <v>16</v>
      </c>
      <c r="AN31" s="31" t="s">
        <v>16</v>
      </c>
      <c r="AO31" s="31" t="s">
        <v>16</v>
      </c>
      <c r="AP31" s="31" t="s">
        <v>15</v>
      </c>
      <c r="AQ31" s="31" t="s">
        <v>16</v>
      </c>
      <c r="AR31" s="31" t="s">
        <v>16</v>
      </c>
      <c r="AS31" s="8">
        <f t="shared" si="1"/>
        <v>24</v>
      </c>
      <c r="AT31" s="8">
        <f t="shared" si="2"/>
        <v>13</v>
      </c>
      <c r="AU31" s="8">
        <f t="shared" si="3"/>
        <v>37</v>
      </c>
      <c r="AV31" s="32">
        <f t="shared" si="4"/>
        <v>64.86486486</v>
      </c>
      <c r="AW31" s="33"/>
    </row>
    <row r="32" ht="15.75" customHeight="1">
      <c r="A32" s="34">
        <v>29.0</v>
      </c>
      <c r="B32" s="28" t="s">
        <v>74</v>
      </c>
      <c r="C32" s="29" t="s">
        <v>75</v>
      </c>
      <c r="D32" s="30" t="s">
        <v>15</v>
      </c>
      <c r="E32" s="30" t="s">
        <v>16</v>
      </c>
      <c r="F32" s="30" t="s">
        <v>16</v>
      </c>
      <c r="G32" s="30" t="s">
        <v>16</v>
      </c>
      <c r="H32" s="30" t="s">
        <v>16</v>
      </c>
      <c r="I32" s="30" t="s">
        <v>16</v>
      </c>
      <c r="J32" s="30" t="s">
        <v>16</v>
      </c>
      <c r="K32" s="30" t="s">
        <v>16</v>
      </c>
      <c r="L32" s="30" t="s">
        <v>15</v>
      </c>
      <c r="M32" s="30" t="s">
        <v>16</v>
      </c>
      <c r="N32" s="31" t="s">
        <v>16</v>
      </c>
      <c r="O32" s="31" t="s">
        <v>16</v>
      </c>
      <c r="P32" s="31" t="s">
        <v>16</v>
      </c>
      <c r="Q32" s="31" t="s">
        <v>16</v>
      </c>
      <c r="R32" s="31" t="s">
        <v>16</v>
      </c>
      <c r="S32" s="31" t="s">
        <v>16</v>
      </c>
      <c r="T32" s="31" t="s">
        <v>16</v>
      </c>
      <c r="U32" s="31" t="s">
        <v>16</v>
      </c>
      <c r="V32" s="31" t="s">
        <v>16</v>
      </c>
      <c r="W32" s="31" t="s">
        <v>16</v>
      </c>
      <c r="X32" s="35"/>
      <c r="Y32" s="31" t="s">
        <v>16</v>
      </c>
      <c r="Z32" s="35"/>
      <c r="AA32" s="31" t="s">
        <v>16</v>
      </c>
      <c r="AB32" s="31" t="s">
        <v>15</v>
      </c>
      <c r="AC32" s="31" t="s">
        <v>16</v>
      </c>
      <c r="AD32" s="31" t="s">
        <v>16</v>
      </c>
      <c r="AE32" s="31" t="s">
        <v>15</v>
      </c>
      <c r="AF32" s="31" t="s">
        <v>16</v>
      </c>
      <c r="AG32" s="31" t="s">
        <v>16</v>
      </c>
      <c r="AH32" s="31" t="s">
        <v>16</v>
      </c>
      <c r="AI32" s="31" t="s">
        <v>16</v>
      </c>
      <c r="AJ32" s="31" t="s">
        <v>16</v>
      </c>
      <c r="AK32" s="35"/>
      <c r="AL32" s="31" t="s">
        <v>15</v>
      </c>
      <c r="AM32" s="31" t="s">
        <v>16</v>
      </c>
      <c r="AN32" s="31" t="s">
        <v>16</v>
      </c>
      <c r="AO32" s="31" t="s">
        <v>15</v>
      </c>
      <c r="AP32" s="31" t="s">
        <v>16</v>
      </c>
      <c r="AQ32" s="31" t="s">
        <v>16</v>
      </c>
      <c r="AR32" s="31" t="s">
        <v>16</v>
      </c>
      <c r="AS32" s="8">
        <f t="shared" si="1"/>
        <v>31</v>
      </c>
      <c r="AT32" s="8">
        <f t="shared" si="2"/>
        <v>6</v>
      </c>
      <c r="AU32" s="8">
        <f t="shared" si="3"/>
        <v>37</v>
      </c>
      <c r="AV32" s="32">
        <f t="shared" si="4"/>
        <v>83.78378378</v>
      </c>
      <c r="AW32" s="33"/>
    </row>
    <row r="33" ht="15.75" customHeight="1">
      <c r="A33" s="34">
        <v>30.0</v>
      </c>
      <c r="B33" s="36" t="s">
        <v>76</v>
      </c>
      <c r="C33" s="29" t="s">
        <v>77</v>
      </c>
      <c r="D33" s="30" t="s">
        <v>15</v>
      </c>
      <c r="E33" s="30" t="s">
        <v>15</v>
      </c>
      <c r="F33" s="30" t="s">
        <v>16</v>
      </c>
      <c r="G33" s="30" t="s">
        <v>16</v>
      </c>
      <c r="H33" s="30" t="s">
        <v>16</v>
      </c>
      <c r="I33" s="30" t="s">
        <v>15</v>
      </c>
      <c r="J33" s="30" t="s">
        <v>16</v>
      </c>
      <c r="K33" s="30" t="s">
        <v>16</v>
      </c>
      <c r="L33" s="30" t="s">
        <v>15</v>
      </c>
      <c r="M33" s="30" t="s">
        <v>16</v>
      </c>
      <c r="N33" s="31" t="s">
        <v>16</v>
      </c>
      <c r="O33" s="31" t="s">
        <v>16</v>
      </c>
      <c r="P33" s="31" t="s">
        <v>15</v>
      </c>
      <c r="Q33" s="31" t="s">
        <v>16</v>
      </c>
      <c r="R33" s="31" t="s">
        <v>16</v>
      </c>
      <c r="S33" s="31" t="s">
        <v>15</v>
      </c>
      <c r="T33" s="31" t="s">
        <v>16</v>
      </c>
      <c r="U33" s="31" t="s">
        <v>16</v>
      </c>
      <c r="V33" s="31" t="s">
        <v>16</v>
      </c>
      <c r="W33" s="31" t="s">
        <v>15</v>
      </c>
      <c r="X33" s="35"/>
      <c r="Y33" s="31" t="s">
        <v>16</v>
      </c>
      <c r="Z33" s="35"/>
      <c r="AA33" s="31" t="s">
        <v>16</v>
      </c>
      <c r="AB33" s="31" t="s">
        <v>16</v>
      </c>
      <c r="AC33" s="31" t="s">
        <v>16</v>
      </c>
      <c r="AD33" s="31" t="s">
        <v>15</v>
      </c>
      <c r="AE33" s="31" t="s">
        <v>15</v>
      </c>
      <c r="AF33" s="31" t="s">
        <v>15</v>
      </c>
      <c r="AG33" s="31" t="s">
        <v>16</v>
      </c>
      <c r="AH33" s="31" t="s">
        <v>15</v>
      </c>
      <c r="AI33" s="31" t="s">
        <v>15</v>
      </c>
      <c r="AJ33" s="31" t="s">
        <v>15</v>
      </c>
      <c r="AK33" s="37"/>
      <c r="AL33" s="31" t="s">
        <v>16</v>
      </c>
      <c r="AM33" s="31" t="s">
        <v>16</v>
      </c>
      <c r="AN33" s="31" t="s">
        <v>16</v>
      </c>
      <c r="AO33" s="31" t="s">
        <v>16</v>
      </c>
      <c r="AP33" s="31" t="s">
        <v>16</v>
      </c>
      <c r="AQ33" s="31" t="s">
        <v>15</v>
      </c>
      <c r="AR33" s="31" t="s">
        <v>15</v>
      </c>
      <c r="AS33" s="8">
        <f t="shared" si="1"/>
        <v>23</v>
      </c>
      <c r="AT33" s="8">
        <f t="shared" si="2"/>
        <v>14</v>
      </c>
      <c r="AU33" s="8">
        <f t="shared" si="3"/>
        <v>37</v>
      </c>
      <c r="AV33" s="32">
        <f t="shared" si="4"/>
        <v>62.16216216</v>
      </c>
      <c r="AW33" s="9"/>
    </row>
    <row r="34" ht="15.75" customHeight="1">
      <c r="A34" s="34">
        <v>31.0</v>
      </c>
      <c r="B34" s="28" t="s">
        <v>78</v>
      </c>
      <c r="C34" s="29" t="s">
        <v>79</v>
      </c>
      <c r="D34" s="30" t="s">
        <v>15</v>
      </c>
      <c r="E34" s="30" t="s">
        <v>15</v>
      </c>
      <c r="F34" s="30" t="s">
        <v>16</v>
      </c>
      <c r="G34" s="30" t="s">
        <v>15</v>
      </c>
      <c r="H34" s="30" t="s">
        <v>15</v>
      </c>
      <c r="I34" s="30" t="s">
        <v>16</v>
      </c>
      <c r="J34" s="30" t="s">
        <v>16</v>
      </c>
      <c r="K34" s="30" t="s">
        <v>15</v>
      </c>
      <c r="L34" s="30" t="s">
        <v>15</v>
      </c>
      <c r="M34" s="30" t="s">
        <v>15</v>
      </c>
      <c r="N34" s="31" t="s">
        <v>16</v>
      </c>
      <c r="O34" s="31" t="s">
        <v>16</v>
      </c>
      <c r="P34" s="31" t="s">
        <v>15</v>
      </c>
      <c r="Q34" s="31" t="s">
        <v>16</v>
      </c>
      <c r="R34" s="31" t="s">
        <v>16</v>
      </c>
      <c r="S34" s="31" t="s">
        <v>16</v>
      </c>
      <c r="T34" s="31" t="s">
        <v>16</v>
      </c>
      <c r="U34" s="31" t="s">
        <v>16</v>
      </c>
      <c r="V34" s="31" t="s">
        <v>16</v>
      </c>
      <c r="W34" s="31" t="s">
        <v>16</v>
      </c>
      <c r="X34" s="37"/>
      <c r="Y34" s="31" t="s">
        <v>15</v>
      </c>
      <c r="Z34" s="37"/>
      <c r="AA34" s="31" t="s">
        <v>16</v>
      </c>
      <c r="AB34" s="31" t="s">
        <v>16</v>
      </c>
      <c r="AC34" s="31" t="s">
        <v>16</v>
      </c>
      <c r="AD34" s="31" t="s">
        <v>15</v>
      </c>
      <c r="AE34" s="31" t="s">
        <v>15</v>
      </c>
      <c r="AF34" s="31" t="s">
        <v>15</v>
      </c>
      <c r="AG34" s="31" t="s">
        <v>16</v>
      </c>
      <c r="AH34" s="31" t="s">
        <v>15</v>
      </c>
      <c r="AI34" s="31" t="s">
        <v>16</v>
      </c>
      <c r="AJ34" s="31" t="s">
        <v>16</v>
      </c>
      <c r="AK34" s="37"/>
      <c r="AL34" s="31" t="s">
        <v>16</v>
      </c>
      <c r="AM34" s="31" t="s">
        <v>16</v>
      </c>
      <c r="AN34" s="31" t="s">
        <v>16</v>
      </c>
      <c r="AO34" s="31" t="s">
        <v>15</v>
      </c>
      <c r="AP34" s="31" t="s">
        <v>16</v>
      </c>
      <c r="AQ34" s="31" t="s">
        <v>15</v>
      </c>
      <c r="AR34" s="31" t="s">
        <v>15</v>
      </c>
      <c r="AS34" s="8">
        <f t="shared" si="1"/>
        <v>22</v>
      </c>
      <c r="AT34" s="8">
        <f t="shared" si="2"/>
        <v>15</v>
      </c>
      <c r="AU34" s="8">
        <f t="shared" si="3"/>
        <v>37</v>
      </c>
      <c r="AV34" s="32">
        <f t="shared" si="4"/>
        <v>59.45945946</v>
      </c>
      <c r="AW34" s="9"/>
    </row>
    <row r="35" ht="15.75" customHeight="1">
      <c r="A35" s="34">
        <v>32.0</v>
      </c>
      <c r="B35" s="28" t="s">
        <v>80</v>
      </c>
      <c r="C35" s="29" t="s">
        <v>81</v>
      </c>
      <c r="D35" s="30" t="s">
        <v>16</v>
      </c>
      <c r="E35" s="30" t="s">
        <v>15</v>
      </c>
      <c r="F35" s="30" t="s">
        <v>16</v>
      </c>
      <c r="G35" s="30" t="s">
        <v>15</v>
      </c>
      <c r="H35" s="30" t="s">
        <v>15</v>
      </c>
      <c r="I35" s="30" t="s">
        <v>16</v>
      </c>
      <c r="J35" s="30" t="s">
        <v>15</v>
      </c>
      <c r="K35" s="30" t="s">
        <v>15</v>
      </c>
      <c r="L35" s="30" t="s">
        <v>15</v>
      </c>
      <c r="M35" s="30" t="s">
        <v>16</v>
      </c>
      <c r="N35" s="31" t="s">
        <v>16</v>
      </c>
      <c r="O35" s="31" t="s">
        <v>16</v>
      </c>
      <c r="P35" s="31" t="s">
        <v>15</v>
      </c>
      <c r="Q35" s="31" t="s">
        <v>16</v>
      </c>
      <c r="R35" s="31" t="s">
        <v>16</v>
      </c>
      <c r="S35" s="31" t="s">
        <v>16</v>
      </c>
      <c r="T35" s="31" t="s">
        <v>15</v>
      </c>
      <c r="U35" s="31" t="s">
        <v>15</v>
      </c>
      <c r="V35" s="31" t="s">
        <v>15</v>
      </c>
      <c r="W35" s="31" t="s">
        <v>15</v>
      </c>
      <c r="X35" s="37"/>
      <c r="Y35" s="31" t="s">
        <v>16</v>
      </c>
      <c r="Z35" s="37"/>
      <c r="AA35" s="31" t="s">
        <v>16</v>
      </c>
      <c r="AB35" s="31" t="s">
        <v>16</v>
      </c>
      <c r="AC35" s="31" t="s">
        <v>16</v>
      </c>
      <c r="AD35" s="31" t="s">
        <v>15</v>
      </c>
      <c r="AE35" s="31" t="s">
        <v>15</v>
      </c>
      <c r="AF35" s="31" t="s">
        <v>15</v>
      </c>
      <c r="AG35" s="31" t="s">
        <v>16</v>
      </c>
      <c r="AH35" s="31" t="s">
        <v>16</v>
      </c>
      <c r="AI35" s="31" t="s">
        <v>16</v>
      </c>
      <c r="AJ35" s="31" t="s">
        <v>16</v>
      </c>
      <c r="AK35" s="37"/>
      <c r="AL35" s="31" t="s">
        <v>16</v>
      </c>
      <c r="AM35" s="31" t="s">
        <v>15</v>
      </c>
      <c r="AN35" s="31" t="s">
        <v>16</v>
      </c>
      <c r="AO35" s="31" t="s">
        <v>15</v>
      </c>
      <c r="AP35" s="31" t="s">
        <v>16</v>
      </c>
      <c r="AQ35" s="31" t="s">
        <v>16</v>
      </c>
      <c r="AR35" s="31" t="s">
        <v>16</v>
      </c>
      <c r="AS35" s="8">
        <f t="shared" si="1"/>
        <v>21</v>
      </c>
      <c r="AT35" s="8">
        <f t="shared" si="2"/>
        <v>16</v>
      </c>
      <c r="AU35" s="8">
        <f t="shared" si="3"/>
        <v>37</v>
      </c>
      <c r="AV35" s="32">
        <f t="shared" si="4"/>
        <v>56.75675676</v>
      </c>
      <c r="AW35" s="9"/>
    </row>
    <row r="36" ht="15.75" customHeight="1">
      <c r="A36" s="34">
        <v>33.0</v>
      </c>
      <c r="B36" s="38" t="s">
        <v>82</v>
      </c>
      <c r="C36" s="39" t="s">
        <v>83</v>
      </c>
      <c r="D36" s="30" t="s">
        <v>16</v>
      </c>
      <c r="E36" s="30" t="s">
        <v>15</v>
      </c>
      <c r="F36" s="30" t="s">
        <v>16</v>
      </c>
      <c r="G36" s="30" t="s">
        <v>15</v>
      </c>
      <c r="H36" s="30" t="s">
        <v>15</v>
      </c>
      <c r="I36" s="30" t="s">
        <v>16</v>
      </c>
      <c r="J36" s="30" t="s">
        <v>15</v>
      </c>
      <c r="K36" s="30" t="s">
        <v>15</v>
      </c>
      <c r="L36" s="30" t="s">
        <v>15</v>
      </c>
      <c r="M36" s="30" t="s">
        <v>16</v>
      </c>
      <c r="N36" s="31" t="s">
        <v>16</v>
      </c>
      <c r="O36" s="31" t="s">
        <v>16</v>
      </c>
      <c r="P36" s="31" t="s">
        <v>15</v>
      </c>
      <c r="Q36" s="31" t="s">
        <v>16</v>
      </c>
      <c r="R36" s="31" t="s">
        <v>16</v>
      </c>
      <c r="S36" s="31" t="s">
        <v>16</v>
      </c>
      <c r="T36" s="31" t="s">
        <v>15</v>
      </c>
      <c r="U36" s="31" t="s">
        <v>15</v>
      </c>
      <c r="V36" s="31" t="s">
        <v>15</v>
      </c>
      <c r="W36" s="31" t="s">
        <v>15</v>
      </c>
      <c r="X36" s="37"/>
      <c r="Y36" s="31" t="s">
        <v>16</v>
      </c>
      <c r="Z36" s="37"/>
      <c r="AA36" s="31" t="s">
        <v>16</v>
      </c>
      <c r="AB36" s="31" t="s">
        <v>16</v>
      </c>
      <c r="AC36" s="31" t="s">
        <v>16</v>
      </c>
      <c r="AD36" s="31" t="s">
        <v>15</v>
      </c>
      <c r="AE36" s="31" t="s">
        <v>16</v>
      </c>
      <c r="AF36" s="31" t="s">
        <v>15</v>
      </c>
      <c r="AG36" s="31" t="s">
        <v>16</v>
      </c>
      <c r="AH36" s="31" t="s">
        <v>16</v>
      </c>
      <c r="AI36" s="31" t="s">
        <v>16</v>
      </c>
      <c r="AJ36" s="31" t="s">
        <v>16</v>
      </c>
      <c r="AK36" s="37"/>
      <c r="AL36" s="31" t="s">
        <v>15</v>
      </c>
      <c r="AM36" s="31" t="s">
        <v>15</v>
      </c>
      <c r="AN36" s="31" t="s">
        <v>16</v>
      </c>
      <c r="AO36" s="31" t="s">
        <v>16</v>
      </c>
      <c r="AP36" s="31" t="s">
        <v>16</v>
      </c>
      <c r="AQ36" s="31" t="s">
        <v>15</v>
      </c>
      <c r="AR36" s="31" t="s">
        <v>16</v>
      </c>
      <c r="AS36" s="8">
        <f t="shared" si="1"/>
        <v>21</v>
      </c>
      <c r="AT36" s="8">
        <f t="shared" si="2"/>
        <v>16</v>
      </c>
      <c r="AU36" s="8">
        <f t="shared" si="3"/>
        <v>37</v>
      </c>
      <c r="AV36" s="32">
        <f t="shared" si="4"/>
        <v>56.75675676</v>
      </c>
      <c r="AW36" s="9"/>
    </row>
    <row r="37" ht="15.75" customHeight="1">
      <c r="A37" s="34">
        <v>34.0</v>
      </c>
      <c r="B37" s="28" t="s">
        <v>84</v>
      </c>
      <c r="C37" s="29" t="s">
        <v>85</v>
      </c>
      <c r="D37" s="30" t="s">
        <v>15</v>
      </c>
      <c r="E37" s="30" t="s">
        <v>15</v>
      </c>
      <c r="F37" s="30" t="s">
        <v>15</v>
      </c>
      <c r="G37" s="30" t="s">
        <v>16</v>
      </c>
      <c r="H37" s="30" t="s">
        <v>16</v>
      </c>
      <c r="I37" s="30" t="s">
        <v>16</v>
      </c>
      <c r="J37" s="30" t="s">
        <v>15</v>
      </c>
      <c r="K37" s="30" t="s">
        <v>15</v>
      </c>
      <c r="L37" s="30" t="s">
        <v>15</v>
      </c>
      <c r="M37" s="30" t="s">
        <v>16</v>
      </c>
      <c r="N37" s="31" t="s">
        <v>16</v>
      </c>
      <c r="O37" s="31" t="s">
        <v>15</v>
      </c>
      <c r="P37" s="31" t="s">
        <v>15</v>
      </c>
      <c r="Q37" s="31" t="s">
        <v>15</v>
      </c>
      <c r="R37" s="31" t="s">
        <v>16</v>
      </c>
      <c r="S37" s="31" t="s">
        <v>16</v>
      </c>
      <c r="T37" s="31" t="s">
        <v>16</v>
      </c>
      <c r="U37" s="31" t="s">
        <v>16</v>
      </c>
      <c r="V37" s="31" t="s">
        <v>16</v>
      </c>
      <c r="W37" s="31" t="s">
        <v>16</v>
      </c>
      <c r="X37" s="37"/>
      <c r="Y37" s="31" t="s">
        <v>16</v>
      </c>
      <c r="Z37" s="37"/>
      <c r="AA37" s="31" t="s">
        <v>16</v>
      </c>
      <c r="AB37" s="31" t="s">
        <v>16</v>
      </c>
      <c r="AC37" s="31" t="s">
        <v>16</v>
      </c>
      <c r="AD37" s="31" t="s">
        <v>16</v>
      </c>
      <c r="AE37" s="31" t="s">
        <v>15</v>
      </c>
      <c r="AF37" s="31" t="s">
        <v>16</v>
      </c>
      <c r="AG37" s="31" t="s">
        <v>16</v>
      </c>
      <c r="AH37" s="31" t="s">
        <v>15</v>
      </c>
      <c r="AI37" s="31" t="s">
        <v>15</v>
      </c>
      <c r="AJ37" s="31" t="s">
        <v>16</v>
      </c>
      <c r="AK37" s="37"/>
      <c r="AL37" s="31" t="s">
        <v>15</v>
      </c>
      <c r="AM37" s="31" t="s">
        <v>15</v>
      </c>
      <c r="AN37" s="31" t="s">
        <v>16</v>
      </c>
      <c r="AO37" s="31" t="s">
        <v>16</v>
      </c>
      <c r="AP37" s="31" t="s">
        <v>16</v>
      </c>
      <c r="AQ37" s="31" t="s">
        <v>16</v>
      </c>
      <c r="AR37" s="31" t="s">
        <v>15</v>
      </c>
      <c r="AS37" s="8">
        <f t="shared" si="1"/>
        <v>23</v>
      </c>
      <c r="AT37" s="8">
        <f t="shared" si="2"/>
        <v>14</v>
      </c>
      <c r="AU37" s="8">
        <f t="shared" si="3"/>
        <v>37</v>
      </c>
      <c r="AV37" s="32">
        <f t="shared" si="4"/>
        <v>62.16216216</v>
      </c>
      <c r="AW37" s="9"/>
    </row>
    <row r="38" ht="15.75" customHeight="1">
      <c r="A38" s="34">
        <v>35.0</v>
      </c>
      <c r="B38" s="28" t="s">
        <v>86</v>
      </c>
      <c r="C38" s="29" t="s">
        <v>87</v>
      </c>
      <c r="D38" s="30" t="s">
        <v>16</v>
      </c>
      <c r="E38" s="30" t="s">
        <v>15</v>
      </c>
      <c r="F38" s="30" t="s">
        <v>15</v>
      </c>
      <c r="G38" s="30" t="s">
        <v>15</v>
      </c>
      <c r="H38" s="30" t="s">
        <v>15</v>
      </c>
      <c r="I38" s="30" t="s">
        <v>16</v>
      </c>
      <c r="J38" s="30" t="s">
        <v>15</v>
      </c>
      <c r="K38" s="30" t="s">
        <v>15</v>
      </c>
      <c r="L38" s="30" t="s">
        <v>15</v>
      </c>
      <c r="M38" s="30" t="s">
        <v>16</v>
      </c>
      <c r="N38" s="31" t="s">
        <v>16</v>
      </c>
      <c r="O38" s="31" t="s">
        <v>16</v>
      </c>
      <c r="P38" s="31" t="s">
        <v>16</v>
      </c>
      <c r="Q38" s="31" t="s">
        <v>16</v>
      </c>
      <c r="R38" s="31" t="s">
        <v>16</v>
      </c>
      <c r="S38" s="31" t="s">
        <v>16</v>
      </c>
      <c r="T38" s="31" t="s">
        <v>15</v>
      </c>
      <c r="U38" s="31" t="s">
        <v>15</v>
      </c>
      <c r="V38" s="31" t="s">
        <v>16</v>
      </c>
      <c r="W38" s="31" t="s">
        <v>15</v>
      </c>
      <c r="X38" s="37"/>
      <c r="Y38" s="31" t="s">
        <v>16</v>
      </c>
      <c r="Z38" s="37"/>
      <c r="AA38" s="31" t="s">
        <v>16</v>
      </c>
      <c r="AB38" s="31" t="s">
        <v>15</v>
      </c>
      <c r="AC38" s="31" t="s">
        <v>16</v>
      </c>
      <c r="AD38" s="31" t="s">
        <v>15</v>
      </c>
      <c r="AE38" s="31" t="s">
        <v>15</v>
      </c>
      <c r="AF38" s="31" t="s">
        <v>15</v>
      </c>
      <c r="AG38" s="31" t="s">
        <v>16</v>
      </c>
      <c r="AH38" s="31" t="s">
        <v>16</v>
      </c>
      <c r="AI38" s="31" t="s">
        <v>16</v>
      </c>
      <c r="AJ38" s="31" t="s">
        <v>16</v>
      </c>
      <c r="AK38" s="37"/>
      <c r="AL38" s="31" t="s">
        <v>16</v>
      </c>
      <c r="AM38" s="31" t="s">
        <v>15</v>
      </c>
      <c r="AN38" s="31" t="s">
        <v>16</v>
      </c>
      <c r="AO38" s="31" t="s">
        <v>15</v>
      </c>
      <c r="AP38" s="31" t="s">
        <v>16</v>
      </c>
      <c r="AQ38" s="31" t="s">
        <v>15</v>
      </c>
      <c r="AR38" s="31" t="s">
        <v>16</v>
      </c>
      <c r="AS38" s="8">
        <f t="shared" si="1"/>
        <v>20</v>
      </c>
      <c r="AT38" s="8">
        <f t="shared" si="2"/>
        <v>17</v>
      </c>
      <c r="AU38" s="8">
        <f t="shared" si="3"/>
        <v>37</v>
      </c>
      <c r="AV38" s="32">
        <f t="shared" si="4"/>
        <v>54.05405405</v>
      </c>
      <c r="AW38" s="9"/>
    </row>
    <row r="39" ht="15.75" customHeight="1">
      <c r="A39" s="34">
        <v>36.0</v>
      </c>
      <c r="B39" s="28" t="s">
        <v>88</v>
      </c>
      <c r="C39" s="29" t="s">
        <v>89</v>
      </c>
      <c r="D39" s="30" t="s">
        <v>15</v>
      </c>
      <c r="E39" s="30" t="s">
        <v>15</v>
      </c>
      <c r="F39" s="30" t="s">
        <v>15</v>
      </c>
      <c r="G39" s="30" t="s">
        <v>15</v>
      </c>
      <c r="H39" s="30" t="s">
        <v>15</v>
      </c>
      <c r="I39" s="30" t="s">
        <v>15</v>
      </c>
      <c r="J39" s="30" t="s">
        <v>15</v>
      </c>
      <c r="K39" s="30" t="s">
        <v>15</v>
      </c>
      <c r="L39" s="30" t="s">
        <v>15</v>
      </c>
      <c r="M39" s="30" t="s">
        <v>15</v>
      </c>
      <c r="N39" s="31" t="s">
        <v>15</v>
      </c>
      <c r="O39" s="31" t="s">
        <v>15</v>
      </c>
      <c r="P39" s="31" t="s">
        <v>15</v>
      </c>
      <c r="Q39" s="31" t="s">
        <v>15</v>
      </c>
      <c r="R39" s="31" t="s">
        <v>15</v>
      </c>
      <c r="S39" s="31" t="s">
        <v>15</v>
      </c>
      <c r="T39" s="31" t="s">
        <v>16</v>
      </c>
      <c r="U39" s="31" t="s">
        <v>16</v>
      </c>
      <c r="V39" s="31" t="s">
        <v>15</v>
      </c>
      <c r="W39" s="31" t="s">
        <v>16</v>
      </c>
      <c r="X39" s="37"/>
      <c r="Y39" s="31" t="s">
        <v>16</v>
      </c>
      <c r="Z39" s="37"/>
      <c r="AA39" s="31" t="s">
        <v>15</v>
      </c>
      <c r="AB39" s="31" t="s">
        <v>16</v>
      </c>
      <c r="AC39" s="31" t="s">
        <v>16</v>
      </c>
      <c r="AD39" s="31" t="s">
        <v>16</v>
      </c>
      <c r="AE39" s="31" t="s">
        <v>15</v>
      </c>
      <c r="AF39" s="31" t="s">
        <v>16</v>
      </c>
      <c r="AG39" s="31" t="s">
        <v>16</v>
      </c>
      <c r="AH39" s="31" t="s">
        <v>16</v>
      </c>
      <c r="AI39" s="31" t="s">
        <v>16</v>
      </c>
      <c r="AJ39" s="31" t="s">
        <v>15</v>
      </c>
      <c r="AK39" s="37"/>
      <c r="AL39" s="31" t="s">
        <v>16</v>
      </c>
      <c r="AM39" s="31" t="s">
        <v>15</v>
      </c>
      <c r="AN39" s="31" t="s">
        <v>16</v>
      </c>
      <c r="AO39" s="31" t="s">
        <v>16</v>
      </c>
      <c r="AP39" s="31" t="s">
        <v>15</v>
      </c>
      <c r="AQ39" s="31" t="s">
        <v>15</v>
      </c>
      <c r="AR39" s="31" t="s">
        <v>16</v>
      </c>
      <c r="AS39" s="8">
        <f t="shared" si="1"/>
        <v>14</v>
      </c>
      <c r="AT39" s="8">
        <f t="shared" si="2"/>
        <v>23</v>
      </c>
      <c r="AU39" s="8">
        <f t="shared" si="3"/>
        <v>37</v>
      </c>
      <c r="AV39" s="32">
        <f t="shared" si="4"/>
        <v>37.83783784</v>
      </c>
      <c r="AW39" s="9"/>
    </row>
    <row r="40" ht="15.75" customHeight="1">
      <c r="A40" s="34">
        <v>37.0</v>
      </c>
      <c r="B40" s="28" t="s">
        <v>90</v>
      </c>
      <c r="C40" s="29" t="s">
        <v>91</v>
      </c>
      <c r="D40" s="30" t="s">
        <v>15</v>
      </c>
      <c r="E40" s="30" t="s">
        <v>15</v>
      </c>
      <c r="F40" s="30" t="s">
        <v>16</v>
      </c>
      <c r="G40" s="30" t="s">
        <v>15</v>
      </c>
      <c r="H40" s="30" t="s">
        <v>15</v>
      </c>
      <c r="I40" s="30" t="s">
        <v>16</v>
      </c>
      <c r="J40" s="30" t="s">
        <v>15</v>
      </c>
      <c r="K40" s="30" t="s">
        <v>15</v>
      </c>
      <c r="L40" s="30" t="s">
        <v>15</v>
      </c>
      <c r="M40" s="30" t="s">
        <v>15</v>
      </c>
      <c r="N40" s="31" t="s">
        <v>15</v>
      </c>
      <c r="O40" s="31" t="s">
        <v>16</v>
      </c>
      <c r="P40" s="31" t="s">
        <v>15</v>
      </c>
      <c r="Q40" s="31" t="s">
        <v>16</v>
      </c>
      <c r="R40" s="31" t="s">
        <v>16</v>
      </c>
      <c r="S40" s="31" t="s">
        <v>15</v>
      </c>
      <c r="T40" s="31" t="s">
        <v>15</v>
      </c>
      <c r="U40" s="31" t="s">
        <v>15</v>
      </c>
      <c r="V40" s="31" t="s">
        <v>16</v>
      </c>
      <c r="W40" s="31" t="s">
        <v>15</v>
      </c>
      <c r="X40" s="37"/>
      <c r="Y40" s="31" t="s">
        <v>15</v>
      </c>
      <c r="Z40" s="37"/>
      <c r="AA40" s="31" t="s">
        <v>15</v>
      </c>
      <c r="AB40" s="31" t="s">
        <v>16</v>
      </c>
      <c r="AC40" s="31" t="s">
        <v>16</v>
      </c>
      <c r="AD40" s="31" t="s">
        <v>15</v>
      </c>
      <c r="AE40" s="31" t="s">
        <v>15</v>
      </c>
      <c r="AF40" s="31" t="s">
        <v>15</v>
      </c>
      <c r="AG40" s="31" t="s">
        <v>16</v>
      </c>
      <c r="AH40" s="31" t="s">
        <v>16</v>
      </c>
      <c r="AI40" s="31" t="s">
        <v>16</v>
      </c>
      <c r="AJ40" s="31" t="s">
        <v>16</v>
      </c>
      <c r="AK40" s="37"/>
      <c r="AL40" s="31" t="s">
        <v>16</v>
      </c>
      <c r="AM40" s="31" t="s">
        <v>15</v>
      </c>
      <c r="AN40" s="31" t="s">
        <v>16</v>
      </c>
      <c r="AO40" s="31" t="s">
        <v>15</v>
      </c>
      <c r="AP40" s="31" t="s">
        <v>16</v>
      </c>
      <c r="AQ40" s="31" t="s">
        <v>15</v>
      </c>
      <c r="AR40" s="31" t="s">
        <v>16</v>
      </c>
      <c r="AS40" s="8">
        <f t="shared" si="1"/>
        <v>15</v>
      </c>
      <c r="AT40" s="8">
        <f t="shared" si="2"/>
        <v>22</v>
      </c>
      <c r="AU40" s="8">
        <f t="shared" si="3"/>
        <v>37</v>
      </c>
      <c r="AV40" s="32">
        <f t="shared" si="4"/>
        <v>40.54054054</v>
      </c>
      <c r="AW40" s="9"/>
    </row>
    <row r="41" ht="15.75" customHeight="1">
      <c r="A41" s="34">
        <v>38.0</v>
      </c>
      <c r="B41" s="28" t="s">
        <v>92</v>
      </c>
      <c r="C41" s="29" t="s">
        <v>93</v>
      </c>
      <c r="D41" s="30" t="s">
        <v>15</v>
      </c>
      <c r="E41" s="30" t="s">
        <v>15</v>
      </c>
      <c r="F41" s="30" t="s">
        <v>16</v>
      </c>
      <c r="G41" s="30" t="s">
        <v>16</v>
      </c>
      <c r="H41" s="30" t="s">
        <v>15</v>
      </c>
      <c r="I41" s="30" t="s">
        <v>15</v>
      </c>
      <c r="J41" s="30" t="s">
        <v>16</v>
      </c>
      <c r="K41" s="30" t="s">
        <v>16</v>
      </c>
      <c r="L41" s="30" t="s">
        <v>15</v>
      </c>
      <c r="M41" s="30" t="s">
        <v>16</v>
      </c>
      <c r="N41" s="31" t="s">
        <v>16</v>
      </c>
      <c r="O41" s="31" t="s">
        <v>16</v>
      </c>
      <c r="P41" s="31" t="s">
        <v>15</v>
      </c>
      <c r="Q41" s="31" t="s">
        <v>16</v>
      </c>
      <c r="R41" s="31" t="s">
        <v>16</v>
      </c>
      <c r="S41" s="31" t="s">
        <v>15</v>
      </c>
      <c r="T41" s="31" t="s">
        <v>16</v>
      </c>
      <c r="U41" s="31" t="s">
        <v>15</v>
      </c>
      <c r="V41" s="31" t="s">
        <v>16</v>
      </c>
      <c r="W41" s="31" t="s">
        <v>16</v>
      </c>
      <c r="X41" s="37"/>
      <c r="Y41" s="31" t="s">
        <v>16</v>
      </c>
      <c r="Z41" s="37"/>
      <c r="AA41" s="31" t="s">
        <v>16</v>
      </c>
      <c r="AB41" s="31" t="s">
        <v>15</v>
      </c>
      <c r="AC41" s="31" t="s">
        <v>16</v>
      </c>
      <c r="AD41" s="31" t="s">
        <v>15</v>
      </c>
      <c r="AE41" s="31" t="s">
        <v>15</v>
      </c>
      <c r="AF41" s="31" t="s">
        <v>15</v>
      </c>
      <c r="AG41" s="31" t="s">
        <v>16</v>
      </c>
      <c r="AH41" s="31" t="s">
        <v>16</v>
      </c>
      <c r="AI41" s="31" t="s">
        <v>16</v>
      </c>
      <c r="AJ41" s="31" t="s">
        <v>16</v>
      </c>
      <c r="AK41" s="37"/>
      <c r="AL41" s="31" t="s">
        <v>16</v>
      </c>
      <c r="AM41" s="31" t="s">
        <v>15</v>
      </c>
      <c r="AN41" s="31" t="s">
        <v>15</v>
      </c>
      <c r="AO41" s="31" t="s">
        <v>15</v>
      </c>
      <c r="AP41" s="31" t="s">
        <v>16</v>
      </c>
      <c r="AQ41" s="31" t="s">
        <v>15</v>
      </c>
      <c r="AR41" s="31" t="s">
        <v>16</v>
      </c>
      <c r="AS41" s="8">
        <f t="shared" si="1"/>
        <v>21</v>
      </c>
      <c r="AT41" s="8">
        <f t="shared" si="2"/>
        <v>16</v>
      </c>
      <c r="AU41" s="8">
        <f t="shared" si="3"/>
        <v>37</v>
      </c>
      <c r="AV41" s="32">
        <f t="shared" si="4"/>
        <v>56.75675676</v>
      </c>
      <c r="AW41" s="9"/>
    </row>
    <row r="42" ht="15.75" customHeight="1">
      <c r="A42" s="34">
        <v>39.0</v>
      </c>
      <c r="B42" s="28" t="s">
        <v>94</v>
      </c>
      <c r="C42" s="29" t="s">
        <v>95</v>
      </c>
      <c r="D42" s="30" t="s">
        <v>15</v>
      </c>
      <c r="E42" s="30" t="s">
        <v>15</v>
      </c>
      <c r="F42" s="30" t="s">
        <v>16</v>
      </c>
      <c r="G42" s="30" t="s">
        <v>16</v>
      </c>
      <c r="H42" s="30" t="s">
        <v>16</v>
      </c>
      <c r="I42" s="30" t="s">
        <v>15</v>
      </c>
      <c r="J42" s="30" t="s">
        <v>15</v>
      </c>
      <c r="K42" s="30" t="s">
        <v>16</v>
      </c>
      <c r="L42" s="30" t="s">
        <v>15</v>
      </c>
      <c r="M42" s="30" t="s">
        <v>16</v>
      </c>
      <c r="N42" s="31" t="s">
        <v>16</v>
      </c>
      <c r="O42" s="31" t="s">
        <v>16</v>
      </c>
      <c r="P42" s="31" t="s">
        <v>15</v>
      </c>
      <c r="Q42" s="31" t="s">
        <v>15</v>
      </c>
      <c r="R42" s="31" t="s">
        <v>16</v>
      </c>
      <c r="S42" s="31" t="s">
        <v>16</v>
      </c>
      <c r="T42" s="31" t="s">
        <v>16</v>
      </c>
      <c r="U42" s="31" t="s">
        <v>16</v>
      </c>
      <c r="V42" s="31" t="s">
        <v>16</v>
      </c>
      <c r="W42" s="31" t="s">
        <v>15</v>
      </c>
      <c r="X42" s="37"/>
      <c r="Y42" s="31" t="s">
        <v>16</v>
      </c>
      <c r="Z42" s="37"/>
      <c r="AA42" s="31" t="s">
        <v>16</v>
      </c>
      <c r="AB42" s="31" t="s">
        <v>15</v>
      </c>
      <c r="AC42" s="31" t="s">
        <v>16</v>
      </c>
      <c r="AD42" s="31" t="s">
        <v>15</v>
      </c>
      <c r="AE42" s="31" t="s">
        <v>15</v>
      </c>
      <c r="AF42" s="31" t="s">
        <v>15</v>
      </c>
      <c r="AG42" s="31" t="s">
        <v>16</v>
      </c>
      <c r="AH42" s="31" t="s">
        <v>15</v>
      </c>
      <c r="AI42" s="31" t="s">
        <v>15</v>
      </c>
      <c r="AJ42" s="31" t="s">
        <v>16</v>
      </c>
      <c r="AK42" s="37"/>
      <c r="AL42" s="31" t="s">
        <v>16</v>
      </c>
      <c r="AM42" s="31" t="s">
        <v>15</v>
      </c>
      <c r="AN42" s="31" t="s">
        <v>16</v>
      </c>
      <c r="AO42" s="31" t="s">
        <v>16</v>
      </c>
      <c r="AP42" s="31" t="s">
        <v>16</v>
      </c>
      <c r="AQ42" s="31" t="s">
        <v>16</v>
      </c>
      <c r="AR42" s="31" t="s">
        <v>16</v>
      </c>
      <c r="AS42" s="8">
        <f t="shared" si="1"/>
        <v>22</v>
      </c>
      <c r="AT42" s="8">
        <f t="shared" si="2"/>
        <v>15</v>
      </c>
      <c r="AU42" s="8">
        <f t="shared" si="3"/>
        <v>37</v>
      </c>
      <c r="AV42" s="32">
        <f t="shared" si="4"/>
        <v>59.45945946</v>
      </c>
      <c r="AW42" s="9"/>
    </row>
    <row r="43" ht="15.75" customHeight="1">
      <c r="A43" s="34">
        <v>40.0</v>
      </c>
      <c r="B43" s="28" t="s">
        <v>96</v>
      </c>
      <c r="C43" s="40" t="s">
        <v>97</v>
      </c>
      <c r="D43" s="30" t="s">
        <v>15</v>
      </c>
      <c r="E43" s="30" t="s">
        <v>15</v>
      </c>
      <c r="F43" s="30" t="s">
        <v>16</v>
      </c>
      <c r="G43" s="30" t="s">
        <v>16</v>
      </c>
      <c r="H43" s="30" t="s">
        <v>15</v>
      </c>
      <c r="I43" s="30" t="s">
        <v>16</v>
      </c>
      <c r="J43" s="30" t="s">
        <v>15</v>
      </c>
      <c r="K43" s="30" t="s">
        <v>16</v>
      </c>
      <c r="L43" s="30" t="s">
        <v>15</v>
      </c>
      <c r="M43" s="30" t="s">
        <v>16</v>
      </c>
      <c r="N43" s="31" t="s">
        <v>16</v>
      </c>
      <c r="O43" s="31" t="s">
        <v>15</v>
      </c>
      <c r="P43" s="31" t="s">
        <v>16</v>
      </c>
      <c r="Q43" s="31" t="s">
        <v>16</v>
      </c>
      <c r="R43" s="31" t="s">
        <v>16</v>
      </c>
      <c r="S43" s="31" t="s">
        <v>16</v>
      </c>
      <c r="T43" s="31" t="s">
        <v>16</v>
      </c>
      <c r="U43" s="31" t="s">
        <v>15</v>
      </c>
      <c r="V43" s="31" t="s">
        <v>15</v>
      </c>
      <c r="W43" s="31" t="s">
        <v>16</v>
      </c>
      <c r="X43" s="37"/>
      <c r="Y43" s="31" t="s">
        <v>15</v>
      </c>
      <c r="Z43" s="37"/>
      <c r="AA43" s="31" t="s">
        <v>16</v>
      </c>
      <c r="AB43" s="31" t="s">
        <v>16</v>
      </c>
      <c r="AC43" s="31" t="s">
        <v>16</v>
      </c>
      <c r="AD43" s="31" t="s">
        <v>16</v>
      </c>
      <c r="AE43" s="31" t="s">
        <v>16</v>
      </c>
      <c r="AF43" s="31" t="s">
        <v>15</v>
      </c>
      <c r="AG43" s="31" t="s">
        <v>16</v>
      </c>
      <c r="AH43" s="31" t="s">
        <v>15</v>
      </c>
      <c r="AI43" s="31" t="s">
        <v>15</v>
      </c>
      <c r="AJ43" s="31" t="s">
        <v>16</v>
      </c>
      <c r="AK43" s="37"/>
      <c r="AL43" s="31" t="s">
        <v>16</v>
      </c>
      <c r="AM43" s="31" t="s">
        <v>15</v>
      </c>
      <c r="AN43" s="31" t="s">
        <v>16</v>
      </c>
      <c r="AO43" s="31" t="s">
        <v>16</v>
      </c>
      <c r="AP43" s="31" t="s">
        <v>16</v>
      </c>
      <c r="AQ43" s="31" t="s">
        <v>15</v>
      </c>
      <c r="AR43" s="31" t="s">
        <v>16</v>
      </c>
      <c r="AS43" s="8">
        <f t="shared" si="1"/>
        <v>23</v>
      </c>
      <c r="AT43" s="8">
        <f t="shared" si="2"/>
        <v>14</v>
      </c>
      <c r="AU43" s="8">
        <f t="shared" si="3"/>
        <v>37</v>
      </c>
      <c r="AV43" s="32">
        <f t="shared" si="4"/>
        <v>62.16216216</v>
      </c>
      <c r="AW43" s="9"/>
    </row>
    <row r="44" ht="15.75" customHeight="1">
      <c r="A44" s="34">
        <v>41.0</v>
      </c>
      <c r="B44" s="28" t="s">
        <v>98</v>
      </c>
      <c r="C44" s="29" t="s">
        <v>99</v>
      </c>
      <c r="D44" s="30" t="s">
        <v>15</v>
      </c>
      <c r="E44" s="30" t="s">
        <v>15</v>
      </c>
      <c r="F44" s="30" t="s">
        <v>16</v>
      </c>
      <c r="G44" s="30" t="s">
        <v>16</v>
      </c>
      <c r="H44" s="30" t="s">
        <v>15</v>
      </c>
      <c r="I44" s="30" t="s">
        <v>16</v>
      </c>
      <c r="J44" s="30" t="s">
        <v>16</v>
      </c>
      <c r="K44" s="30" t="s">
        <v>15</v>
      </c>
      <c r="L44" s="30" t="s">
        <v>15</v>
      </c>
      <c r="M44" s="30" t="s">
        <v>15</v>
      </c>
      <c r="N44" s="31" t="s">
        <v>16</v>
      </c>
      <c r="O44" s="31" t="s">
        <v>16</v>
      </c>
      <c r="P44" s="31" t="s">
        <v>15</v>
      </c>
      <c r="Q44" s="31" t="s">
        <v>15</v>
      </c>
      <c r="R44" s="31" t="s">
        <v>16</v>
      </c>
      <c r="S44" s="31" t="s">
        <v>16</v>
      </c>
      <c r="T44" s="31" t="s">
        <v>16</v>
      </c>
      <c r="U44" s="31" t="s">
        <v>16</v>
      </c>
      <c r="V44" s="31" t="s">
        <v>15</v>
      </c>
      <c r="W44" s="31" t="s">
        <v>16</v>
      </c>
      <c r="X44" s="37"/>
      <c r="Y44" s="31" t="s">
        <v>15</v>
      </c>
      <c r="Z44" s="37"/>
      <c r="AA44" s="31" t="s">
        <v>15</v>
      </c>
      <c r="AB44" s="31" t="s">
        <v>16</v>
      </c>
      <c r="AC44" s="31" t="s">
        <v>15</v>
      </c>
      <c r="AD44" s="31" t="s">
        <v>16</v>
      </c>
      <c r="AE44" s="31" t="s">
        <v>16</v>
      </c>
      <c r="AF44" s="31" t="s">
        <v>15</v>
      </c>
      <c r="AG44" s="31" t="s">
        <v>16</v>
      </c>
      <c r="AH44" s="31" t="s">
        <v>15</v>
      </c>
      <c r="AI44" s="31" t="s">
        <v>15</v>
      </c>
      <c r="AJ44" s="31" t="s">
        <v>16</v>
      </c>
      <c r="AK44" s="37"/>
      <c r="AL44" s="31" t="s">
        <v>15</v>
      </c>
      <c r="AM44" s="31" t="s">
        <v>15</v>
      </c>
      <c r="AN44" s="31" t="s">
        <v>15</v>
      </c>
      <c r="AO44" s="31" t="s">
        <v>15</v>
      </c>
      <c r="AP44" s="31" t="s">
        <v>16</v>
      </c>
      <c r="AQ44" s="31" t="s">
        <v>16</v>
      </c>
      <c r="AR44" s="31" t="s">
        <v>16</v>
      </c>
      <c r="AS44" s="8">
        <f t="shared" si="1"/>
        <v>18</v>
      </c>
      <c r="AT44" s="8">
        <f t="shared" si="2"/>
        <v>19</v>
      </c>
      <c r="AU44" s="8">
        <f t="shared" si="3"/>
        <v>37</v>
      </c>
      <c r="AV44" s="32">
        <f t="shared" si="4"/>
        <v>48.64864865</v>
      </c>
      <c r="AW44" s="9"/>
    </row>
    <row r="45" ht="15.75" customHeight="1">
      <c r="A45" s="34">
        <v>42.0</v>
      </c>
      <c r="B45" s="36" t="s">
        <v>100</v>
      </c>
      <c r="C45" s="29" t="s">
        <v>101</v>
      </c>
      <c r="D45" s="30" t="s">
        <v>15</v>
      </c>
      <c r="E45" s="30" t="s">
        <v>15</v>
      </c>
      <c r="F45" s="30" t="s">
        <v>16</v>
      </c>
      <c r="G45" s="30" t="s">
        <v>15</v>
      </c>
      <c r="H45" s="30" t="s">
        <v>15</v>
      </c>
      <c r="I45" s="30" t="s">
        <v>16</v>
      </c>
      <c r="J45" s="30" t="s">
        <v>15</v>
      </c>
      <c r="K45" s="30" t="s">
        <v>15</v>
      </c>
      <c r="L45" s="30" t="s">
        <v>15</v>
      </c>
      <c r="M45" s="30" t="s">
        <v>15</v>
      </c>
      <c r="N45" s="31" t="s">
        <v>16</v>
      </c>
      <c r="O45" s="31" t="s">
        <v>16</v>
      </c>
      <c r="P45" s="31" t="s">
        <v>15</v>
      </c>
      <c r="Q45" s="31" t="s">
        <v>16</v>
      </c>
      <c r="R45" s="31" t="s">
        <v>15</v>
      </c>
      <c r="S45" s="31" t="s">
        <v>15</v>
      </c>
      <c r="T45" s="31" t="s">
        <v>16</v>
      </c>
      <c r="U45" s="31" t="s">
        <v>15</v>
      </c>
      <c r="V45" s="31" t="s">
        <v>15</v>
      </c>
      <c r="W45" s="31" t="s">
        <v>16</v>
      </c>
      <c r="X45" s="37"/>
      <c r="Y45" s="31" t="s">
        <v>15</v>
      </c>
      <c r="Z45" s="37"/>
      <c r="AA45" s="31" t="s">
        <v>16</v>
      </c>
      <c r="AB45" s="31" t="s">
        <v>15</v>
      </c>
      <c r="AC45" s="31" t="s">
        <v>16</v>
      </c>
      <c r="AD45" s="31" t="s">
        <v>16</v>
      </c>
      <c r="AE45" s="31" t="s">
        <v>15</v>
      </c>
      <c r="AF45" s="31" t="s">
        <v>16</v>
      </c>
      <c r="AG45" s="31" t="s">
        <v>16</v>
      </c>
      <c r="AH45" s="31" t="s">
        <v>15</v>
      </c>
      <c r="AI45" s="31" t="s">
        <v>15</v>
      </c>
      <c r="AJ45" s="31" t="s">
        <v>16</v>
      </c>
      <c r="AK45" s="37"/>
      <c r="AL45" s="31" t="s">
        <v>16</v>
      </c>
      <c r="AM45" s="31" t="s">
        <v>16</v>
      </c>
      <c r="AN45" s="31" t="s">
        <v>16</v>
      </c>
      <c r="AO45" s="31" t="s">
        <v>16</v>
      </c>
      <c r="AP45" s="31" t="s">
        <v>16</v>
      </c>
      <c r="AQ45" s="31" t="s">
        <v>16</v>
      </c>
      <c r="AR45" s="31" t="s">
        <v>16</v>
      </c>
      <c r="AS45" s="8">
        <f t="shared" si="1"/>
        <v>19</v>
      </c>
      <c r="AT45" s="8">
        <f t="shared" si="2"/>
        <v>18</v>
      </c>
      <c r="AU45" s="8">
        <f t="shared" si="3"/>
        <v>37</v>
      </c>
      <c r="AV45" s="32">
        <f t="shared" si="4"/>
        <v>51.35135135</v>
      </c>
      <c r="AW45" s="9"/>
    </row>
    <row r="46" ht="15.75" customHeight="1">
      <c r="A46" s="34">
        <v>43.0</v>
      </c>
      <c r="B46" s="28" t="s">
        <v>102</v>
      </c>
      <c r="C46" s="29" t="s">
        <v>103</v>
      </c>
      <c r="D46" s="30" t="s">
        <v>15</v>
      </c>
      <c r="E46" s="30" t="s">
        <v>16</v>
      </c>
      <c r="F46" s="30" t="s">
        <v>16</v>
      </c>
      <c r="G46" s="30" t="s">
        <v>15</v>
      </c>
      <c r="H46" s="30" t="s">
        <v>15</v>
      </c>
      <c r="I46" s="30" t="s">
        <v>16</v>
      </c>
      <c r="J46" s="30" t="s">
        <v>15</v>
      </c>
      <c r="K46" s="30" t="s">
        <v>16</v>
      </c>
      <c r="L46" s="30" t="s">
        <v>15</v>
      </c>
      <c r="M46" s="30" t="s">
        <v>15</v>
      </c>
      <c r="N46" s="31" t="s">
        <v>16</v>
      </c>
      <c r="O46" s="31" t="s">
        <v>16</v>
      </c>
      <c r="P46" s="31" t="s">
        <v>15</v>
      </c>
      <c r="Q46" s="31" t="s">
        <v>16</v>
      </c>
      <c r="R46" s="31" t="s">
        <v>16</v>
      </c>
      <c r="S46" s="31" t="s">
        <v>16</v>
      </c>
      <c r="T46" s="31" t="s">
        <v>16</v>
      </c>
      <c r="U46" s="31" t="s">
        <v>15</v>
      </c>
      <c r="V46" s="31" t="s">
        <v>15</v>
      </c>
      <c r="W46" s="31" t="s">
        <v>15</v>
      </c>
      <c r="X46" s="37"/>
      <c r="Y46" s="31" t="s">
        <v>15</v>
      </c>
      <c r="Z46" s="37"/>
      <c r="AA46" s="31" t="s">
        <v>15</v>
      </c>
      <c r="AB46" s="31" t="s">
        <v>16</v>
      </c>
      <c r="AC46" s="31" t="s">
        <v>16</v>
      </c>
      <c r="AD46" s="31" t="s">
        <v>15</v>
      </c>
      <c r="AE46" s="31" t="s">
        <v>15</v>
      </c>
      <c r="AF46" s="31" t="s">
        <v>15</v>
      </c>
      <c r="AG46" s="31" t="s">
        <v>16</v>
      </c>
      <c r="AH46" s="31" t="s">
        <v>16</v>
      </c>
      <c r="AI46" s="31" t="s">
        <v>16</v>
      </c>
      <c r="AJ46" s="31" t="s">
        <v>16</v>
      </c>
      <c r="AK46" s="37"/>
      <c r="AL46" s="31" t="s">
        <v>16</v>
      </c>
      <c r="AM46" s="31" t="s">
        <v>15</v>
      </c>
      <c r="AN46" s="31" t="s">
        <v>15</v>
      </c>
      <c r="AO46" s="31" t="s">
        <v>16</v>
      </c>
      <c r="AP46" s="31" t="s">
        <v>15</v>
      </c>
      <c r="AQ46" s="31" t="s">
        <v>16</v>
      </c>
      <c r="AR46" s="31" t="s">
        <v>15</v>
      </c>
      <c r="AS46" s="8">
        <f t="shared" si="1"/>
        <v>19</v>
      </c>
      <c r="AT46" s="8">
        <f t="shared" si="2"/>
        <v>18</v>
      </c>
      <c r="AU46" s="8">
        <f t="shared" si="3"/>
        <v>37</v>
      </c>
      <c r="AV46" s="32">
        <f t="shared" si="4"/>
        <v>51.35135135</v>
      </c>
      <c r="AW46" s="9"/>
    </row>
    <row r="47" ht="15.75" customHeight="1">
      <c r="A47" s="34">
        <v>44.0</v>
      </c>
      <c r="B47" s="28" t="s">
        <v>104</v>
      </c>
      <c r="C47" s="29" t="s">
        <v>105</v>
      </c>
      <c r="D47" s="30" t="s">
        <v>15</v>
      </c>
      <c r="E47" s="30" t="s">
        <v>15</v>
      </c>
      <c r="F47" s="30" t="s">
        <v>16</v>
      </c>
      <c r="G47" s="30" t="s">
        <v>15</v>
      </c>
      <c r="H47" s="30" t="s">
        <v>15</v>
      </c>
      <c r="I47" s="30" t="s">
        <v>15</v>
      </c>
      <c r="J47" s="30" t="s">
        <v>15</v>
      </c>
      <c r="K47" s="30" t="s">
        <v>16</v>
      </c>
      <c r="L47" s="30" t="s">
        <v>15</v>
      </c>
      <c r="M47" s="30" t="s">
        <v>15</v>
      </c>
      <c r="N47" s="31" t="s">
        <v>16</v>
      </c>
      <c r="O47" s="31" t="s">
        <v>16</v>
      </c>
      <c r="P47" s="31" t="s">
        <v>16</v>
      </c>
      <c r="Q47" s="31" t="s">
        <v>16</v>
      </c>
      <c r="R47" s="31" t="s">
        <v>16</v>
      </c>
      <c r="S47" s="31" t="s">
        <v>16</v>
      </c>
      <c r="T47" s="31" t="s">
        <v>16</v>
      </c>
      <c r="U47" s="31" t="s">
        <v>16</v>
      </c>
      <c r="V47" s="31" t="s">
        <v>16</v>
      </c>
      <c r="W47" s="31" t="s">
        <v>16</v>
      </c>
      <c r="X47" s="37"/>
      <c r="Y47" s="31" t="s">
        <v>16</v>
      </c>
      <c r="Z47" s="37"/>
      <c r="AA47" s="31" t="s">
        <v>16</v>
      </c>
      <c r="AB47" s="31" t="s">
        <v>16</v>
      </c>
      <c r="AC47" s="31" t="s">
        <v>16</v>
      </c>
      <c r="AD47" s="31" t="s">
        <v>15</v>
      </c>
      <c r="AE47" s="31" t="s">
        <v>15</v>
      </c>
      <c r="AF47" s="31" t="s">
        <v>15</v>
      </c>
      <c r="AG47" s="31" t="s">
        <v>15</v>
      </c>
      <c r="AH47" s="31" t="s">
        <v>16</v>
      </c>
      <c r="AI47" s="31" t="s">
        <v>16</v>
      </c>
      <c r="AJ47" s="31" t="s">
        <v>15</v>
      </c>
      <c r="AK47" s="37"/>
      <c r="AL47" s="31" t="s">
        <v>15</v>
      </c>
      <c r="AM47" s="31" t="s">
        <v>15</v>
      </c>
      <c r="AN47" s="31" t="s">
        <v>16</v>
      </c>
      <c r="AO47" s="31" t="s">
        <v>16</v>
      </c>
      <c r="AP47" s="31" t="s">
        <v>15</v>
      </c>
      <c r="AQ47" s="31" t="s">
        <v>16</v>
      </c>
      <c r="AR47" s="31" t="s">
        <v>16</v>
      </c>
      <c r="AS47" s="8">
        <f t="shared" si="1"/>
        <v>21</v>
      </c>
      <c r="AT47" s="8">
        <f t="shared" si="2"/>
        <v>16</v>
      </c>
      <c r="AU47" s="8">
        <f t="shared" si="3"/>
        <v>37</v>
      </c>
      <c r="AV47" s="32">
        <f t="shared" si="4"/>
        <v>56.75675676</v>
      </c>
      <c r="AW47" s="9"/>
    </row>
    <row r="48" ht="15.75" customHeight="1">
      <c r="A48" s="34">
        <v>45.0</v>
      </c>
      <c r="B48" s="28" t="s">
        <v>106</v>
      </c>
      <c r="C48" s="29" t="s">
        <v>107</v>
      </c>
      <c r="D48" s="30" t="s">
        <v>15</v>
      </c>
      <c r="E48" s="30" t="s">
        <v>15</v>
      </c>
      <c r="F48" s="30" t="s">
        <v>15</v>
      </c>
      <c r="G48" s="30" t="s">
        <v>15</v>
      </c>
      <c r="H48" s="30" t="s">
        <v>15</v>
      </c>
      <c r="I48" s="30" t="s">
        <v>15</v>
      </c>
      <c r="J48" s="30" t="s">
        <v>15</v>
      </c>
      <c r="K48" s="30" t="s">
        <v>16</v>
      </c>
      <c r="L48" s="30" t="s">
        <v>16</v>
      </c>
      <c r="M48" s="30" t="s">
        <v>15</v>
      </c>
      <c r="N48" s="31" t="s">
        <v>15</v>
      </c>
      <c r="O48" s="31" t="s">
        <v>15</v>
      </c>
      <c r="P48" s="31" t="s">
        <v>15</v>
      </c>
      <c r="Q48" s="31" t="s">
        <v>15</v>
      </c>
      <c r="R48" s="31" t="s">
        <v>16</v>
      </c>
      <c r="S48" s="31" t="s">
        <v>15</v>
      </c>
      <c r="T48" s="31" t="s">
        <v>16</v>
      </c>
      <c r="U48" s="31" t="s">
        <v>16</v>
      </c>
      <c r="V48" s="31" t="s">
        <v>15</v>
      </c>
      <c r="W48" s="31" t="s">
        <v>15</v>
      </c>
      <c r="X48" s="37"/>
      <c r="Y48" s="31" t="s">
        <v>15</v>
      </c>
      <c r="Z48" s="37"/>
      <c r="AA48" s="31" t="s">
        <v>15</v>
      </c>
      <c r="AB48" s="31" t="s">
        <v>15</v>
      </c>
      <c r="AC48" s="31" t="s">
        <v>15</v>
      </c>
      <c r="AD48" s="31" t="s">
        <v>16</v>
      </c>
      <c r="AE48" s="31" t="s">
        <v>16</v>
      </c>
      <c r="AF48" s="31" t="s">
        <v>16</v>
      </c>
      <c r="AG48" s="31" t="s">
        <v>16</v>
      </c>
      <c r="AH48" s="31" t="s">
        <v>16</v>
      </c>
      <c r="AI48" s="31" t="s">
        <v>15</v>
      </c>
      <c r="AJ48" s="31" t="s">
        <v>16</v>
      </c>
      <c r="AK48" s="37"/>
      <c r="AL48" s="31" t="s">
        <v>16</v>
      </c>
      <c r="AM48" s="31" t="s">
        <v>16</v>
      </c>
      <c r="AN48" s="31" t="s">
        <v>16</v>
      </c>
      <c r="AO48" s="31" t="s">
        <v>16</v>
      </c>
      <c r="AP48" s="31" t="s">
        <v>15</v>
      </c>
      <c r="AQ48" s="31" t="s">
        <v>16</v>
      </c>
      <c r="AR48" s="31" t="s">
        <v>16</v>
      </c>
      <c r="AS48" s="8">
        <f t="shared" si="1"/>
        <v>16</v>
      </c>
      <c r="AT48" s="8">
        <f t="shared" si="2"/>
        <v>21</v>
      </c>
      <c r="AU48" s="8">
        <f t="shared" si="3"/>
        <v>37</v>
      </c>
      <c r="AV48" s="32">
        <f t="shared" si="4"/>
        <v>43.24324324</v>
      </c>
      <c r="AW48" s="9"/>
    </row>
    <row r="49" ht="15.75" customHeight="1">
      <c r="A49" s="34">
        <v>46.0</v>
      </c>
      <c r="B49" s="28" t="s">
        <v>108</v>
      </c>
      <c r="C49" s="29" t="s">
        <v>109</v>
      </c>
      <c r="D49" s="30" t="s">
        <v>15</v>
      </c>
      <c r="E49" s="30" t="s">
        <v>15</v>
      </c>
      <c r="F49" s="30" t="s">
        <v>16</v>
      </c>
      <c r="G49" s="30" t="s">
        <v>15</v>
      </c>
      <c r="H49" s="30" t="s">
        <v>16</v>
      </c>
      <c r="I49" s="30" t="s">
        <v>16</v>
      </c>
      <c r="J49" s="30" t="s">
        <v>15</v>
      </c>
      <c r="K49" s="30" t="s">
        <v>16</v>
      </c>
      <c r="L49" s="30" t="s">
        <v>15</v>
      </c>
      <c r="M49" s="30" t="s">
        <v>16</v>
      </c>
      <c r="N49" s="31" t="s">
        <v>16</v>
      </c>
      <c r="O49" s="31" t="s">
        <v>16</v>
      </c>
      <c r="P49" s="31" t="s">
        <v>16</v>
      </c>
      <c r="Q49" s="31" t="s">
        <v>16</v>
      </c>
      <c r="R49" s="31" t="s">
        <v>16</v>
      </c>
      <c r="S49" s="31" t="s">
        <v>16</v>
      </c>
      <c r="T49" s="31" t="s">
        <v>16</v>
      </c>
      <c r="U49" s="31" t="s">
        <v>15</v>
      </c>
      <c r="V49" s="31" t="s">
        <v>16</v>
      </c>
      <c r="W49" s="31" t="s">
        <v>15</v>
      </c>
      <c r="X49" s="37"/>
      <c r="Y49" s="31" t="s">
        <v>16</v>
      </c>
      <c r="Z49" s="37"/>
      <c r="AA49" s="31" t="s">
        <v>16</v>
      </c>
      <c r="AB49" s="31" t="s">
        <v>16</v>
      </c>
      <c r="AC49" s="31" t="s">
        <v>16</v>
      </c>
      <c r="AD49" s="31" t="s">
        <v>16</v>
      </c>
      <c r="AE49" s="31" t="s">
        <v>15</v>
      </c>
      <c r="AF49" s="31" t="s">
        <v>15</v>
      </c>
      <c r="AG49" s="31" t="s">
        <v>16</v>
      </c>
      <c r="AH49" s="31" t="s">
        <v>15</v>
      </c>
      <c r="AI49" s="31" t="s">
        <v>15</v>
      </c>
      <c r="AJ49" s="31" t="s">
        <v>16</v>
      </c>
      <c r="AK49" s="37"/>
      <c r="AL49" s="31" t="s">
        <v>15</v>
      </c>
      <c r="AM49" s="31" t="s">
        <v>15</v>
      </c>
      <c r="AN49" s="31" t="s">
        <v>16</v>
      </c>
      <c r="AO49" s="31" t="s">
        <v>16</v>
      </c>
      <c r="AP49" s="31" t="s">
        <v>16</v>
      </c>
      <c r="AQ49" s="31" t="s">
        <v>16</v>
      </c>
      <c r="AR49" s="31" t="s">
        <v>16</v>
      </c>
      <c r="AS49" s="8">
        <f t="shared" si="1"/>
        <v>24</v>
      </c>
      <c r="AT49" s="8">
        <f t="shared" si="2"/>
        <v>13</v>
      </c>
      <c r="AU49" s="8">
        <f t="shared" si="3"/>
        <v>37</v>
      </c>
      <c r="AV49" s="32">
        <f t="shared" si="4"/>
        <v>64.86486486</v>
      </c>
      <c r="AW49" s="9"/>
    </row>
    <row r="50" ht="15.75" customHeight="1">
      <c r="A50" s="34">
        <v>47.0</v>
      </c>
      <c r="B50" s="36" t="s">
        <v>110</v>
      </c>
      <c r="C50" s="29" t="s">
        <v>111</v>
      </c>
      <c r="D50" s="30" t="s">
        <v>15</v>
      </c>
      <c r="E50" s="30" t="s">
        <v>15</v>
      </c>
      <c r="F50" s="30" t="s">
        <v>16</v>
      </c>
      <c r="G50" s="30" t="s">
        <v>16</v>
      </c>
      <c r="H50" s="30" t="s">
        <v>15</v>
      </c>
      <c r="I50" s="30" t="s">
        <v>16</v>
      </c>
      <c r="J50" s="30" t="s">
        <v>15</v>
      </c>
      <c r="K50" s="30" t="s">
        <v>15</v>
      </c>
      <c r="L50" s="30" t="s">
        <v>15</v>
      </c>
      <c r="M50" s="30" t="s">
        <v>15</v>
      </c>
      <c r="N50" s="31" t="s">
        <v>16</v>
      </c>
      <c r="O50" s="31" t="s">
        <v>16</v>
      </c>
      <c r="P50" s="31" t="s">
        <v>15</v>
      </c>
      <c r="Q50" s="31" t="s">
        <v>16</v>
      </c>
      <c r="R50" s="31" t="s">
        <v>16</v>
      </c>
      <c r="S50" s="31" t="s">
        <v>16</v>
      </c>
      <c r="T50" s="31" t="s">
        <v>16</v>
      </c>
      <c r="U50" s="31" t="s">
        <v>16</v>
      </c>
      <c r="V50" s="31" t="s">
        <v>15</v>
      </c>
      <c r="W50" s="31" t="s">
        <v>16</v>
      </c>
      <c r="X50" s="37"/>
      <c r="Y50" s="31" t="s">
        <v>15</v>
      </c>
      <c r="Z50" s="37"/>
      <c r="AA50" s="31" t="s">
        <v>15</v>
      </c>
      <c r="AB50" s="31" t="s">
        <v>16</v>
      </c>
      <c r="AC50" s="31" t="s">
        <v>16</v>
      </c>
      <c r="AD50" s="31" t="s">
        <v>16</v>
      </c>
      <c r="AE50" s="31" t="s">
        <v>16</v>
      </c>
      <c r="AF50" s="31" t="s">
        <v>15</v>
      </c>
      <c r="AG50" s="31" t="s">
        <v>16</v>
      </c>
      <c r="AH50" s="31" t="s">
        <v>16</v>
      </c>
      <c r="AI50" s="31" t="s">
        <v>16</v>
      </c>
      <c r="AJ50" s="31" t="s">
        <v>16</v>
      </c>
      <c r="AK50" s="37"/>
      <c r="AL50" s="31" t="s">
        <v>15</v>
      </c>
      <c r="AM50" s="31" t="s">
        <v>15</v>
      </c>
      <c r="AN50" s="31" t="s">
        <v>16</v>
      </c>
      <c r="AO50" s="31" t="s">
        <v>16</v>
      </c>
      <c r="AP50" s="31" t="s">
        <v>16</v>
      </c>
      <c r="AQ50" s="31" t="s">
        <v>15</v>
      </c>
      <c r="AR50" s="31" t="s">
        <v>16</v>
      </c>
      <c r="AS50" s="8">
        <f t="shared" si="1"/>
        <v>22</v>
      </c>
      <c r="AT50" s="8">
        <f t="shared" si="2"/>
        <v>15</v>
      </c>
      <c r="AU50" s="8">
        <f t="shared" si="3"/>
        <v>37</v>
      </c>
      <c r="AV50" s="32">
        <f t="shared" si="4"/>
        <v>59.45945946</v>
      </c>
      <c r="AW50" s="9"/>
    </row>
    <row r="51" ht="15.75" customHeight="1">
      <c r="A51" s="34">
        <v>48.0</v>
      </c>
      <c r="B51" s="28" t="s">
        <v>112</v>
      </c>
      <c r="C51" s="29" t="s">
        <v>113</v>
      </c>
      <c r="D51" s="30" t="s">
        <v>15</v>
      </c>
      <c r="E51" s="30" t="s">
        <v>16</v>
      </c>
      <c r="F51" s="30" t="s">
        <v>16</v>
      </c>
      <c r="G51" s="30" t="s">
        <v>15</v>
      </c>
      <c r="H51" s="30" t="s">
        <v>15</v>
      </c>
      <c r="I51" s="30" t="s">
        <v>16</v>
      </c>
      <c r="J51" s="30" t="s">
        <v>15</v>
      </c>
      <c r="K51" s="30" t="s">
        <v>16</v>
      </c>
      <c r="L51" s="30" t="s">
        <v>15</v>
      </c>
      <c r="M51" s="30" t="s">
        <v>16</v>
      </c>
      <c r="N51" s="31" t="s">
        <v>16</v>
      </c>
      <c r="O51" s="31" t="s">
        <v>16</v>
      </c>
      <c r="P51" s="31" t="s">
        <v>15</v>
      </c>
      <c r="Q51" s="31" t="s">
        <v>15</v>
      </c>
      <c r="R51" s="31" t="s">
        <v>16</v>
      </c>
      <c r="S51" s="31" t="s">
        <v>16</v>
      </c>
      <c r="T51" s="31" t="s">
        <v>16</v>
      </c>
      <c r="U51" s="31" t="s">
        <v>15</v>
      </c>
      <c r="V51" s="31" t="s">
        <v>15</v>
      </c>
      <c r="W51" s="31" t="s">
        <v>16</v>
      </c>
      <c r="X51" s="37"/>
      <c r="Y51" s="31" t="s">
        <v>15</v>
      </c>
      <c r="Z51" s="37"/>
      <c r="AA51" s="31" t="s">
        <v>16</v>
      </c>
      <c r="AB51" s="31" t="s">
        <v>16</v>
      </c>
      <c r="AC51" s="31" t="s">
        <v>16</v>
      </c>
      <c r="AD51" s="31" t="s">
        <v>16</v>
      </c>
      <c r="AE51" s="31" t="s">
        <v>15</v>
      </c>
      <c r="AF51" s="31" t="s">
        <v>15</v>
      </c>
      <c r="AG51" s="31" t="s">
        <v>16</v>
      </c>
      <c r="AH51" s="31" t="s">
        <v>15</v>
      </c>
      <c r="AI51" s="31" t="s">
        <v>16</v>
      </c>
      <c r="AJ51" s="31" t="s">
        <v>16</v>
      </c>
      <c r="AK51" s="37"/>
      <c r="AL51" s="31" t="s">
        <v>16</v>
      </c>
      <c r="AM51" s="31" t="s">
        <v>15</v>
      </c>
      <c r="AN51" s="31" t="s">
        <v>16</v>
      </c>
      <c r="AO51" s="31" t="s">
        <v>16</v>
      </c>
      <c r="AP51" s="31" t="s">
        <v>16</v>
      </c>
      <c r="AQ51" s="31" t="s">
        <v>15</v>
      </c>
      <c r="AR51" s="31" t="s">
        <v>15</v>
      </c>
      <c r="AS51" s="8">
        <f t="shared" si="1"/>
        <v>22</v>
      </c>
      <c r="AT51" s="8">
        <f t="shared" si="2"/>
        <v>15</v>
      </c>
      <c r="AU51" s="8">
        <f t="shared" si="3"/>
        <v>37</v>
      </c>
      <c r="AV51" s="32">
        <f t="shared" si="4"/>
        <v>59.45945946</v>
      </c>
      <c r="AW51" s="9"/>
    </row>
    <row r="52" ht="15.75" customHeight="1">
      <c r="A52" s="34">
        <v>49.0</v>
      </c>
      <c r="B52" s="28" t="s">
        <v>114</v>
      </c>
      <c r="C52" s="29" t="s">
        <v>115</v>
      </c>
      <c r="D52" s="30" t="s">
        <v>16</v>
      </c>
      <c r="E52" s="30" t="s">
        <v>15</v>
      </c>
      <c r="F52" s="30" t="s">
        <v>16</v>
      </c>
      <c r="G52" s="30" t="s">
        <v>15</v>
      </c>
      <c r="H52" s="30" t="s">
        <v>15</v>
      </c>
      <c r="I52" s="30" t="s">
        <v>16</v>
      </c>
      <c r="J52" s="30" t="s">
        <v>15</v>
      </c>
      <c r="K52" s="30" t="s">
        <v>15</v>
      </c>
      <c r="L52" s="30" t="s">
        <v>15</v>
      </c>
      <c r="M52" s="30" t="s">
        <v>16</v>
      </c>
      <c r="N52" s="31" t="s">
        <v>16</v>
      </c>
      <c r="O52" s="31" t="s">
        <v>16</v>
      </c>
      <c r="P52" s="31" t="s">
        <v>15</v>
      </c>
      <c r="Q52" s="31" t="s">
        <v>15</v>
      </c>
      <c r="R52" s="31" t="s">
        <v>15</v>
      </c>
      <c r="S52" s="31" t="s">
        <v>16</v>
      </c>
      <c r="T52" s="31" t="s">
        <v>15</v>
      </c>
      <c r="U52" s="31" t="s">
        <v>15</v>
      </c>
      <c r="V52" s="31" t="s">
        <v>15</v>
      </c>
      <c r="W52" s="31" t="s">
        <v>15</v>
      </c>
      <c r="X52" s="37"/>
      <c r="Y52" s="31" t="s">
        <v>16</v>
      </c>
      <c r="Z52" s="37"/>
      <c r="AA52" s="31" t="s">
        <v>15</v>
      </c>
      <c r="AB52" s="31" t="s">
        <v>16</v>
      </c>
      <c r="AC52" s="31" t="s">
        <v>15</v>
      </c>
      <c r="AD52" s="31" t="s">
        <v>15</v>
      </c>
      <c r="AE52" s="31" t="s">
        <v>16</v>
      </c>
      <c r="AF52" s="31" t="s">
        <v>16</v>
      </c>
      <c r="AG52" s="31" t="s">
        <v>16</v>
      </c>
      <c r="AH52" s="31" t="s">
        <v>15</v>
      </c>
      <c r="AI52" s="31" t="s">
        <v>16</v>
      </c>
      <c r="AJ52" s="31" t="s">
        <v>16</v>
      </c>
      <c r="AK52" s="37"/>
      <c r="AL52" s="31" t="s">
        <v>16</v>
      </c>
      <c r="AM52" s="31" t="s">
        <v>15</v>
      </c>
      <c r="AN52" s="31" t="s">
        <v>16</v>
      </c>
      <c r="AO52" s="31" t="s">
        <v>16</v>
      </c>
      <c r="AP52" s="31" t="s">
        <v>16</v>
      </c>
      <c r="AQ52" s="31" t="s">
        <v>16</v>
      </c>
      <c r="AR52" s="31" t="s">
        <v>16</v>
      </c>
      <c r="AS52" s="8">
        <f t="shared" si="1"/>
        <v>19</v>
      </c>
      <c r="AT52" s="8">
        <f t="shared" si="2"/>
        <v>18</v>
      </c>
      <c r="AU52" s="8">
        <f t="shared" si="3"/>
        <v>37</v>
      </c>
      <c r="AV52" s="32">
        <f t="shared" si="4"/>
        <v>51.35135135</v>
      </c>
      <c r="AW52" s="9"/>
    </row>
    <row r="53" ht="15.75" customHeight="1">
      <c r="A53" s="34">
        <v>50.0</v>
      </c>
      <c r="B53" s="28" t="s">
        <v>116</v>
      </c>
      <c r="C53" s="29" t="s">
        <v>117</v>
      </c>
      <c r="D53" s="30" t="s">
        <v>15</v>
      </c>
      <c r="E53" s="30" t="s">
        <v>15</v>
      </c>
      <c r="F53" s="30" t="s">
        <v>16</v>
      </c>
      <c r="G53" s="30" t="s">
        <v>16</v>
      </c>
      <c r="H53" s="30" t="s">
        <v>15</v>
      </c>
      <c r="I53" s="30" t="s">
        <v>16</v>
      </c>
      <c r="J53" s="30" t="s">
        <v>15</v>
      </c>
      <c r="K53" s="30" t="s">
        <v>16</v>
      </c>
      <c r="L53" s="30" t="s">
        <v>15</v>
      </c>
      <c r="M53" s="30" t="s">
        <v>15</v>
      </c>
      <c r="N53" s="31" t="s">
        <v>15</v>
      </c>
      <c r="O53" s="31" t="s">
        <v>16</v>
      </c>
      <c r="P53" s="31" t="s">
        <v>15</v>
      </c>
      <c r="Q53" s="31" t="s">
        <v>15</v>
      </c>
      <c r="R53" s="31" t="s">
        <v>15</v>
      </c>
      <c r="S53" s="31" t="s">
        <v>16</v>
      </c>
      <c r="T53" s="31" t="s">
        <v>16</v>
      </c>
      <c r="U53" s="31" t="s">
        <v>15</v>
      </c>
      <c r="V53" s="31" t="s">
        <v>15</v>
      </c>
      <c r="W53" s="31" t="s">
        <v>16</v>
      </c>
      <c r="X53" s="37"/>
      <c r="Y53" s="31" t="s">
        <v>15</v>
      </c>
      <c r="Z53" s="37"/>
      <c r="AA53" s="31" t="s">
        <v>15</v>
      </c>
      <c r="AB53" s="31" t="s">
        <v>16</v>
      </c>
      <c r="AC53" s="31" t="s">
        <v>16</v>
      </c>
      <c r="AD53" s="31" t="s">
        <v>15</v>
      </c>
      <c r="AE53" s="31" t="s">
        <v>15</v>
      </c>
      <c r="AF53" s="31" t="s">
        <v>15</v>
      </c>
      <c r="AG53" s="31" t="s">
        <v>16</v>
      </c>
      <c r="AH53" s="31" t="s">
        <v>15</v>
      </c>
      <c r="AI53" s="31" t="s">
        <v>15</v>
      </c>
      <c r="AJ53" s="31" t="s">
        <v>15</v>
      </c>
      <c r="AK53" s="37"/>
      <c r="AL53" s="31" t="s">
        <v>16</v>
      </c>
      <c r="AM53" s="31" t="s">
        <v>15</v>
      </c>
      <c r="AN53" s="31" t="s">
        <v>16</v>
      </c>
      <c r="AO53" s="31" t="s">
        <v>16</v>
      </c>
      <c r="AP53" s="31" t="s">
        <v>15</v>
      </c>
      <c r="AQ53" s="31" t="s">
        <v>15</v>
      </c>
      <c r="AR53" s="31" t="s">
        <v>15</v>
      </c>
      <c r="AS53" s="8">
        <f t="shared" si="1"/>
        <v>14</v>
      </c>
      <c r="AT53" s="8">
        <f t="shared" si="2"/>
        <v>23</v>
      </c>
      <c r="AU53" s="8">
        <f t="shared" si="3"/>
        <v>37</v>
      </c>
      <c r="AV53" s="32">
        <f t="shared" si="4"/>
        <v>37.83783784</v>
      </c>
      <c r="AW53" s="9"/>
    </row>
    <row r="54" ht="15.75" customHeight="1">
      <c r="A54" s="34">
        <v>51.0</v>
      </c>
      <c r="B54" s="28" t="s">
        <v>118</v>
      </c>
      <c r="C54" s="29" t="s">
        <v>119</v>
      </c>
      <c r="D54" s="30" t="s">
        <v>15</v>
      </c>
      <c r="E54" s="30" t="s">
        <v>15</v>
      </c>
      <c r="F54" s="30" t="s">
        <v>15</v>
      </c>
      <c r="G54" s="30" t="s">
        <v>15</v>
      </c>
      <c r="H54" s="30" t="s">
        <v>15</v>
      </c>
      <c r="I54" s="30" t="s">
        <v>16</v>
      </c>
      <c r="J54" s="30" t="s">
        <v>16</v>
      </c>
      <c r="K54" s="30" t="s">
        <v>16</v>
      </c>
      <c r="L54" s="30" t="s">
        <v>15</v>
      </c>
      <c r="M54" s="30" t="s">
        <v>16</v>
      </c>
      <c r="N54" s="31" t="s">
        <v>16</v>
      </c>
      <c r="O54" s="31" t="s">
        <v>15</v>
      </c>
      <c r="P54" s="31" t="s">
        <v>15</v>
      </c>
      <c r="Q54" s="31" t="s">
        <v>16</v>
      </c>
      <c r="R54" s="31" t="s">
        <v>16</v>
      </c>
      <c r="S54" s="31" t="s">
        <v>16</v>
      </c>
      <c r="T54" s="31" t="s">
        <v>16</v>
      </c>
      <c r="U54" s="31" t="s">
        <v>16</v>
      </c>
      <c r="V54" s="31" t="s">
        <v>15</v>
      </c>
      <c r="W54" s="31" t="s">
        <v>15</v>
      </c>
      <c r="X54" s="37"/>
      <c r="Y54" s="31" t="s">
        <v>15</v>
      </c>
      <c r="Z54" s="37"/>
      <c r="AA54" s="31" t="s">
        <v>16</v>
      </c>
      <c r="AB54" s="31" t="s">
        <v>15</v>
      </c>
      <c r="AC54" s="31" t="s">
        <v>16</v>
      </c>
      <c r="AD54" s="31" t="s">
        <v>16</v>
      </c>
      <c r="AE54" s="31" t="s">
        <v>15</v>
      </c>
      <c r="AF54" s="31" t="s">
        <v>15</v>
      </c>
      <c r="AG54" s="31" t="s">
        <v>16</v>
      </c>
      <c r="AH54" s="31" t="s">
        <v>15</v>
      </c>
      <c r="AI54" s="31" t="s">
        <v>15</v>
      </c>
      <c r="AJ54" s="31" t="s">
        <v>16</v>
      </c>
      <c r="AK54" s="37"/>
      <c r="AL54" s="31" t="s">
        <v>16</v>
      </c>
      <c r="AM54" s="31" t="s">
        <v>16</v>
      </c>
      <c r="AN54" s="31" t="s">
        <v>16</v>
      </c>
      <c r="AO54" s="31" t="s">
        <v>16</v>
      </c>
      <c r="AP54" s="31" t="s">
        <v>16</v>
      </c>
      <c r="AQ54" s="31" t="s">
        <v>16</v>
      </c>
      <c r="AR54" s="31" t="s">
        <v>16</v>
      </c>
      <c r="AS54" s="8">
        <f t="shared" si="1"/>
        <v>21</v>
      </c>
      <c r="AT54" s="8">
        <f t="shared" si="2"/>
        <v>16</v>
      </c>
      <c r="AU54" s="8">
        <f t="shared" si="3"/>
        <v>37</v>
      </c>
      <c r="AV54" s="32">
        <f t="shared" si="4"/>
        <v>56.75675676</v>
      </c>
      <c r="AW54" s="9"/>
    </row>
    <row r="55" ht="15.75" customHeight="1">
      <c r="A55" s="34">
        <v>52.0</v>
      </c>
      <c r="B55" s="28" t="s">
        <v>120</v>
      </c>
      <c r="C55" s="29" t="s">
        <v>121</v>
      </c>
      <c r="D55" s="30" t="s">
        <v>15</v>
      </c>
      <c r="E55" s="30" t="s">
        <v>15</v>
      </c>
      <c r="F55" s="30" t="s">
        <v>16</v>
      </c>
      <c r="G55" s="30" t="s">
        <v>16</v>
      </c>
      <c r="H55" s="30" t="s">
        <v>15</v>
      </c>
      <c r="I55" s="30" t="s">
        <v>16</v>
      </c>
      <c r="J55" s="30" t="s">
        <v>15</v>
      </c>
      <c r="K55" s="30" t="s">
        <v>15</v>
      </c>
      <c r="L55" s="30" t="s">
        <v>15</v>
      </c>
      <c r="M55" s="30" t="s">
        <v>15</v>
      </c>
      <c r="N55" s="31" t="s">
        <v>16</v>
      </c>
      <c r="O55" s="31" t="s">
        <v>16</v>
      </c>
      <c r="P55" s="31" t="s">
        <v>15</v>
      </c>
      <c r="Q55" s="31" t="s">
        <v>16</v>
      </c>
      <c r="R55" s="31" t="s">
        <v>15</v>
      </c>
      <c r="S55" s="31" t="s">
        <v>16</v>
      </c>
      <c r="T55" s="31" t="s">
        <v>16</v>
      </c>
      <c r="U55" s="31" t="s">
        <v>15</v>
      </c>
      <c r="V55" s="31" t="s">
        <v>16</v>
      </c>
      <c r="W55" s="31" t="s">
        <v>16</v>
      </c>
      <c r="X55" s="37"/>
      <c r="Y55" s="31" t="s">
        <v>15</v>
      </c>
      <c r="Z55" s="37"/>
      <c r="AA55" s="31" t="s">
        <v>16</v>
      </c>
      <c r="AB55" s="31" t="s">
        <v>16</v>
      </c>
      <c r="AC55" s="31" t="s">
        <v>15</v>
      </c>
      <c r="AD55" s="31" t="s">
        <v>15</v>
      </c>
      <c r="AE55" s="31" t="s">
        <v>15</v>
      </c>
      <c r="AF55" s="31" t="s">
        <v>16</v>
      </c>
      <c r="AG55" s="31" t="s">
        <v>16</v>
      </c>
      <c r="AH55" s="31" t="s">
        <v>16</v>
      </c>
      <c r="AI55" s="31" t="s">
        <v>15</v>
      </c>
      <c r="AJ55" s="31" t="s">
        <v>16</v>
      </c>
      <c r="AK55" s="37"/>
      <c r="AL55" s="31" t="s">
        <v>15</v>
      </c>
      <c r="AM55" s="31" t="s">
        <v>15</v>
      </c>
      <c r="AN55" s="31" t="s">
        <v>16</v>
      </c>
      <c r="AO55" s="31" t="s">
        <v>15</v>
      </c>
      <c r="AP55" s="31" t="s">
        <v>15</v>
      </c>
      <c r="AQ55" s="31" t="s">
        <v>16</v>
      </c>
      <c r="AR55" s="31" t="s">
        <v>16</v>
      </c>
      <c r="AS55" s="8">
        <f t="shared" si="1"/>
        <v>18</v>
      </c>
      <c r="AT55" s="8">
        <f t="shared" si="2"/>
        <v>19</v>
      </c>
      <c r="AU55" s="8">
        <f t="shared" si="3"/>
        <v>37</v>
      </c>
      <c r="AV55" s="32">
        <f t="shared" si="4"/>
        <v>48.64864865</v>
      </c>
      <c r="AW55" s="9"/>
    </row>
    <row r="56" ht="15.75" customHeight="1">
      <c r="A56" s="34">
        <v>53.0</v>
      </c>
      <c r="B56" s="28" t="s">
        <v>122</v>
      </c>
      <c r="C56" s="29" t="s">
        <v>123</v>
      </c>
      <c r="D56" s="30" t="s">
        <v>15</v>
      </c>
      <c r="E56" s="30" t="s">
        <v>15</v>
      </c>
      <c r="F56" s="30" t="s">
        <v>16</v>
      </c>
      <c r="G56" s="30" t="s">
        <v>16</v>
      </c>
      <c r="H56" s="30" t="s">
        <v>16</v>
      </c>
      <c r="I56" s="30" t="s">
        <v>16</v>
      </c>
      <c r="J56" s="30" t="s">
        <v>16</v>
      </c>
      <c r="K56" s="30" t="s">
        <v>16</v>
      </c>
      <c r="L56" s="30" t="s">
        <v>15</v>
      </c>
      <c r="M56" s="30" t="s">
        <v>15</v>
      </c>
      <c r="N56" s="31" t="s">
        <v>16</v>
      </c>
      <c r="O56" s="31" t="s">
        <v>16</v>
      </c>
      <c r="P56" s="31" t="s">
        <v>15</v>
      </c>
      <c r="Q56" s="31" t="s">
        <v>16</v>
      </c>
      <c r="R56" s="31" t="s">
        <v>16</v>
      </c>
      <c r="S56" s="31" t="s">
        <v>16</v>
      </c>
      <c r="T56" s="31" t="s">
        <v>16</v>
      </c>
      <c r="U56" s="31" t="s">
        <v>16</v>
      </c>
      <c r="V56" s="31" t="s">
        <v>16</v>
      </c>
      <c r="W56" s="31" t="s">
        <v>16</v>
      </c>
      <c r="X56" s="37"/>
      <c r="Y56" s="31" t="s">
        <v>16</v>
      </c>
      <c r="Z56" s="37"/>
      <c r="AA56" s="31" t="s">
        <v>16</v>
      </c>
      <c r="AB56" s="31" t="s">
        <v>16</v>
      </c>
      <c r="AC56" s="31" t="s">
        <v>16</v>
      </c>
      <c r="AD56" s="31" t="s">
        <v>16</v>
      </c>
      <c r="AE56" s="31" t="s">
        <v>16</v>
      </c>
      <c r="AF56" s="31" t="s">
        <v>16</v>
      </c>
      <c r="AG56" s="31" t="s">
        <v>16</v>
      </c>
      <c r="AH56" s="31" t="s">
        <v>16</v>
      </c>
      <c r="AI56" s="31" t="s">
        <v>16</v>
      </c>
      <c r="AJ56" s="31" t="s">
        <v>16</v>
      </c>
      <c r="AK56" s="37"/>
      <c r="AL56" s="31" t="s">
        <v>15</v>
      </c>
      <c r="AM56" s="31" t="s">
        <v>15</v>
      </c>
      <c r="AN56" s="31" t="s">
        <v>16</v>
      </c>
      <c r="AO56" s="31" t="s">
        <v>15</v>
      </c>
      <c r="AP56" s="31" t="s">
        <v>16</v>
      </c>
      <c r="AQ56" s="31" t="s">
        <v>16</v>
      </c>
      <c r="AR56" s="31" t="s">
        <v>16</v>
      </c>
      <c r="AS56" s="8">
        <f t="shared" si="1"/>
        <v>29</v>
      </c>
      <c r="AT56" s="8">
        <f t="shared" si="2"/>
        <v>8</v>
      </c>
      <c r="AU56" s="8">
        <f t="shared" si="3"/>
        <v>37</v>
      </c>
      <c r="AV56" s="32">
        <f t="shared" si="4"/>
        <v>78.37837838</v>
      </c>
      <c r="AW56" s="9"/>
    </row>
    <row r="57" ht="15.75" customHeight="1">
      <c r="A57" s="34">
        <v>54.0</v>
      </c>
      <c r="B57" s="28" t="s">
        <v>124</v>
      </c>
      <c r="C57" s="29" t="s">
        <v>125</v>
      </c>
      <c r="D57" s="30" t="s">
        <v>15</v>
      </c>
      <c r="E57" s="30" t="s">
        <v>15</v>
      </c>
      <c r="F57" s="30" t="s">
        <v>15</v>
      </c>
      <c r="G57" s="30" t="s">
        <v>15</v>
      </c>
      <c r="H57" s="30" t="s">
        <v>15</v>
      </c>
      <c r="I57" s="30" t="s">
        <v>16</v>
      </c>
      <c r="J57" s="30" t="s">
        <v>16</v>
      </c>
      <c r="K57" s="30" t="s">
        <v>15</v>
      </c>
      <c r="L57" s="30" t="s">
        <v>16</v>
      </c>
      <c r="M57" s="30" t="s">
        <v>15</v>
      </c>
      <c r="N57" s="31" t="s">
        <v>16</v>
      </c>
      <c r="O57" s="31" t="s">
        <v>15</v>
      </c>
      <c r="P57" s="31" t="s">
        <v>15</v>
      </c>
      <c r="Q57" s="31" t="s">
        <v>16</v>
      </c>
      <c r="R57" s="31" t="s">
        <v>16</v>
      </c>
      <c r="S57" s="31" t="s">
        <v>15</v>
      </c>
      <c r="T57" s="31" t="s">
        <v>16</v>
      </c>
      <c r="U57" s="31" t="s">
        <v>15</v>
      </c>
      <c r="V57" s="31" t="s">
        <v>16</v>
      </c>
      <c r="W57" s="31" t="s">
        <v>16</v>
      </c>
      <c r="X57" s="37"/>
      <c r="Y57" s="31" t="s">
        <v>15</v>
      </c>
      <c r="Z57" s="37"/>
      <c r="AA57" s="31" t="s">
        <v>16</v>
      </c>
      <c r="AB57" s="31" t="s">
        <v>16</v>
      </c>
      <c r="AC57" s="31" t="s">
        <v>16</v>
      </c>
      <c r="AD57" s="31" t="s">
        <v>15</v>
      </c>
      <c r="AE57" s="31" t="s">
        <v>15</v>
      </c>
      <c r="AF57" s="31" t="s">
        <v>15</v>
      </c>
      <c r="AG57" s="31" t="s">
        <v>15</v>
      </c>
      <c r="AH57" s="31" t="s">
        <v>15</v>
      </c>
      <c r="AI57" s="31" t="s">
        <v>15</v>
      </c>
      <c r="AJ57" s="31" t="s">
        <v>16</v>
      </c>
      <c r="AK57" s="37"/>
      <c r="AL57" s="31" t="s">
        <v>16</v>
      </c>
      <c r="AM57" s="31" t="s">
        <v>16</v>
      </c>
      <c r="AN57" s="31" t="s">
        <v>16</v>
      </c>
      <c r="AO57" s="31" t="s">
        <v>15</v>
      </c>
      <c r="AP57" s="31" t="s">
        <v>16</v>
      </c>
      <c r="AQ57" s="31" t="s">
        <v>15</v>
      </c>
      <c r="AR57" s="31" t="s">
        <v>16</v>
      </c>
      <c r="AS57" s="8">
        <f t="shared" si="1"/>
        <v>17</v>
      </c>
      <c r="AT57" s="8">
        <f t="shared" si="2"/>
        <v>20</v>
      </c>
      <c r="AU57" s="8">
        <f t="shared" si="3"/>
        <v>37</v>
      </c>
      <c r="AV57" s="32">
        <f t="shared" si="4"/>
        <v>45.94594595</v>
      </c>
      <c r="AW57" s="9"/>
    </row>
    <row r="58" ht="15.75" customHeight="1">
      <c r="A58" s="34">
        <v>55.0</v>
      </c>
      <c r="B58" s="28" t="s">
        <v>126</v>
      </c>
      <c r="C58" s="41" t="s">
        <v>127</v>
      </c>
      <c r="D58" s="30" t="s">
        <v>15</v>
      </c>
      <c r="E58" s="30" t="s">
        <v>15</v>
      </c>
      <c r="F58" s="30" t="s">
        <v>16</v>
      </c>
      <c r="G58" s="30" t="s">
        <v>16</v>
      </c>
      <c r="H58" s="30" t="s">
        <v>15</v>
      </c>
      <c r="I58" s="30" t="s">
        <v>16</v>
      </c>
      <c r="J58" s="30" t="s">
        <v>15</v>
      </c>
      <c r="K58" s="30" t="s">
        <v>16</v>
      </c>
      <c r="L58" s="30" t="s">
        <v>15</v>
      </c>
      <c r="M58" s="30" t="s">
        <v>15</v>
      </c>
      <c r="N58" s="31" t="s">
        <v>16</v>
      </c>
      <c r="O58" s="31" t="s">
        <v>16</v>
      </c>
      <c r="P58" s="31" t="s">
        <v>15</v>
      </c>
      <c r="Q58" s="31" t="s">
        <v>16</v>
      </c>
      <c r="R58" s="31" t="s">
        <v>16</v>
      </c>
      <c r="S58" s="31" t="s">
        <v>16</v>
      </c>
      <c r="T58" s="31" t="s">
        <v>16</v>
      </c>
      <c r="U58" s="31" t="s">
        <v>16</v>
      </c>
      <c r="V58" s="31" t="s">
        <v>15</v>
      </c>
      <c r="W58" s="31" t="s">
        <v>16</v>
      </c>
      <c r="X58" s="37"/>
      <c r="Y58" s="31" t="s">
        <v>15</v>
      </c>
      <c r="Z58" s="37"/>
      <c r="AA58" s="31" t="s">
        <v>15</v>
      </c>
      <c r="AB58" s="31" t="s">
        <v>15</v>
      </c>
      <c r="AC58" s="31" t="s">
        <v>15</v>
      </c>
      <c r="AD58" s="31" t="s">
        <v>15</v>
      </c>
      <c r="AE58" s="31" t="s">
        <v>15</v>
      </c>
      <c r="AF58" s="31" t="s">
        <v>15</v>
      </c>
      <c r="AG58" s="31" t="s">
        <v>16</v>
      </c>
      <c r="AH58" s="31" t="s">
        <v>16</v>
      </c>
      <c r="AI58" s="31" t="s">
        <v>16</v>
      </c>
      <c r="AJ58" s="31" t="s">
        <v>16</v>
      </c>
      <c r="AK58" s="37"/>
      <c r="AL58" s="31" t="s">
        <v>15</v>
      </c>
      <c r="AM58" s="31" t="s">
        <v>15</v>
      </c>
      <c r="AN58" s="31" t="s">
        <v>16</v>
      </c>
      <c r="AO58" s="31" t="s">
        <v>16</v>
      </c>
      <c r="AP58" s="31" t="s">
        <v>16</v>
      </c>
      <c r="AQ58" s="31" t="s">
        <v>16</v>
      </c>
      <c r="AR58" s="31" t="s">
        <v>15</v>
      </c>
      <c r="AS58" s="8">
        <f t="shared" si="1"/>
        <v>20</v>
      </c>
      <c r="AT58" s="8">
        <f t="shared" si="2"/>
        <v>17</v>
      </c>
      <c r="AU58" s="8">
        <f t="shared" si="3"/>
        <v>37</v>
      </c>
      <c r="AV58" s="32">
        <f t="shared" si="4"/>
        <v>54.05405405</v>
      </c>
      <c r="AW58" s="9"/>
    </row>
    <row r="59" ht="15.75" customHeight="1">
      <c r="A59" s="34">
        <v>56.0</v>
      </c>
      <c r="B59" s="42" t="s">
        <v>128</v>
      </c>
      <c r="C59" s="43" t="s">
        <v>129</v>
      </c>
      <c r="D59" s="30" t="s">
        <v>15</v>
      </c>
      <c r="E59" s="30" t="s">
        <v>16</v>
      </c>
      <c r="F59" s="30" t="s">
        <v>15</v>
      </c>
      <c r="G59" s="30" t="s">
        <v>15</v>
      </c>
      <c r="H59" s="30" t="s">
        <v>15</v>
      </c>
      <c r="I59" s="30" t="s">
        <v>15</v>
      </c>
      <c r="J59" s="30" t="s">
        <v>15</v>
      </c>
      <c r="K59" s="30" t="s">
        <v>15</v>
      </c>
      <c r="L59" s="30" t="s">
        <v>15</v>
      </c>
      <c r="M59" s="30" t="s">
        <v>15</v>
      </c>
      <c r="N59" s="31" t="s">
        <v>15</v>
      </c>
      <c r="O59" s="31" t="s">
        <v>15</v>
      </c>
      <c r="P59" s="31" t="s">
        <v>15</v>
      </c>
      <c r="Q59" s="31" t="s">
        <v>15</v>
      </c>
      <c r="R59" s="31" t="s">
        <v>15</v>
      </c>
      <c r="S59" s="31" t="s">
        <v>15</v>
      </c>
      <c r="T59" s="31" t="s">
        <v>15</v>
      </c>
      <c r="U59" s="31" t="s">
        <v>15</v>
      </c>
      <c r="V59" s="31" t="s">
        <v>15</v>
      </c>
      <c r="W59" s="31" t="s">
        <v>15</v>
      </c>
      <c r="X59" s="37"/>
      <c r="Y59" s="31" t="s">
        <v>15</v>
      </c>
      <c r="Z59" s="37"/>
      <c r="AA59" s="31" t="s">
        <v>15</v>
      </c>
      <c r="AB59" s="31" t="s">
        <v>15</v>
      </c>
      <c r="AC59" s="31" t="s">
        <v>15</v>
      </c>
      <c r="AD59" s="31" t="s">
        <v>15</v>
      </c>
      <c r="AE59" s="31" t="s">
        <v>15</v>
      </c>
      <c r="AF59" s="31" t="s">
        <v>15</v>
      </c>
      <c r="AG59" s="31" t="s">
        <v>15</v>
      </c>
      <c r="AH59" s="31" t="s">
        <v>15</v>
      </c>
      <c r="AI59" s="31" t="s">
        <v>15</v>
      </c>
      <c r="AJ59" s="31" t="s">
        <v>15</v>
      </c>
      <c r="AK59" s="37"/>
      <c r="AL59" s="31" t="s">
        <v>15</v>
      </c>
      <c r="AM59" s="31" t="s">
        <v>15</v>
      </c>
      <c r="AN59" s="31" t="s">
        <v>15</v>
      </c>
      <c r="AO59" s="31" t="s">
        <v>15</v>
      </c>
      <c r="AP59" s="31" t="s">
        <v>15</v>
      </c>
      <c r="AQ59" s="31" t="s">
        <v>15</v>
      </c>
      <c r="AR59" s="31" t="s">
        <v>15</v>
      </c>
      <c r="AS59" s="8">
        <f t="shared" si="1"/>
        <v>1</v>
      </c>
      <c r="AT59" s="8">
        <f t="shared" si="2"/>
        <v>36</v>
      </c>
      <c r="AU59" s="8">
        <f t="shared" si="3"/>
        <v>37</v>
      </c>
      <c r="AV59" s="32">
        <f t="shared" si="4"/>
        <v>2.702702703</v>
      </c>
      <c r="AW59" s="9"/>
    </row>
    <row r="60" ht="15.75" customHeight="1">
      <c r="A60" s="34">
        <v>57.0</v>
      </c>
      <c r="B60" s="28" t="s">
        <v>130</v>
      </c>
      <c r="C60" s="29" t="s">
        <v>131</v>
      </c>
      <c r="D60" s="30" t="s">
        <v>16</v>
      </c>
      <c r="E60" s="30" t="s">
        <v>15</v>
      </c>
      <c r="F60" s="30" t="s">
        <v>15</v>
      </c>
      <c r="G60" s="30" t="s">
        <v>15</v>
      </c>
      <c r="H60" s="30" t="s">
        <v>15</v>
      </c>
      <c r="I60" s="30" t="s">
        <v>16</v>
      </c>
      <c r="J60" s="30" t="s">
        <v>15</v>
      </c>
      <c r="K60" s="30" t="s">
        <v>15</v>
      </c>
      <c r="L60" s="30" t="s">
        <v>15</v>
      </c>
      <c r="M60" s="30" t="s">
        <v>15</v>
      </c>
      <c r="N60" s="31" t="s">
        <v>16</v>
      </c>
      <c r="O60" s="31" t="s">
        <v>15</v>
      </c>
      <c r="P60" s="31" t="s">
        <v>16</v>
      </c>
      <c r="Q60" s="31" t="s">
        <v>15</v>
      </c>
      <c r="R60" s="31" t="s">
        <v>16</v>
      </c>
      <c r="S60" s="31" t="s">
        <v>15</v>
      </c>
      <c r="T60" s="31" t="s">
        <v>16</v>
      </c>
      <c r="U60" s="31" t="s">
        <v>15</v>
      </c>
      <c r="V60" s="31" t="s">
        <v>16</v>
      </c>
      <c r="W60" s="31" t="s">
        <v>16</v>
      </c>
      <c r="X60" s="37"/>
      <c r="Y60" s="31" t="s">
        <v>15</v>
      </c>
      <c r="Z60" s="37"/>
      <c r="AA60" s="31" t="s">
        <v>15</v>
      </c>
      <c r="AB60" s="31" t="s">
        <v>16</v>
      </c>
      <c r="AC60" s="31" t="s">
        <v>16</v>
      </c>
      <c r="AD60" s="31" t="s">
        <v>15</v>
      </c>
      <c r="AE60" s="31" t="s">
        <v>16</v>
      </c>
      <c r="AF60" s="31" t="s">
        <v>15</v>
      </c>
      <c r="AG60" s="31" t="s">
        <v>16</v>
      </c>
      <c r="AH60" s="31" t="s">
        <v>16</v>
      </c>
      <c r="AI60" s="31" t="s">
        <v>15</v>
      </c>
      <c r="AJ60" s="31" t="s">
        <v>15</v>
      </c>
      <c r="AK60" s="37"/>
      <c r="AL60" s="31" t="s">
        <v>16</v>
      </c>
      <c r="AM60" s="31" t="s">
        <v>15</v>
      </c>
      <c r="AN60" s="31" t="s">
        <v>15</v>
      </c>
      <c r="AO60" s="31" t="s">
        <v>16</v>
      </c>
      <c r="AP60" s="31" t="s">
        <v>16</v>
      </c>
      <c r="AQ60" s="31" t="s">
        <v>16</v>
      </c>
      <c r="AR60" s="31" t="s">
        <v>16</v>
      </c>
      <c r="AS60" s="8">
        <f t="shared" si="1"/>
        <v>17</v>
      </c>
      <c r="AT60" s="8">
        <f t="shared" si="2"/>
        <v>20</v>
      </c>
      <c r="AU60" s="8">
        <f t="shared" si="3"/>
        <v>37</v>
      </c>
      <c r="AV60" s="32">
        <f t="shared" si="4"/>
        <v>45.94594595</v>
      </c>
      <c r="AW60" s="9"/>
    </row>
    <row r="61" ht="15.75" customHeight="1">
      <c r="A61" s="34">
        <v>58.0</v>
      </c>
      <c r="B61" s="28" t="s">
        <v>132</v>
      </c>
      <c r="C61" s="29" t="s">
        <v>133</v>
      </c>
      <c r="D61" s="30" t="s">
        <v>15</v>
      </c>
      <c r="E61" s="30" t="s">
        <v>16</v>
      </c>
      <c r="F61" s="30" t="s">
        <v>16</v>
      </c>
      <c r="G61" s="30" t="s">
        <v>15</v>
      </c>
      <c r="H61" s="30" t="s">
        <v>15</v>
      </c>
      <c r="I61" s="30" t="s">
        <v>16</v>
      </c>
      <c r="J61" s="30" t="s">
        <v>15</v>
      </c>
      <c r="K61" s="30" t="s">
        <v>16</v>
      </c>
      <c r="L61" s="30" t="s">
        <v>15</v>
      </c>
      <c r="M61" s="30" t="s">
        <v>15</v>
      </c>
      <c r="N61" s="31" t="s">
        <v>16</v>
      </c>
      <c r="O61" s="31" t="s">
        <v>16</v>
      </c>
      <c r="P61" s="31" t="s">
        <v>15</v>
      </c>
      <c r="Q61" s="31" t="s">
        <v>16</v>
      </c>
      <c r="R61" s="31" t="s">
        <v>16</v>
      </c>
      <c r="S61" s="31" t="s">
        <v>16</v>
      </c>
      <c r="T61" s="31" t="s">
        <v>16</v>
      </c>
      <c r="U61" s="31" t="s">
        <v>16</v>
      </c>
      <c r="V61" s="31" t="s">
        <v>16</v>
      </c>
      <c r="W61" s="31" t="s">
        <v>16</v>
      </c>
      <c r="X61" s="37"/>
      <c r="Y61" s="31" t="s">
        <v>15</v>
      </c>
      <c r="Z61" s="37"/>
      <c r="AA61" s="31" t="s">
        <v>16</v>
      </c>
      <c r="AB61" s="31" t="s">
        <v>16</v>
      </c>
      <c r="AC61" s="31" t="s">
        <v>16</v>
      </c>
      <c r="AD61" s="31" t="s">
        <v>16</v>
      </c>
      <c r="AE61" s="31" t="s">
        <v>16</v>
      </c>
      <c r="AF61" s="31" t="s">
        <v>16</v>
      </c>
      <c r="AG61" s="31" t="s">
        <v>15</v>
      </c>
      <c r="AH61" s="31" t="s">
        <v>16</v>
      </c>
      <c r="AI61" s="31" t="s">
        <v>16</v>
      </c>
      <c r="AJ61" s="31" t="s">
        <v>16</v>
      </c>
      <c r="AK61" s="37"/>
      <c r="AL61" s="31" t="s">
        <v>16</v>
      </c>
      <c r="AM61" s="31" t="s">
        <v>16</v>
      </c>
      <c r="AN61" s="31" t="s">
        <v>15</v>
      </c>
      <c r="AO61" s="31" t="s">
        <v>16</v>
      </c>
      <c r="AP61" s="31" t="s">
        <v>16</v>
      </c>
      <c r="AQ61" s="31" t="s">
        <v>16</v>
      </c>
      <c r="AR61" s="31" t="s">
        <v>15</v>
      </c>
      <c r="AS61" s="8">
        <f t="shared" si="1"/>
        <v>27</v>
      </c>
      <c r="AT61" s="8">
        <f t="shared" si="2"/>
        <v>10</v>
      </c>
      <c r="AU61" s="8">
        <f t="shared" si="3"/>
        <v>37</v>
      </c>
      <c r="AV61" s="32">
        <f t="shared" si="4"/>
        <v>72.97297297</v>
      </c>
      <c r="AW61" s="9"/>
    </row>
    <row r="62" ht="15.75" customHeight="1">
      <c r="A62" s="34">
        <v>59.0</v>
      </c>
      <c r="B62" s="28" t="s">
        <v>134</v>
      </c>
      <c r="C62" s="40" t="s">
        <v>135</v>
      </c>
      <c r="D62" s="30" t="s">
        <v>15</v>
      </c>
      <c r="E62" s="30" t="s">
        <v>15</v>
      </c>
      <c r="F62" s="30" t="s">
        <v>16</v>
      </c>
      <c r="G62" s="30" t="s">
        <v>15</v>
      </c>
      <c r="H62" s="30" t="s">
        <v>15</v>
      </c>
      <c r="I62" s="30" t="s">
        <v>15</v>
      </c>
      <c r="J62" s="30" t="s">
        <v>15</v>
      </c>
      <c r="K62" s="30" t="s">
        <v>16</v>
      </c>
      <c r="L62" s="30" t="s">
        <v>15</v>
      </c>
      <c r="M62" s="30" t="s">
        <v>16</v>
      </c>
      <c r="N62" s="31" t="s">
        <v>16</v>
      </c>
      <c r="O62" s="31" t="s">
        <v>15</v>
      </c>
      <c r="P62" s="31" t="s">
        <v>15</v>
      </c>
      <c r="Q62" s="31" t="s">
        <v>16</v>
      </c>
      <c r="R62" s="31" t="s">
        <v>16</v>
      </c>
      <c r="S62" s="31" t="s">
        <v>16</v>
      </c>
      <c r="T62" s="31" t="s">
        <v>16</v>
      </c>
      <c r="U62" s="31" t="s">
        <v>16</v>
      </c>
      <c r="V62" s="31" t="s">
        <v>16</v>
      </c>
      <c r="W62" s="31" t="s">
        <v>15</v>
      </c>
      <c r="X62" s="37"/>
      <c r="Y62" s="31" t="s">
        <v>15</v>
      </c>
      <c r="Z62" s="37"/>
      <c r="AA62" s="31" t="s">
        <v>16</v>
      </c>
      <c r="AB62" s="31" t="s">
        <v>15</v>
      </c>
      <c r="AC62" s="31" t="s">
        <v>16</v>
      </c>
      <c r="AD62" s="31" t="s">
        <v>16</v>
      </c>
      <c r="AE62" s="31" t="s">
        <v>16</v>
      </c>
      <c r="AF62" s="31" t="s">
        <v>16</v>
      </c>
      <c r="AG62" s="31" t="s">
        <v>16</v>
      </c>
      <c r="AH62" s="31" t="s">
        <v>15</v>
      </c>
      <c r="AI62" s="31" t="s">
        <v>15</v>
      </c>
      <c r="AJ62" s="31" t="s">
        <v>16</v>
      </c>
      <c r="AK62" s="37"/>
      <c r="AL62" s="31" t="s">
        <v>16</v>
      </c>
      <c r="AM62" s="31" t="s">
        <v>16</v>
      </c>
      <c r="AN62" s="31" t="s">
        <v>16</v>
      </c>
      <c r="AO62" s="31" t="s">
        <v>16</v>
      </c>
      <c r="AP62" s="31" t="s">
        <v>16</v>
      </c>
      <c r="AQ62" s="31" t="s">
        <v>16</v>
      </c>
      <c r="AR62" s="31" t="s">
        <v>16</v>
      </c>
      <c r="AS62" s="8">
        <f t="shared" si="1"/>
        <v>23</v>
      </c>
      <c r="AT62" s="8">
        <f t="shared" si="2"/>
        <v>14</v>
      </c>
      <c r="AU62" s="8">
        <f t="shared" si="3"/>
        <v>37</v>
      </c>
      <c r="AV62" s="32">
        <f t="shared" si="4"/>
        <v>62.16216216</v>
      </c>
      <c r="AW62" s="9"/>
    </row>
    <row r="63" ht="15.75" customHeight="1">
      <c r="A63" s="34">
        <v>60.0</v>
      </c>
      <c r="B63" s="28" t="s">
        <v>136</v>
      </c>
      <c r="C63" s="40" t="s">
        <v>137</v>
      </c>
      <c r="D63" s="30" t="s">
        <v>16</v>
      </c>
      <c r="E63" s="30" t="s">
        <v>15</v>
      </c>
      <c r="F63" s="30" t="s">
        <v>16</v>
      </c>
      <c r="G63" s="30" t="s">
        <v>15</v>
      </c>
      <c r="H63" s="30" t="s">
        <v>15</v>
      </c>
      <c r="I63" s="30" t="s">
        <v>16</v>
      </c>
      <c r="J63" s="30" t="s">
        <v>15</v>
      </c>
      <c r="K63" s="30" t="s">
        <v>15</v>
      </c>
      <c r="L63" s="30" t="s">
        <v>16</v>
      </c>
      <c r="M63" s="30" t="s">
        <v>16</v>
      </c>
      <c r="N63" s="31" t="s">
        <v>16</v>
      </c>
      <c r="O63" s="31" t="s">
        <v>16</v>
      </c>
      <c r="P63" s="31" t="s">
        <v>15</v>
      </c>
      <c r="Q63" s="31" t="s">
        <v>15</v>
      </c>
      <c r="R63" s="31" t="s">
        <v>15</v>
      </c>
      <c r="S63" s="31" t="s">
        <v>16</v>
      </c>
      <c r="T63" s="31" t="s">
        <v>16</v>
      </c>
      <c r="U63" s="31" t="s">
        <v>15</v>
      </c>
      <c r="V63" s="31" t="s">
        <v>16</v>
      </c>
      <c r="W63" s="31" t="s">
        <v>16</v>
      </c>
      <c r="X63" s="37"/>
      <c r="Y63" s="31" t="s">
        <v>16</v>
      </c>
      <c r="Z63" s="37"/>
      <c r="AA63" s="31" t="s">
        <v>16</v>
      </c>
      <c r="AB63" s="31" t="s">
        <v>16</v>
      </c>
      <c r="AC63" s="31" t="s">
        <v>16</v>
      </c>
      <c r="AD63" s="31" t="s">
        <v>15</v>
      </c>
      <c r="AE63" s="31" t="s">
        <v>15</v>
      </c>
      <c r="AF63" s="31" t="s">
        <v>15</v>
      </c>
      <c r="AG63" s="31" t="s">
        <v>16</v>
      </c>
      <c r="AH63" s="31" t="s">
        <v>16</v>
      </c>
      <c r="AI63" s="31" t="s">
        <v>16</v>
      </c>
      <c r="AJ63" s="31" t="s">
        <v>16</v>
      </c>
      <c r="AK63" s="37"/>
      <c r="AL63" s="31" t="s">
        <v>16</v>
      </c>
      <c r="AM63" s="31" t="s">
        <v>15</v>
      </c>
      <c r="AN63" s="31" t="s">
        <v>16</v>
      </c>
      <c r="AO63" s="31" t="s">
        <v>16</v>
      </c>
      <c r="AP63" s="31" t="s">
        <v>15</v>
      </c>
      <c r="AQ63" s="31" t="s">
        <v>16</v>
      </c>
      <c r="AR63" s="31" t="s">
        <v>16</v>
      </c>
      <c r="AS63" s="8">
        <f t="shared" si="1"/>
        <v>23</v>
      </c>
      <c r="AT63" s="8">
        <f t="shared" si="2"/>
        <v>14</v>
      </c>
      <c r="AU63" s="8">
        <f t="shared" si="3"/>
        <v>37</v>
      </c>
      <c r="AV63" s="32">
        <f t="shared" si="4"/>
        <v>62.16216216</v>
      </c>
      <c r="AW63" s="9"/>
    </row>
    <row r="64" ht="15.75" customHeight="1">
      <c r="A64" s="34">
        <v>61.0</v>
      </c>
      <c r="B64" s="44" t="s">
        <v>82</v>
      </c>
      <c r="C64" s="45" t="s">
        <v>83</v>
      </c>
      <c r="D64" s="30" t="s">
        <v>16</v>
      </c>
      <c r="E64" s="30" t="s">
        <v>15</v>
      </c>
      <c r="F64" s="30" t="s">
        <v>16</v>
      </c>
      <c r="G64" s="30" t="s">
        <v>15</v>
      </c>
      <c r="H64" s="30" t="s">
        <v>15</v>
      </c>
      <c r="I64" s="30" t="s">
        <v>16</v>
      </c>
      <c r="J64" s="30" t="s">
        <v>15</v>
      </c>
      <c r="K64" s="30" t="s">
        <v>15</v>
      </c>
      <c r="L64" s="30" t="s">
        <v>15</v>
      </c>
      <c r="M64" s="30" t="s">
        <v>16</v>
      </c>
      <c r="N64" s="31" t="s">
        <v>16</v>
      </c>
      <c r="O64" s="31" t="s">
        <v>16</v>
      </c>
      <c r="P64" s="31" t="s">
        <v>15</v>
      </c>
      <c r="Q64" s="31" t="s">
        <v>16</v>
      </c>
      <c r="R64" s="31" t="s">
        <v>16</v>
      </c>
      <c r="S64" s="31" t="s">
        <v>16</v>
      </c>
      <c r="T64" s="31" t="s">
        <v>15</v>
      </c>
      <c r="U64" s="31" t="s">
        <v>15</v>
      </c>
      <c r="V64" s="31" t="s">
        <v>15</v>
      </c>
      <c r="W64" s="31" t="s">
        <v>15</v>
      </c>
      <c r="X64" s="37"/>
      <c r="Y64" s="31" t="s">
        <v>16</v>
      </c>
      <c r="Z64" s="37"/>
      <c r="AA64" s="31" t="s">
        <v>16</v>
      </c>
      <c r="AB64" s="31" t="s">
        <v>16</v>
      </c>
      <c r="AC64" s="31" t="s">
        <v>16</v>
      </c>
      <c r="AD64" s="31" t="s">
        <v>15</v>
      </c>
      <c r="AE64" s="31" t="s">
        <v>16</v>
      </c>
      <c r="AF64" s="31" t="s">
        <v>15</v>
      </c>
      <c r="AG64" s="31" t="s">
        <v>16</v>
      </c>
      <c r="AH64" s="31" t="s">
        <v>16</v>
      </c>
      <c r="AI64" s="31" t="s">
        <v>16</v>
      </c>
      <c r="AJ64" s="31" t="s">
        <v>16</v>
      </c>
      <c r="AK64" s="37"/>
      <c r="AL64" s="31" t="s">
        <v>15</v>
      </c>
      <c r="AM64" s="31" t="s">
        <v>15</v>
      </c>
      <c r="AN64" s="31" t="s">
        <v>16</v>
      </c>
      <c r="AO64" s="31" t="s">
        <v>16</v>
      </c>
      <c r="AP64" s="31" t="s">
        <v>16</v>
      </c>
      <c r="AQ64" s="31" t="s">
        <v>15</v>
      </c>
      <c r="AR64" s="31" t="s">
        <v>16</v>
      </c>
      <c r="AS64" s="8">
        <f t="shared" si="1"/>
        <v>21</v>
      </c>
      <c r="AT64" s="8">
        <f t="shared" si="2"/>
        <v>16</v>
      </c>
      <c r="AU64" s="8">
        <f t="shared" si="3"/>
        <v>37</v>
      </c>
      <c r="AV64" s="32">
        <f t="shared" si="4"/>
        <v>56.75675676</v>
      </c>
      <c r="AW64" s="9"/>
    </row>
    <row r="65" ht="15.75" customHeight="1">
      <c r="A65" s="34">
        <v>62.0</v>
      </c>
      <c r="B65" s="46" t="s">
        <v>138</v>
      </c>
      <c r="C65" s="47" t="s">
        <v>139</v>
      </c>
      <c r="D65" s="30" t="s">
        <v>15</v>
      </c>
      <c r="E65" s="30" t="s">
        <v>15</v>
      </c>
      <c r="F65" s="30" t="s">
        <v>16</v>
      </c>
      <c r="G65" s="30" t="s">
        <v>15</v>
      </c>
      <c r="H65" s="30" t="s">
        <v>15</v>
      </c>
      <c r="I65" s="30" t="s">
        <v>16</v>
      </c>
      <c r="J65" s="30" t="s">
        <v>15</v>
      </c>
      <c r="K65" s="30" t="s">
        <v>16</v>
      </c>
      <c r="L65" s="30" t="s">
        <v>16</v>
      </c>
      <c r="M65" s="30" t="s">
        <v>16</v>
      </c>
      <c r="N65" s="31" t="s">
        <v>16</v>
      </c>
      <c r="O65" s="31" t="s">
        <v>16</v>
      </c>
      <c r="P65" s="31" t="s">
        <v>16</v>
      </c>
      <c r="Q65" s="31" t="s">
        <v>15</v>
      </c>
      <c r="R65" s="31" t="s">
        <v>16</v>
      </c>
      <c r="S65" s="31" t="s">
        <v>16</v>
      </c>
      <c r="T65" s="31" t="s">
        <v>16</v>
      </c>
      <c r="U65" s="31" t="s">
        <v>16</v>
      </c>
      <c r="V65" s="31" t="s">
        <v>16</v>
      </c>
      <c r="W65" s="31" t="s">
        <v>16</v>
      </c>
      <c r="X65" s="37"/>
      <c r="Y65" s="31" t="s">
        <v>15</v>
      </c>
      <c r="Z65" s="37"/>
      <c r="AA65" s="31" t="s">
        <v>16</v>
      </c>
      <c r="AB65" s="31" t="s">
        <v>16</v>
      </c>
      <c r="AC65" s="31" t="s">
        <v>16</v>
      </c>
      <c r="AD65" s="31" t="s">
        <v>15</v>
      </c>
      <c r="AE65" s="31" t="s">
        <v>15</v>
      </c>
      <c r="AF65" s="31" t="s">
        <v>15</v>
      </c>
      <c r="AG65" s="31" t="s">
        <v>15</v>
      </c>
      <c r="AH65" s="31" t="s">
        <v>15</v>
      </c>
      <c r="AI65" s="31" t="s">
        <v>15</v>
      </c>
      <c r="AJ65" s="31" t="s">
        <v>15</v>
      </c>
      <c r="AK65" s="37"/>
      <c r="AL65" s="31" t="s">
        <v>15</v>
      </c>
      <c r="AM65" s="31" t="s">
        <v>15</v>
      </c>
      <c r="AN65" s="31" t="s">
        <v>16</v>
      </c>
      <c r="AO65" s="31" t="s">
        <v>16</v>
      </c>
      <c r="AP65" s="31" t="s">
        <v>15</v>
      </c>
      <c r="AQ65" s="31" t="s">
        <v>15</v>
      </c>
      <c r="AR65" s="31" t="s">
        <v>16</v>
      </c>
      <c r="AS65" s="8">
        <f t="shared" si="1"/>
        <v>19</v>
      </c>
      <c r="AT65" s="8">
        <f t="shared" si="2"/>
        <v>18</v>
      </c>
      <c r="AU65" s="8">
        <f t="shared" si="3"/>
        <v>37</v>
      </c>
      <c r="AV65" s="32">
        <f t="shared" si="4"/>
        <v>51.35135135</v>
      </c>
      <c r="AW65" s="9"/>
    </row>
    <row r="66" ht="15.75" customHeight="1">
      <c r="A66" s="34">
        <v>63.0</v>
      </c>
      <c r="B66" s="46" t="s">
        <v>140</v>
      </c>
      <c r="C66" s="47" t="s">
        <v>141</v>
      </c>
      <c r="D66" s="30" t="s">
        <v>15</v>
      </c>
      <c r="E66" s="30" t="s">
        <v>15</v>
      </c>
      <c r="F66" s="30" t="s">
        <v>16</v>
      </c>
      <c r="G66" s="30" t="s">
        <v>16</v>
      </c>
      <c r="H66" s="30" t="s">
        <v>15</v>
      </c>
      <c r="I66" s="30" t="s">
        <v>16</v>
      </c>
      <c r="J66" s="30" t="s">
        <v>15</v>
      </c>
      <c r="K66" s="30" t="s">
        <v>16</v>
      </c>
      <c r="L66" s="30" t="s">
        <v>16</v>
      </c>
      <c r="M66" s="30" t="s">
        <v>16</v>
      </c>
      <c r="N66" s="31" t="s">
        <v>16</v>
      </c>
      <c r="O66" s="31" t="s">
        <v>16</v>
      </c>
      <c r="P66" s="31" t="s">
        <v>16</v>
      </c>
      <c r="Q66" s="31" t="s">
        <v>16</v>
      </c>
      <c r="R66" s="31" t="s">
        <v>16</v>
      </c>
      <c r="S66" s="31" t="s">
        <v>16</v>
      </c>
      <c r="T66" s="31" t="s">
        <v>16</v>
      </c>
      <c r="U66" s="31" t="s">
        <v>16</v>
      </c>
      <c r="V66" s="31" t="s">
        <v>16</v>
      </c>
      <c r="W66" s="31" t="s">
        <v>16</v>
      </c>
      <c r="X66" s="37"/>
      <c r="Y66" s="31" t="s">
        <v>16</v>
      </c>
      <c r="Z66" s="37"/>
      <c r="AA66" s="31" t="s">
        <v>16</v>
      </c>
      <c r="AB66" s="31" t="s">
        <v>16</v>
      </c>
      <c r="AC66" s="31" t="s">
        <v>16</v>
      </c>
      <c r="AD66" s="31" t="s">
        <v>16</v>
      </c>
      <c r="AE66" s="31" t="s">
        <v>15</v>
      </c>
      <c r="AF66" s="31" t="s">
        <v>16</v>
      </c>
      <c r="AG66" s="31" t="s">
        <v>16</v>
      </c>
      <c r="AH66" s="31" t="s">
        <v>16</v>
      </c>
      <c r="AI66" s="31" t="s">
        <v>15</v>
      </c>
      <c r="AJ66" s="31" t="s">
        <v>16</v>
      </c>
      <c r="AK66" s="37"/>
      <c r="AL66" s="31" t="s">
        <v>16</v>
      </c>
      <c r="AM66" s="31" t="s">
        <v>15</v>
      </c>
      <c r="AN66" s="31" t="s">
        <v>16</v>
      </c>
      <c r="AO66" s="31" t="s">
        <v>16</v>
      </c>
      <c r="AP66" s="31" t="s">
        <v>15</v>
      </c>
      <c r="AQ66" s="31" t="s">
        <v>16</v>
      </c>
      <c r="AR66" s="31" t="s">
        <v>16</v>
      </c>
      <c r="AS66" s="8">
        <f t="shared" si="1"/>
        <v>29</v>
      </c>
      <c r="AT66" s="8">
        <f t="shared" si="2"/>
        <v>8</v>
      </c>
      <c r="AU66" s="8">
        <f t="shared" si="3"/>
        <v>37</v>
      </c>
      <c r="AV66" s="32">
        <f t="shared" si="4"/>
        <v>78.37837838</v>
      </c>
      <c r="AW66" s="9"/>
    </row>
    <row r="67" ht="15.75" customHeight="1">
      <c r="A67" s="34">
        <v>64.0</v>
      </c>
      <c r="B67" s="46" t="s">
        <v>142</v>
      </c>
      <c r="C67" s="47" t="s">
        <v>143</v>
      </c>
      <c r="D67" s="30" t="s">
        <v>15</v>
      </c>
      <c r="E67" s="30" t="s">
        <v>15</v>
      </c>
      <c r="F67" s="30" t="s">
        <v>15</v>
      </c>
      <c r="G67" s="30" t="s">
        <v>15</v>
      </c>
      <c r="H67" s="30" t="s">
        <v>15</v>
      </c>
      <c r="I67" s="30" t="s">
        <v>16</v>
      </c>
      <c r="J67" s="30" t="s">
        <v>16</v>
      </c>
      <c r="K67" s="30" t="s">
        <v>16</v>
      </c>
      <c r="L67" s="30" t="s">
        <v>16</v>
      </c>
      <c r="M67" s="30" t="s">
        <v>15</v>
      </c>
      <c r="N67" s="31" t="s">
        <v>15</v>
      </c>
      <c r="O67" s="31" t="s">
        <v>16</v>
      </c>
      <c r="P67" s="31" t="s">
        <v>15</v>
      </c>
      <c r="Q67" s="31" t="s">
        <v>15</v>
      </c>
      <c r="R67" s="31" t="s">
        <v>15</v>
      </c>
      <c r="S67" s="31" t="s">
        <v>16</v>
      </c>
      <c r="T67" s="31" t="s">
        <v>16</v>
      </c>
      <c r="U67" s="31" t="s">
        <v>15</v>
      </c>
      <c r="V67" s="31" t="s">
        <v>15</v>
      </c>
      <c r="W67" s="31" t="s">
        <v>15</v>
      </c>
      <c r="X67" s="37"/>
      <c r="Y67" s="31" t="s">
        <v>15</v>
      </c>
      <c r="Z67" s="37"/>
      <c r="AA67" s="31" t="s">
        <v>16</v>
      </c>
      <c r="AB67" s="31" t="s">
        <v>16</v>
      </c>
      <c r="AC67" s="31" t="s">
        <v>16</v>
      </c>
      <c r="AD67" s="31" t="s">
        <v>16</v>
      </c>
      <c r="AE67" s="31" t="s">
        <v>15</v>
      </c>
      <c r="AF67" s="31" t="s">
        <v>15</v>
      </c>
      <c r="AG67" s="31" t="s">
        <v>16</v>
      </c>
      <c r="AH67" s="31" t="s">
        <v>16</v>
      </c>
      <c r="AI67" s="31" t="s">
        <v>16</v>
      </c>
      <c r="AJ67" s="31" t="s">
        <v>16</v>
      </c>
      <c r="AK67" s="37"/>
      <c r="AL67" s="31" t="s">
        <v>16</v>
      </c>
      <c r="AM67" s="31" t="s">
        <v>15</v>
      </c>
      <c r="AN67" s="31" t="s">
        <v>16</v>
      </c>
      <c r="AO67" s="31" t="s">
        <v>16</v>
      </c>
      <c r="AP67" s="31" t="s">
        <v>16</v>
      </c>
      <c r="AQ67" s="31" t="s">
        <v>16</v>
      </c>
      <c r="AR67" s="31" t="s">
        <v>16</v>
      </c>
      <c r="AS67" s="8">
        <f t="shared" si="1"/>
        <v>20</v>
      </c>
      <c r="AT67" s="8">
        <f t="shared" si="2"/>
        <v>17</v>
      </c>
      <c r="AU67" s="8">
        <f t="shared" si="3"/>
        <v>37</v>
      </c>
      <c r="AV67" s="32">
        <f t="shared" si="4"/>
        <v>54.05405405</v>
      </c>
      <c r="AW67" s="9"/>
    </row>
    <row r="68" ht="15.75" customHeight="1">
      <c r="A68" s="34">
        <v>65.0</v>
      </c>
      <c r="B68" s="46" t="s">
        <v>144</v>
      </c>
      <c r="C68" s="47" t="s">
        <v>145</v>
      </c>
      <c r="D68" s="30" t="s">
        <v>15</v>
      </c>
      <c r="E68" s="30" t="s">
        <v>16</v>
      </c>
      <c r="F68" s="30" t="s">
        <v>16</v>
      </c>
      <c r="G68" s="30" t="s">
        <v>16</v>
      </c>
      <c r="H68" s="30" t="s">
        <v>16</v>
      </c>
      <c r="I68" s="30" t="s">
        <v>16</v>
      </c>
      <c r="J68" s="30" t="s">
        <v>16</v>
      </c>
      <c r="K68" s="30" t="s">
        <v>16</v>
      </c>
      <c r="L68" s="30" t="s">
        <v>16</v>
      </c>
      <c r="M68" s="30" t="s">
        <v>15</v>
      </c>
      <c r="N68" s="31" t="s">
        <v>16</v>
      </c>
      <c r="O68" s="31" t="s">
        <v>15</v>
      </c>
      <c r="P68" s="31" t="s">
        <v>16</v>
      </c>
      <c r="Q68" s="31" t="s">
        <v>16</v>
      </c>
      <c r="R68" s="31" t="s">
        <v>16</v>
      </c>
      <c r="S68" s="31" t="s">
        <v>16</v>
      </c>
      <c r="T68" s="31" t="s">
        <v>15</v>
      </c>
      <c r="U68" s="31" t="s">
        <v>16</v>
      </c>
      <c r="V68" s="31" t="s">
        <v>16</v>
      </c>
      <c r="W68" s="31" t="s">
        <v>16</v>
      </c>
      <c r="X68" s="37"/>
      <c r="Y68" s="31" t="s">
        <v>16</v>
      </c>
      <c r="Z68" s="37"/>
      <c r="AA68" s="31" t="s">
        <v>16</v>
      </c>
      <c r="AB68" s="31" t="s">
        <v>16</v>
      </c>
      <c r="AC68" s="31" t="s">
        <v>16</v>
      </c>
      <c r="AD68" s="31" t="s">
        <v>16</v>
      </c>
      <c r="AE68" s="31" t="s">
        <v>16</v>
      </c>
      <c r="AF68" s="31" t="s">
        <v>16</v>
      </c>
      <c r="AG68" s="31" t="s">
        <v>16</v>
      </c>
      <c r="AH68" s="31" t="s">
        <v>16</v>
      </c>
      <c r="AI68" s="31" t="s">
        <v>16</v>
      </c>
      <c r="AJ68" s="31" t="s">
        <v>16</v>
      </c>
      <c r="AK68" s="37"/>
      <c r="AL68" s="31" t="s">
        <v>16</v>
      </c>
      <c r="AM68" s="31" t="s">
        <v>15</v>
      </c>
      <c r="AN68" s="31" t="s">
        <v>16</v>
      </c>
      <c r="AO68" s="31" t="s">
        <v>16</v>
      </c>
      <c r="AP68" s="31" t="s">
        <v>16</v>
      </c>
      <c r="AQ68" s="31" t="s">
        <v>16</v>
      </c>
      <c r="AR68" s="31" t="s">
        <v>16</v>
      </c>
      <c r="AS68" s="8">
        <f t="shared" si="1"/>
        <v>32</v>
      </c>
      <c r="AT68" s="8">
        <f t="shared" si="2"/>
        <v>5</v>
      </c>
      <c r="AU68" s="8">
        <f t="shared" si="3"/>
        <v>37</v>
      </c>
      <c r="AV68" s="32">
        <f t="shared" si="4"/>
        <v>86.48648649</v>
      </c>
      <c r="AW68" s="9"/>
    </row>
    <row r="69" ht="15.75" customHeight="1">
      <c r="A69" s="34">
        <v>66.0</v>
      </c>
      <c r="B69" s="46" t="s">
        <v>146</v>
      </c>
      <c r="C69" s="47" t="s">
        <v>147</v>
      </c>
      <c r="D69" s="30" t="s">
        <v>15</v>
      </c>
      <c r="E69" s="30" t="s">
        <v>16</v>
      </c>
      <c r="F69" s="30" t="s">
        <v>16</v>
      </c>
      <c r="G69" s="30" t="s">
        <v>16</v>
      </c>
      <c r="H69" s="30" t="s">
        <v>16</v>
      </c>
      <c r="I69" s="30" t="s">
        <v>16</v>
      </c>
      <c r="J69" s="30" t="s">
        <v>15</v>
      </c>
      <c r="K69" s="30" t="s">
        <v>16</v>
      </c>
      <c r="L69" s="30" t="s">
        <v>16</v>
      </c>
      <c r="M69" s="30" t="s">
        <v>16</v>
      </c>
      <c r="N69" s="31" t="s">
        <v>16</v>
      </c>
      <c r="O69" s="31" t="s">
        <v>16</v>
      </c>
      <c r="P69" s="31" t="s">
        <v>16</v>
      </c>
      <c r="Q69" s="31" t="s">
        <v>16</v>
      </c>
      <c r="R69" s="31" t="s">
        <v>16</v>
      </c>
      <c r="S69" s="31" t="s">
        <v>16</v>
      </c>
      <c r="T69" s="31" t="s">
        <v>15</v>
      </c>
      <c r="U69" s="31" t="s">
        <v>16</v>
      </c>
      <c r="V69" s="31" t="s">
        <v>16</v>
      </c>
      <c r="W69" s="31" t="s">
        <v>16</v>
      </c>
      <c r="X69" s="37"/>
      <c r="Y69" s="31" t="s">
        <v>15</v>
      </c>
      <c r="Z69" s="37"/>
      <c r="AA69" s="31" t="s">
        <v>15</v>
      </c>
      <c r="AB69" s="31" t="s">
        <v>15</v>
      </c>
      <c r="AC69" s="31" t="s">
        <v>16</v>
      </c>
      <c r="AD69" s="31" t="s">
        <v>15</v>
      </c>
      <c r="AE69" s="31" t="s">
        <v>16</v>
      </c>
      <c r="AF69" s="31" t="s">
        <v>15</v>
      </c>
      <c r="AG69" s="31" t="s">
        <v>16</v>
      </c>
      <c r="AH69" s="31" t="s">
        <v>16</v>
      </c>
      <c r="AI69" s="31" t="s">
        <v>16</v>
      </c>
      <c r="AJ69" s="31" t="s">
        <v>16</v>
      </c>
      <c r="AK69" s="37"/>
      <c r="AL69" s="31" t="s">
        <v>16</v>
      </c>
      <c r="AM69" s="31" t="s">
        <v>15</v>
      </c>
      <c r="AN69" s="31" t="s">
        <v>16</v>
      </c>
      <c r="AO69" s="31" t="s">
        <v>16</v>
      </c>
      <c r="AP69" s="31" t="s">
        <v>16</v>
      </c>
      <c r="AQ69" s="31" t="s">
        <v>16</v>
      </c>
      <c r="AR69" s="31" t="s">
        <v>16</v>
      </c>
      <c r="AS69" s="8">
        <f t="shared" si="1"/>
        <v>28</v>
      </c>
      <c r="AT69" s="8">
        <f t="shared" si="2"/>
        <v>9</v>
      </c>
      <c r="AU69" s="8">
        <f t="shared" si="3"/>
        <v>37</v>
      </c>
      <c r="AV69" s="32">
        <f t="shared" si="4"/>
        <v>75.67567568</v>
      </c>
      <c r="AW69" s="9"/>
    </row>
    <row r="70" ht="15.75" customHeight="1">
      <c r="A70" s="34">
        <v>67.0</v>
      </c>
      <c r="B70" s="48" t="s">
        <v>148</v>
      </c>
      <c r="C70" s="47" t="s">
        <v>149</v>
      </c>
      <c r="D70" s="30" t="s">
        <v>15</v>
      </c>
      <c r="E70" s="30" t="s">
        <v>15</v>
      </c>
      <c r="F70" s="30" t="s">
        <v>15</v>
      </c>
      <c r="G70" s="30" t="s">
        <v>15</v>
      </c>
      <c r="H70" s="30" t="s">
        <v>15</v>
      </c>
      <c r="I70" s="30" t="s">
        <v>15</v>
      </c>
      <c r="J70" s="30" t="s">
        <v>15</v>
      </c>
      <c r="K70" s="30" t="s">
        <v>15</v>
      </c>
      <c r="L70" s="30" t="s">
        <v>15</v>
      </c>
      <c r="M70" s="30" t="s">
        <v>15</v>
      </c>
      <c r="N70" s="31" t="s">
        <v>15</v>
      </c>
      <c r="O70" s="31" t="s">
        <v>15</v>
      </c>
      <c r="P70" s="31" t="s">
        <v>15</v>
      </c>
      <c r="Q70" s="31" t="s">
        <v>15</v>
      </c>
      <c r="R70" s="31" t="s">
        <v>15</v>
      </c>
      <c r="S70" s="31" t="s">
        <v>15</v>
      </c>
      <c r="T70" s="31" t="s">
        <v>16</v>
      </c>
      <c r="U70" s="31" t="s">
        <v>16</v>
      </c>
      <c r="V70" s="31" t="s">
        <v>15</v>
      </c>
      <c r="W70" s="31" t="s">
        <v>16</v>
      </c>
      <c r="X70" s="37"/>
      <c r="Y70" s="31" t="s">
        <v>15</v>
      </c>
      <c r="Z70" s="37"/>
      <c r="AA70" s="31" t="s">
        <v>15</v>
      </c>
      <c r="AB70" s="31" t="s">
        <v>15</v>
      </c>
      <c r="AC70" s="31" t="s">
        <v>15</v>
      </c>
      <c r="AD70" s="31" t="s">
        <v>15</v>
      </c>
      <c r="AE70" s="31" t="s">
        <v>15</v>
      </c>
      <c r="AF70" s="31" t="s">
        <v>15</v>
      </c>
      <c r="AG70" s="31" t="s">
        <v>15</v>
      </c>
      <c r="AH70" s="31" t="s">
        <v>15</v>
      </c>
      <c r="AI70" s="31" t="s">
        <v>15</v>
      </c>
      <c r="AJ70" s="31" t="s">
        <v>15</v>
      </c>
      <c r="AK70" s="37"/>
      <c r="AL70" s="31" t="s">
        <v>15</v>
      </c>
      <c r="AM70" s="31" t="s">
        <v>15</v>
      </c>
      <c r="AN70" s="31" t="s">
        <v>15</v>
      </c>
      <c r="AO70" s="31" t="s">
        <v>15</v>
      </c>
      <c r="AP70" s="31" t="s">
        <v>16</v>
      </c>
      <c r="AQ70" s="31" t="s">
        <v>15</v>
      </c>
      <c r="AR70" s="31" t="s">
        <v>16</v>
      </c>
      <c r="AS70" s="8">
        <f t="shared" si="1"/>
        <v>4</v>
      </c>
      <c r="AT70" s="8">
        <f t="shared" si="2"/>
        <v>33</v>
      </c>
      <c r="AU70" s="8">
        <f t="shared" si="3"/>
        <v>37</v>
      </c>
      <c r="AV70" s="32">
        <f t="shared" si="4"/>
        <v>10.81081081</v>
      </c>
      <c r="AW70" s="9"/>
    </row>
    <row r="71" ht="15.75" customHeight="1">
      <c r="A71" s="49" t="s">
        <v>150</v>
      </c>
      <c r="AW71" s="50"/>
    </row>
    <row r="72" ht="15.75" customHeight="1">
      <c r="A72" s="51"/>
      <c r="AW72" s="50"/>
    </row>
    <row r="73" ht="15.75" customHeight="1">
      <c r="A73" s="51"/>
      <c r="AW73" s="50"/>
    </row>
    <row r="74" ht="15.75" customHeight="1">
      <c r="A74" s="5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4"/>
    </row>
    <row r="75" ht="15.75" customHeight="1">
      <c r="A75" s="55">
        <v>68.0</v>
      </c>
      <c r="B75" s="56" t="s">
        <v>151</v>
      </c>
      <c r="C75" s="57" t="s">
        <v>152</v>
      </c>
      <c r="D75" s="30" t="s">
        <v>15</v>
      </c>
      <c r="E75" s="30" t="s">
        <v>16</v>
      </c>
      <c r="F75" s="30" t="s">
        <v>15</v>
      </c>
      <c r="G75" s="30" t="s">
        <v>16</v>
      </c>
      <c r="H75" s="30" t="s">
        <v>16</v>
      </c>
      <c r="I75" s="30" t="s">
        <v>16</v>
      </c>
      <c r="J75" s="30" t="s">
        <v>15</v>
      </c>
      <c r="K75" s="30" t="s">
        <v>16</v>
      </c>
      <c r="L75" s="30" t="s">
        <v>15</v>
      </c>
      <c r="M75" s="30" t="s">
        <v>16</v>
      </c>
      <c r="N75" s="30" t="s">
        <v>16</v>
      </c>
      <c r="O75" s="31" t="s">
        <v>16</v>
      </c>
      <c r="P75" s="31" t="s">
        <v>15</v>
      </c>
      <c r="Q75" s="31" t="s">
        <v>15</v>
      </c>
      <c r="R75" s="31" t="s">
        <v>16</v>
      </c>
      <c r="S75" s="31" t="s">
        <v>16</v>
      </c>
      <c r="T75" s="31" t="s">
        <v>16</v>
      </c>
      <c r="U75" s="31" t="s">
        <v>16</v>
      </c>
      <c r="V75" s="31" t="s">
        <v>16</v>
      </c>
      <c r="W75" s="31" t="s">
        <v>16</v>
      </c>
      <c r="X75" s="37"/>
      <c r="Y75" s="58" t="s">
        <v>16</v>
      </c>
      <c r="Z75" s="58"/>
      <c r="AA75" s="58" t="s">
        <v>16</v>
      </c>
      <c r="AB75" s="58" t="s">
        <v>16</v>
      </c>
      <c r="AC75" s="58" t="s">
        <v>16</v>
      </c>
      <c r="AD75" s="58" t="s">
        <v>16</v>
      </c>
      <c r="AE75" s="58" t="s">
        <v>16</v>
      </c>
      <c r="AF75" s="58" t="s">
        <v>15</v>
      </c>
      <c r="AG75" s="58" t="s">
        <v>16</v>
      </c>
      <c r="AH75" s="58" t="s">
        <v>15</v>
      </c>
      <c r="AI75" s="58" t="s">
        <v>15</v>
      </c>
      <c r="AJ75" s="58" t="s">
        <v>16</v>
      </c>
      <c r="AK75" s="58"/>
      <c r="AL75" s="58" t="s">
        <v>16</v>
      </c>
      <c r="AM75" s="58" t="s">
        <v>16</v>
      </c>
      <c r="AN75" s="58" t="s">
        <v>16</v>
      </c>
      <c r="AO75" s="58" t="s">
        <v>16</v>
      </c>
      <c r="AP75" s="58" t="s">
        <v>16</v>
      </c>
      <c r="AQ75" s="58" t="s">
        <v>16</v>
      </c>
      <c r="AR75" s="58" t="s">
        <v>16</v>
      </c>
      <c r="AS75" s="8">
        <f t="shared" ref="AS75:AS133" si="5">COUNTIF(D75:AQ75,"P")</f>
        <v>28</v>
      </c>
      <c r="AT75" s="8">
        <f t="shared" ref="AT75:AT133" si="6">COUNTIF(D75:AQ75,"A")</f>
        <v>9</v>
      </c>
      <c r="AU75" s="8">
        <f t="shared" ref="AU75:AU133" si="7">SUM(AS75,AT75)</f>
        <v>37</v>
      </c>
      <c r="AV75" s="32">
        <f t="shared" ref="AV75:AV133" si="8">(AS75/AU75)*100</f>
        <v>75.67567568</v>
      </c>
      <c r="AW75" s="9"/>
    </row>
    <row r="76" ht="15.75" customHeight="1">
      <c r="A76" s="55">
        <v>69.0</v>
      </c>
      <c r="B76" s="59" t="s">
        <v>153</v>
      </c>
      <c r="C76" s="57" t="s">
        <v>154</v>
      </c>
      <c r="D76" s="30" t="s">
        <v>15</v>
      </c>
      <c r="E76" s="30" t="s">
        <v>16</v>
      </c>
      <c r="F76" s="30" t="s">
        <v>16</v>
      </c>
      <c r="G76" s="30" t="s">
        <v>15</v>
      </c>
      <c r="H76" s="30" t="s">
        <v>16</v>
      </c>
      <c r="I76" s="30" t="s">
        <v>16</v>
      </c>
      <c r="J76" s="30" t="s">
        <v>15</v>
      </c>
      <c r="K76" s="30" t="s">
        <v>16</v>
      </c>
      <c r="L76" s="30" t="s">
        <v>16</v>
      </c>
      <c r="M76" s="30" t="s">
        <v>15</v>
      </c>
      <c r="N76" s="30" t="s">
        <v>16</v>
      </c>
      <c r="O76" s="31" t="s">
        <v>16</v>
      </c>
      <c r="P76" s="31" t="s">
        <v>15</v>
      </c>
      <c r="Q76" s="31" t="s">
        <v>15</v>
      </c>
      <c r="R76" s="31" t="s">
        <v>16</v>
      </c>
      <c r="S76" s="31" t="s">
        <v>16</v>
      </c>
      <c r="T76" s="31" t="s">
        <v>16</v>
      </c>
      <c r="U76" s="31" t="s">
        <v>15</v>
      </c>
      <c r="V76" s="31" t="s">
        <v>15</v>
      </c>
      <c r="W76" s="31" t="s">
        <v>16</v>
      </c>
      <c r="X76" s="14"/>
      <c r="Y76" s="58" t="s">
        <v>15</v>
      </c>
      <c r="Z76" s="14"/>
      <c r="AA76" s="58" t="s">
        <v>16</v>
      </c>
      <c r="AB76" s="58" t="s">
        <v>16</v>
      </c>
      <c r="AC76" s="58" t="s">
        <v>16</v>
      </c>
      <c r="AD76" s="58" t="s">
        <v>16</v>
      </c>
      <c r="AE76" s="58" t="s">
        <v>15</v>
      </c>
      <c r="AF76" s="58" t="s">
        <v>16</v>
      </c>
      <c r="AG76" s="58" t="s">
        <v>16</v>
      </c>
      <c r="AH76" s="58" t="s">
        <v>16</v>
      </c>
      <c r="AI76" s="58" t="s">
        <v>15</v>
      </c>
      <c r="AJ76" s="58" t="s">
        <v>16</v>
      </c>
      <c r="AK76" s="14"/>
      <c r="AL76" s="58" t="s">
        <v>16</v>
      </c>
      <c r="AM76" s="58" t="s">
        <v>15</v>
      </c>
      <c r="AN76" s="58" t="s">
        <v>15</v>
      </c>
      <c r="AO76" s="58" t="s">
        <v>16</v>
      </c>
      <c r="AP76" s="58" t="s">
        <v>16</v>
      </c>
      <c r="AQ76" s="58" t="s">
        <v>16</v>
      </c>
      <c r="AR76" s="58" t="s">
        <v>16</v>
      </c>
      <c r="AS76" s="8">
        <f t="shared" si="5"/>
        <v>24</v>
      </c>
      <c r="AT76" s="8">
        <f t="shared" si="6"/>
        <v>13</v>
      </c>
      <c r="AU76" s="8">
        <f t="shared" si="7"/>
        <v>37</v>
      </c>
      <c r="AV76" s="32">
        <f t="shared" si="8"/>
        <v>64.86486486</v>
      </c>
      <c r="AW76" s="9"/>
    </row>
    <row r="77" ht="15.75" customHeight="1">
      <c r="A77" s="55">
        <v>70.0</v>
      </c>
      <c r="B77" s="59" t="s">
        <v>155</v>
      </c>
      <c r="C77" s="57" t="s">
        <v>156</v>
      </c>
      <c r="D77" s="30" t="s">
        <v>16</v>
      </c>
      <c r="E77" s="30" t="s">
        <v>16</v>
      </c>
      <c r="F77" s="30" t="s">
        <v>15</v>
      </c>
      <c r="G77" s="30" t="s">
        <v>16</v>
      </c>
      <c r="H77" s="30" t="s">
        <v>16</v>
      </c>
      <c r="I77" s="30" t="s">
        <v>16</v>
      </c>
      <c r="J77" s="30" t="s">
        <v>15</v>
      </c>
      <c r="K77" s="30" t="s">
        <v>16</v>
      </c>
      <c r="L77" s="30" t="s">
        <v>15</v>
      </c>
      <c r="M77" s="30" t="s">
        <v>15</v>
      </c>
      <c r="N77" s="30" t="s">
        <v>15</v>
      </c>
      <c r="O77" s="31" t="s">
        <v>15</v>
      </c>
      <c r="P77" s="31" t="s">
        <v>15</v>
      </c>
      <c r="Q77" s="31" t="s">
        <v>15</v>
      </c>
      <c r="R77" s="31" t="s">
        <v>15</v>
      </c>
      <c r="S77" s="31" t="s">
        <v>15</v>
      </c>
      <c r="T77" s="31" t="s">
        <v>16</v>
      </c>
      <c r="U77" s="31" t="s">
        <v>16</v>
      </c>
      <c r="V77" s="31" t="s">
        <v>16</v>
      </c>
      <c r="W77" s="31" t="s">
        <v>15</v>
      </c>
      <c r="X77" s="37"/>
      <c r="Y77" s="58" t="s">
        <v>15</v>
      </c>
      <c r="Z77" s="37"/>
      <c r="AA77" s="58" t="s">
        <v>15</v>
      </c>
      <c r="AB77" s="58" t="s">
        <v>16</v>
      </c>
      <c r="AC77" s="58" t="s">
        <v>16</v>
      </c>
      <c r="AD77" s="58" t="s">
        <v>15</v>
      </c>
      <c r="AE77" s="58" t="s">
        <v>15</v>
      </c>
      <c r="AF77" s="58" t="s">
        <v>16</v>
      </c>
      <c r="AG77" s="58" t="s">
        <v>16</v>
      </c>
      <c r="AH77" s="58" t="s">
        <v>16</v>
      </c>
      <c r="AI77" s="58" t="s">
        <v>16</v>
      </c>
      <c r="AJ77" s="58" t="s">
        <v>15</v>
      </c>
      <c r="AK77" s="14"/>
      <c r="AL77" s="58" t="s">
        <v>15</v>
      </c>
      <c r="AM77" s="58" t="s">
        <v>15</v>
      </c>
      <c r="AN77" s="58" t="s">
        <v>15</v>
      </c>
      <c r="AO77" s="58" t="s">
        <v>16</v>
      </c>
      <c r="AP77" s="58" t="s">
        <v>16</v>
      </c>
      <c r="AQ77" s="58" t="s">
        <v>15</v>
      </c>
      <c r="AR77" s="58" t="s">
        <v>16</v>
      </c>
      <c r="AS77" s="8">
        <f t="shared" si="5"/>
        <v>17</v>
      </c>
      <c r="AT77" s="8">
        <f t="shared" si="6"/>
        <v>20</v>
      </c>
      <c r="AU77" s="8">
        <f t="shared" si="7"/>
        <v>37</v>
      </c>
      <c r="AV77" s="32">
        <f t="shared" si="8"/>
        <v>45.94594595</v>
      </c>
      <c r="AW77" s="9"/>
    </row>
    <row r="78" ht="15.75" customHeight="1">
      <c r="A78" s="55">
        <v>71.0</v>
      </c>
      <c r="B78" s="59" t="s">
        <v>157</v>
      </c>
      <c r="C78" s="57" t="s">
        <v>158</v>
      </c>
      <c r="D78" s="30" t="s">
        <v>16</v>
      </c>
      <c r="E78" s="30" t="s">
        <v>16</v>
      </c>
      <c r="F78" s="30" t="s">
        <v>15</v>
      </c>
      <c r="G78" s="30" t="s">
        <v>16</v>
      </c>
      <c r="H78" s="30" t="s">
        <v>16</v>
      </c>
      <c r="I78" s="30" t="s">
        <v>16</v>
      </c>
      <c r="J78" s="30" t="s">
        <v>15</v>
      </c>
      <c r="K78" s="30" t="s">
        <v>16</v>
      </c>
      <c r="L78" s="30" t="s">
        <v>15</v>
      </c>
      <c r="M78" s="30" t="s">
        <v>16</v>
      </c>
      <c r="N78" s="30" t="s">
        <v>16</v>
      </c>
      <c r="O78" s="31" t="s">
        <v>16</v>
      </c>
      <c r="P78" s="31" t="s">
        <v>16</v>
      </c>
      <c r="Q78" s="31" t="s">
        <v>15</v>
      </c>
      <c r="R78" s="31" t="s">
        <v>15</v>
      </c>
      <c r="S78" s="31" t="s">
        <v>15</v>
      </c>
      <c r="T78" s="31" t="s">
        <v>16</v>
      </c>
      <c r="U78" s="31" t="s">
        <v>16</v>
      </c>
      <c r="V78" s="31" t="s">
        <v>15</v>
      </c>
      <c r="W78" s="31" t="s">
        <v>16</v>
      </c>
      <c r="X78" s="37"/>
      <c r="Y78" s="58" t="s">
        <v>15</v>
      </c>
      <c r="Z78" s="37"/>
      <c r="AA78" s="58" t="s">
        <v>16</v>
      </c>
      <c r="AB78" s="58" t="s">
        <v>16</v>
      </c>
      <c r="AC78" s="58" t="s">
        <v>16</v>
      </c>
      <c r="AD78" s="58" t="s">
        <v>15</v>
      </c>
      <c r="AE78" s="58" t="s">
        <v>15</v>
      </c>
      <c r="AF78" s="58" t="s">
        <v>15</v>
      </c>
      <c r="AG78" s="58" t="s">
        <v>16</v>
      </c>
      <c r="AH78" s="58" t="s">
        <v>16</v>
      </c>
      <c r="AI78" s="58" t="s">
        <v>16</v>
      </c>
      <c r="AJ78" s="58" t="s">
        <v>16</v>
      </c>
      <c r="AK78" s="14"/>
      <c r="AL78" s="58" t="s">
        <v>16</v>
      </c>
      <c r="AM78" s="58" t="s">
        <v>16</v>
      </c>
      <c r="AN78" s="58" t="s">
        <v>16</v>
      </c>
      <c r="AO78" s="58" t="s">
        <v>16</v>
      </c>
      <c r="AP78" s="58" t="s">
        <v>15</v>
      </c>
      <c r="AQ78" s="58" t="s">
        <v>16</v>
      </c>
      <c r="AR78" s="58" t="s">
        <v>15</v>
      </c>
      <c r="AS78" s="8">
        <f t="shared" si="5"/>
        <v>25</v>
      </c>
      <c r="AT78" s="8">
        <f t="shared" si="6"/>
        <v>12</v>
      </c>
      <c r="AU78" s="8">
        <f t="shared" si="7"/>
        <v>37</v>
      </c>
      <c r="AV78" s="32">
        <f t="shared" si="8"/>
        <v>67.56756757</v>
      </c>
      <c r="AW78" s="9"/>
    </row>
    <row r="79" ht="15.75" customHeight="1">
      <c r="A79" s="55">
        <v>72.0</v>
      </c>
      <c r="B79" s="59" t="s">
        <v>159</v>
      </c>
      <c r="C79" s="57" t="s">
        <v>160</v>
      </c>
      <c r="D79" s="30" t="s">
        <v>16</v>
      </c>
      <c r="E79" s="30" t="s">
        <v>16</v>
      </c>
      <c r="F79" s="30" t="s">
        <v>15</v>
      </c>
      <c r="G79" s="30" t="s">
        <v>15</v>
      </c>
      <c r="H79" s="30" t="s">
        <v>16</v>
      </c>
      <c r="I79" s="30" t="s">
        <v>15</v>
      </c>
      <c r="J79" s="30" t="s">
        <v>15</v>
      </c>
      <c r="K79" s="30" t="s">
        <v>16</v>
      </c>
      <c r="L79" s="30" t="s">
        <v>15</v>
      </c>
      <c r="M79" s="30" t="s">
        <v>16</v>
      </c>
      <c r="N79" s="30" t="s">
        <v>16</v>
      </c>
      <c r="O79" s="31" t="s">
        <v>16</v>
      </c>
      <c r="P79" s="31" t="s">
        <v>15</v>
      </c>
      <c r="Q79" s="31" t="s">
        <v>16</v>
      </c>
      <c r="R79" s="31" t="s">
        <v>16</v>
      </c>
      <c r="S79" s="31" t="s">
        <v>16</v>
      </c>
      <c r="T79" s="31" t="s">
        <v>16</v>
      </c>
      <c r="U79" s="31" t="s">
        <v>16</v>
      </c>
      <c r="V79" s="31" t="s">
        <v>15</v>
      </c>
      <c r="W79" s="31" t="s">
        <v>16</v>
      </c>
      <c r="X79" s="37"/>
      <c r="Y79" s="58" t="s">
        <v>16</v>
      </c>
      <c r="Z79" s="37"/>
      <c r="AA79" s="58" t="s">
        <v>16</v>
      </c>
      <c r="AB79" s="58" t="s">
        <v>16</v>
      </c>
      <c r="AC79" s="58" t="s">
        <v>15</v>
      </c>
      <c r="AD79" s="58" t="s">
        <v>15</v>
      </c>
      <c r="AE79" s="58" t="s">
        <v>15</v>
      </c>
      <c r="AF79" s="58" t="s">
        <v>15</v>
      </c>
      <c r="AG79" s="58" t="s">
        <v>16</v>
      </c>
      <c r="AH79" s="58" t="s">
        <v>16</v>
      </c>
      <c r="AI79" s="58" t="s">
        <v>16</v>
      </c>
      <c r="AJ79" s="58" t="s">
        <v>16</v>
      </c>
      <c r="AK79" s="14"/>
      <c r="AL79" s="58" t="s">
        <v>16</v>
      </c>
      <c r="AM79" s="58" t="s">
        <v>15</v>
      </c>
      <c r="AN79" s="58" t="s">
        <v>16</v>
      </c>
      <c r="AO79" s="58" t="s">
        <v>16</v>
      </c>
      <c r="AP79" s="58" t="s">
        <v>16</v>
      </c>
      <c r="AQ79" s="58" t="s">
        <v>15</v>
      </c>
      <c r="AR79" s="58" t="s">
        <v>15</v>
      </c>
      <c r="AS79" s="8">
        <f t="shared" si="5"/>
        <v>24</v>
      </c>
      <c r="AT79" s="8">
        <f t="shared" si="6"/>
        <v>13</v>
      </c>
      <c r="AU79" s="8">
        <f t="shared" si="7"/>
        <v>37</v>
      </c>
      <c r="AV79" s="32">
        <f t="shared" si="8"/>
        <v>64.86486486</v>
      </c>
      <c r="AW79" s="9"/>
    </row>
    <row r="80" ht="15.75" customHeight="1">
      <c r="A80" s="55">
        <v>73.0</v>
      </c>
      <c r="B80" s="56" t="s">
        <v>161</v>
      </c>
      <c r="C80" s="57" t="s">
        <v>162</v>
      </c>
      <c r="D80" s="30" t="s">
        <v>15</v>
      </c>
      <c r="E80" s="30" t="s">
        <v>16</v>
      </c>
      <c r="F80" s="30" t="s">
        <v>16</v>
      </c>
      <c r="G80" s="30" t="s">
        <v>16</v>
      </c>
      <c r="H80" s="30" t="s">
        <v>16</v>
      </c>
      <c r="I80" s="30" t="s">
        <v>15</v>
      </c>
      <c r="J80" s="30" t="s">
        <v>15</v>
      </c>
      <c r="K80" s="30" t="s">
        <v>16</v>
      </c>
      <c r="L80" s="30" t="s">
        <v>15</v>
      </c>
      <c r="M80" s="30" t="s">
        <v>16</v>
      </c>
      <c r="N80" s="30" t="s">
        <v>15</v>
      </c>
      <c r="O80" s="31" t="s">
        <v>16</v>
      </c>
      <c r="P80" s="31" t="s">
        <v>15</v>
      </c>
      <c r="Q80" s="31" t="s">
        <v>16</v>
      </c>
      <c r="R80" s="31" t="s">
        <v>16</v>
      </c>
      <c r="S80" s="31" t="s">
        <v>15</v>
      </c>
      <c r="T80" s="31" t="s">
        <v>16</v>
      </c>
      <c r="U80" s="31" t="s">
        <v>16</v>
      </c>
      <c r="V80" s="31" t="s">
        <v>15</v>
      </c>
      <c r="W80" s="31" t="s">
        <v>15</v>
      </c>
      <c r="X80" s="37"/>
      <c r="Y80" s="58" t="s">
        <v>15</v>
      </c>
      <c r="Z80" s="37"/>
      <c r="AA80" s="58" t="s">
        <v>16</v>
      </c>
      <c r="AB80" s="58" t="s">
        <v>16</v>
      </c>
      <c r="AC80" s="58" t="s">
        <v>16</v>
      </c>
      <c r="AD80" s="58" t="s">
        <v>16</v>
      </c>
      <c r="AE80" s="58" t="s">
        <v>15</v>
      </c>
      <c r="AF80" s="58" t="s">
        <v>16</v>
      </c>
      <c r="AG80" s="58" t="s">
        <v>16</v>
      </c>
      <c r="AH80" s="58" t="s">
        <v>16</v>
      </c>
      <c r="AI80" s="58" t="s">
        <v>16</v>
      </c>
      <c r="AJ80" s="58" t="s">
        <v>15</v>
      </c>
      <c r="AK80" s="14"/>
      <c r="AL80" s="58" t="s">
        <v>16</v>
      </c>
      <c r="AM80" s="58" t="s">
        <v>15</v>
      </c>
      <c r="AN80" s="58" t="s">
        <v>16</v>
      </c>
      <c r="AO80" s="58" t="s">
        <v>16</v>
      </c>
      <c r="AP80" s="58" t="s">
        <v>16</v>
      </c>
      <c r="AQ80" s="58" t="s">
        <v>16</v>
      </c>
      <c r="AR80" s="58" t="s">
        <v>16</v>
      </c>
      <c r="AS80" s="8">
        <f t="shared" si="5"/>
        <v>24</v>
      </c>
      <c r="AT80" s="8">
        <f t="shared" si="6"/>
        <v>13</v>
      </c>
      <c r="AU80" s="8">
        <f t="shared" si="7"/>
        <v>37</v>
      </c>
      <c r="AV80" s="32">
        <f t="shared" si="8"/>
        <v>64.86486486</v>
      </c>
      <c r="AW80" s="9"/>
    </row>
    <row r="81" ht="15.75" customHeight="1">
      <c r="A81" s="55">
        <v>74.0</v>
      </c>
      <c r="B81" s="59" t="s">
        <v>163</v>
      </c>
      <c r="C81" s="57" t="s">
        <v>164</v>
      </c>
      <c r="D81" s="30" t="s">
        <v>15</v>
      </c>
      <c r="E81" s="30" t="s">
        <v>16</v>
      </c>
      <c r="F81" s="30" t="s">
        <v>15</v>
      </c>
      <c r="G81" s="30" t="s">
        <v>15</v>
      </c>
      <c r="H81" s="30" t="s">
        <v>16</v>
      </c>
      <c r="I81" s="30" t="s">
        <v>16</v>
      </c>
      <c r="J81" s="30" t="s">
        <v>15</v>
      </c>
      <c r="K81" s="30" t="s">
        <v>16</v>
      </c>
      <c r="L81" s="30" t="s">
        <v>15</v>
      </c>
      <c r="M81" s="30" t="s">
        <v>15</v>
      </c>
      <c r="N81" s="30" t="s">
        <v>16</v>
      </c>
      <c r="O81" s="31" t="s">
        <v>16</v>
      </c>
      <c r="P81" s="31" t="s">
        <v>15</v>
      </c>
      <c r="Q81" s="31" t="s">
        <v>16</v>
      </c>
      <c r="R81" s="31" t="s">
        <v>16</v>
      </c>
      <c r="S81" s="31" t="s">
        <v>16</v>
      </c>
      <c r="T81" s="31" t="s">
        <v>16</v>
      </c>
      <c r="U81" s="31" t="s">
        <v>16</v>
      </c>
      <c r="V81" s="31" t="s">
        <v>15</v>
      </c>
      <c r="W81" s="31" t="s">
        <v>15</v>
      </c>
      <c r="X81" s="37"/>
      <c r="Y81" s="58" t="s">
        <v>16</v>
      </c>
      <c r="Z81" s="37"/>
      <c r="AA81" s="58" t="s">
        <v>15</v>
      </c>
      <c r="AB81" s="58" t="s">
        <v>16</v>
      </c>
      <c r="AC81" s="58" t="s">
        <v>15</v>
      </c>
      <c r="AD81" s="58" t="s">
        <v>15</v>
      </c>
      <c r="AE81" s="58" t="s">
        <v>15</v>
      </c>
      <c r="AF81" s="58" t="s">
        <v>15</v>
      </c>
      <c r="AG81" s="58" t="s">
        <v>15</v>
      </c>
      <c r="AH81" s="58" t="s">
        <v>15</v>
      </c>
      <c r="AI81" s="58" t="s">
        <v>15</v>
      </c>
      <c r="AJ81" s="58" t="s">
        <v>15</v>
      </c>
      <c r="AK81" s="14"/>
      <c r="AL81" s="58" t="s">
        <v>16</v>
      </c>
      <c r="AM81" s="58" t="s">
        <v>15</v>
      </c>
      <c r="AN81" s="58" t="s">
        <v>16</v>
      </c>
      <c r="AO81" s="58" t="s">
        <v>16</v>
      </c>
      <c r="AP81" s="58" t="s">
        <v>16</v>
      </c>
      <c r="AQ81" s="58" t="s">
        <v>16</v>
      </c>
      <c r="AR81" s="58" t="s">
        <v>16</v>
      </c>
      <c r="AS81" s="8">
        <f t="shared" si="5"/>
        <v>18</v>
      </c>
      <c r="AT81" s="8">
        <f t="shared" si="6"/>
        <v>19</v>
      </c>
      <c r="AU81" s="8">
        <f t="shared" si="7"/>
        <v>37</v>
      </c>
      <c r="AV81" s="32">
        <f t="shared" si="8"/>
        <v>48.64864865</v>
      </c>
      <c r="AW81" s="9"/>
    </row>
    <row r="82" ht="15.75" customHeight="1">
      <c r="A82" s="55">
        <v>75.0</v>
      </c>
      <c r="B82" s="59" t="s">
        <v>165</v>
      </c>
      <c r="C82" s="57" t="s">
        <v>166</v>
      </c>
      <c r="D82" s="30" t="s">
        <v>15</v>
      </c>
      <c r="E82" s="30" t="s">
        <v>16</v>
      </c>
      <c r="F82" s="30" t="s">
        <v>16</v>
      </c>
      <c r="G82" s="30" t="s">
        <v>16</v>
      </c>
      <c r="H82" s="30" t="s">
        <v>16</v>
      </c>
      <c r="I82" s="30" t="s">
        <v>16</v>
      </c>
      <c r="J82" s="30" t="s">
        <v>15</v>
      </c>
      <c r="K82" s="30" t="s">
        <v>16</v>
      </c>
      <c r="L82" s="30" t="s">
        <v>15</v>
      </c>
      <c r="M82" s="30" t="s">
        <v>15</v>
      </c>
      <c r="N82" s="30" t="s">
        <v>16</v>
      </c>
      <c r="O82" s="31" t="s">
        <v>15</v>
      </c>
      <c r="P82" s="31" t="s">
        <v>15</v>
      </c>
      <c r="Q82" s="31" t="s">
        <v>16</v>
      </c>
      <c r="R82" s="31" t="s">
        <v>16</v>
      </c>
      <c r="S82" s="31" t="s">
        <v>16</v>
      </c>
      <c r="T82" s="31" t="s">
        <v>15</v>
      </c>
      <c r="U82" s="31" t="s">
        <v>15</v>
      </c>
      <c r="V82" s="31" t="s">
        <v>15</v>
      </c>
      <c r="W82" s="31" t="s">
        <v>15</v>
      </c>
      <c r="X82" s="37"/>
      <c r="Y82" s="58" t="s">
        <v>15</v>
      </c>
      <c r="Z82" s="37"/>
      <c r="AA82" s="58" t="s">
        <v>16</v>
      </c>
      <c r="AB82" s="58" t="s">
        <v>15</v>
      </c>
      <c r="AC82" s="58" t="s">
        <v>16</v>
      </c>
      <c r="AD82" s="58" t="s">
        <v>15</v>
      </c>
      <c r="AE82" s="58" t="s">
        <v>15</v>
      </c>
      <c r="AF82" s="58" t="s">
        <v>15</v>
      </c>
      <c r="AG82" s="58" t="s">
        <v>16</v>
      </c>
      <c r="AH82" s="58" t="s">
        <v>15</v>
      </c>
      <c r="AI82" s="58" t="s">
        <v>15</v>
      </c>
      <c r="AJ82" s="58" t="s">
        <v>16</v>
      </c>
      <c r="AK82" s="14"/>
      <c r="AL82" s="58" t="s">
        <v>16</v>
      </c>
      <c r="AM82" s="58" t="s">
        <v>15</v>
      </c>
      <c r="AN82" s="58" t="s">
        <v>16</v>
      </c>
      <c r="AO82" s="58" t="s">
        <v>15</v>
      </c>
      <c r="AP82" s="58" t="s">
        <v>16</v>
      </c>
      <c r="AQ82" s="58" t="s">
        <v>16</v>
      </c>
      <c r="AR82" s="58" t="s">
        <v>16</v>
      </c>
      <c r="AS82" s="8">
        <f t="shared" si="5"/>
        <v>18</v>
      </c>
      <c r="AT82" s="8">
        <f t="shared" si="6"/>
        <v>19</v>
      </c>
      <c r="AU82" s="8">
        <f t="shared" si="7"/>
        <v>37</v>
      </c>
      <c r="AV82" s="32">
        <f t="shared" si="8"/>
        <v>48.64864865</v>
      </c>
      <c r="AW82" s="9"/>
    </row>
    <row r="83" ht="15.75" customHeight="1">
      <c r="A83" s="55">
        <v>76.0</v>
      </c>
      <c r="B83" s="59" t="s">
        <v>167</v>
      </c>
      <c r="C83" s="57" t="s">
        <v>168</v>
      </c>
      <c r="D83" s="30" t="s">
        <v>15</v>
      </c>
      <c r="E83" s="30" t="s">
        <v>16</v>
      </c>
      <c r="F83" s="30" t="s">
        <v>16</v>
      </c>
      <c r="G83" s="30" t="s">
        <v>16</v>
      </c>
      <c r="H83" s="30" t="s">
        <v>16</v>
      </c>
      <c r="I83" s="30" t="s">
        <v>15</v>
      </c>
      <c r="J83" s="30" t="s">
        <v>15</v>
      </c>
      <c r="K83" s="30" t="s">
        <v>16</v>
      </c>
      <c r="L83" s="30" t="s">
        <v>15</v>
      </c>
      <c r="M83" s="30" t="s">
        <v>15</v>
      </c>
      <c r="N83" s="30" t="s">
        <v>15</v>
      </c>
      <c r="O83" s="31" t="s">
        <v>16</v>
      </c>
      <c r="P83" s="31" t="s">
        <v>15</v>
      </c>
      <c r="Q83" s="31" t="s">
        <v>16</v>
      </c>
      <c r="R83" s="31" t="s">
        <v>16</v>
      </c>
      <c r="S83" s="31" t="s">
        <v>15</v>
      </c>
      <c r="T83" s="31" t="s">
        <v>16</v>
      </c>
      <c r="U83" s="31" t="s">
        <v>16</v>
      </c>
      <c r="V83" s="31" t="s">
        <v>15</v>
      </c>
      <c r="W83" s="31" t="s">
        <v>15</v>
      </c>
      <c r="X83" s="37"/>
      <c r="Y83" s="58" t="s">
        <v>15</v>
      </c>
      <c r="Z83" s="37"/>
      <c r="AA83" s="58" t="s">
        <v>15</v>
      </c>
      <c r="AB83" s="58" t="s">
        <v>16</v>
      </c>
      <c r="AC83" s="58" t="s">
        <v>16</v>
      </c>
      <c r="AD83" s="58" t="s">
        <v>15</v>
      </c>
      <c r="AE83" s="58" t="s">
        <v>16</v>
      </c>
      <c r="AF83" s="58" t="s">
        <v>16</v>
      </c>
      <c r="AG83" s="58" t="s">
        <v>16</v>
      </c>
      <c r="AH83" s="58" t="s">
        <v>16</v>
      </c>
      <c r="AI83" s="58" t="s">
        <v>16</v>
      </c>
      <c r="AJ83" s="58" t="s">
        <v>16</v>
      </c>
      <c r="AK83" s="14"/>
      <c r="AL83" s="58" t="s">
        <v>16</v>
      </c>
      <c r="AM83" s="58" t="s">
        <v>15</v>
      </c>
      <c r="AN83" s="58" t="s">
        <v>16</v>
      </c>
      <c r="AO83" s="58" t="s">
        <v>16</v>
      </c>
      <c r="AP83" s="58" t="s">
        <v>16</v>
      </c>
      <c r="AQ83" s="58" t="s">
        <v>16</v>
      </c>
      <c r="AR83" s="58" t="s">
        <v>16</v>
      </c>
      <c r="AS83" s="8">
        <f t="shared" si="5"/>
        <v>23</v>
      </c>
      <c r="AT83" s="8">
        <f t="shared" si="6"/>
        <v>14</v>
      </c>
      <c r="AU83" s="8">
        <f t="shared" si="7"/>
        <v>37</v>
      </c>
      <c r="AV83" s="32">
        <f t="shared" si="8"/>
        <v>62.16216216</v>
      </c>
      <c r="AW83" s="9"/>
    </row>
    <row r="84" ht="15.75" customHeight="1">
      <c r="A84" s="55">
        <v>77.0</v>
      </c>
      <c r="B84" s="59" t="s">
        <v>169</v>
      </c>
      <c r="C84" s="57" t="s">
        <v>170</v>
      </c>
      <c r="D84" s="30" t="s">
        <v>16</v>
      </c>
      <c r="E84" s="30" t="s">
        <v>16</v>
      </c>
      <c r="F84" s="30" t="s">
        <v>16</v>
      </c>
      <c r="G84" s="30" t="s">
        <v>16</v>
      </c>
      <c r="H84" s="30" t="s">
        <v>16</v>
      </c>
      <c r="I84" s="30" t="s">
        <v>15</v>
      </c>
      <c r="J84" s="30" t="s">
        <v>15</v>
      </c>
      <c r="K84" s="30" t="s">
        <v>16</v>
      </c>
      <c r="L84" s="30" t="s">
        <v>15</v>
      </c>
      <c r="M84" s="30" t="s">
        <v>16</v>
      </c>
      <c r="N84" s="30" t="s">
        <v>16</v>
      </c>
      <c r="O84" s="31" t="s">
        <v>16</v>
      </c>
      <c r="P84" s="31" t="s">
        <v>15</v>
      </c>
      <c r="Q84" s="31" t="s">
        <v>16</v>
      </c>
      <c r="R84" s="31" t="s">
        <v>16</v>
      </c>
      <c r="S84" s="31" t="s">
        <v>16</v>
      </c>
      <c r="T84" s="31" t="s">
        <v>16</v>
      </c>
      <c r="U84" s="31" t="s">
        <v>16</v>
      </c>
      <c r="V84" s="31" t="s">
        <v>16</v>
      </c>
      <c r="W84" s="31" t="s">
        <v>16</v>
      </c>
      <c r="X84" s="14"/>
      <c r="Y84" s="58" t="s">
        <v>16</v>
      </c>
      <c r="Z84" s="14"/>
      <c r="AA84" s="58" t="s">
        <v>15</v>
      </c>
      <c r="AB84" s="58" t="s">
        <v>15</v>
      </c>
      <c r="AC84" s="58" t="s">
        <v>15</v>
      </c>
      <c r="AD84" s="58" t="s">
        <v>15</v>
      </c>
      <c r="AE84" s="58" t="s">
        <v>15</v>
      </c>
      <c r="AF84" s="58" t="s">
        <v>15</v>
      </c>
      <c r="AG84" s="58" t="s">
        <v>16</v>
      </c>
      <c r="AH84" s="58" t="s">
        <v>16</v>
      </c>
      <c r="AI84" s="58" t="s">
        <v>16</v>
      </c>
      <c r="AJ84" s="58" t="s">
        <v>16</v>
      </c>
      <c r="AK84" s="14"/>
      <c r="AL84" s="58" t="s">
        <v>16</v>
      </c>
      <c r="AM84" s="58" t="s">
        <v>15</v>
      </c>
      <c r="AN84" s="58" t="s">
        <v>16</v>
      </c>
      <c r="AO84" s="58" t="s">
        <v>16</v>
      </c>
      <c r="AP84" s="58" t="s">
        <v>16</v>
      </c>
      <c r="AQ84" s="58" t="s">
        <v>15</v>
      </c>
      <c r="AR84" s="58" t="s">
        <v>16</v>
      </c>
      <c r="AS84" s="8">
        <f t="shared" si="5"/>
        <v>25</v>
      </c>
      <c r="AT84" s="8">
        <f t="shared" si="6"/>
        <v>12</v>
      </c>
      <c r="AU84" s="8">
        <f t="shared" si="7"/>
        <v>37</v>
      </c>
      <c r="AV84" s="32">
        <f t="shared" si="8"/>
        <v>67.56756757</v>
      </c>
      <c r="AW84" s="9"/>
    </row>
    <row r="85" ht="15.75" customHeight="1">
      <c r="A85" s="55">
        <v>78.0</v>
      </c>
      <c r="B85" s="59" t="s">
        <v>171</v>
      </c>
      <c r="C85" s="57" t="s">
        <v>172</v>
      </c>
      <c r="D85" s="30" t="s">
        <v>16</v>
      </c>
      <c r="E85" s="30" t="s">
        <v>16</v>
      </c>
      <c r="F85" s="30" t="s">
        <v>16</v>
      </c>
      <c r="G85" s="30" t="s">
        <v>16</v>
      </c>
      <c r="H85" s="30" t="s">
        <v>16</v>
      </c>
      <c r="I85" s="30" t="s">
        <v>16</v>
      </c>
      <c r="J85" s="30" t="s">
        <v>15</v>
      </c>
      <c r="K85" s="30" t="s">
        <v>16</v>
      </c>
      <c r="L85" s="30" t="s">
        <v>15</v>
      </c>
      <c r="M85" s="30" t="s">
        <v>16</v>
      </c>
      <c r="N85" s="30" t="s">
        <v>16</v>
      </c>
      <c r="O85" s="31" t="s">
        <v>15</v>
      </c>
      <c r="P85" s="31" t="s">
        <v>15</v>
      </c>
      <c r="Q85" s="31" t="s">
        <v>15</v>
      </c>
      <c r="R85" s="31" t="s">
        <v>16</v>
      </c>
      <c r="S85" s="31" t="s">
        <v>15</v>
      </c>
      <c r="T85" s="31" t="s">
        <v>16</v>
      </c>
      <c r="U85" s="31" t="s">
        <v>16</v>
      </c>
      <c r="V85" s="31" t="s">
        <v>16</v>
      </c>
      <c r="W85" s="31" t="s">
        <v>16</v>
      </c>
      <c r="X85" s="14"/>
      <c r="Y85" s="58" t="s">
        <v>16</v>
      </c>
      <c r="Z85" s="14"/>
      <c r="AA85" s="58" t="s">
        <v>16</v>
      </c>
      <c r="AB85" s="58" t="s">
        <v>15</v>
      </c>
      <c r="AC85" s="58" t="s">
        <v>15</v>
      </c>
      <c r="AD85" s="58" t="s">
        <v>16</v>
      </c>
      <c r="AE85" s="58" t="s">
        <v>15</v>
      </c>
      <c r="AF85" s="58" t="s">
        <v>16</v>
      </c>
      <c r="AG85" s="58" t="s">
        <v>16</v>
      </c>
      <c r="AH85" s="58" t="s">
        <v>16</v>
      </c>
      <c r="AI85" s="58" t="s">
        <v>16</v>
      </c>
      <c r="AJ85" s="58" t="s">
        <v>16</v>
      </c>
      <c r="AK85" s="9"/>
      <c r="AL85" s="58" t="s">
        <v>15</v>
      </c>
      <c r="AM85" s="58" t="s">
        <v>16</v>
      </c>
      <c r="AN85" s="58" t="s">
        <v>16</v>
      </c>
      <c r="AO85" s="58" t="s">
        <v>16</v>
      </c>
      <c r="AP85" s="58" t="s">
        <v>15</v>
      </c>
      <c r="AQ85" s="58" t="s">
        <v>16</v>
      </c>
      <c r="AR85" s="58" t="s">
        <v>15</v>
      </c>
      <c r="AS85" s="8">
        <f t="shared" si="5"/>
        <v>26</v>
      </c>
      <c r="AT85" s="8">
        <f t="shared" si="6"/>
        <v>11</v>
      </c>
      <c r="AU85" s="8">
        <f t="shared" si="7"/>
        <v>37</v>
      </c>
      <c r="AV85" s="32">
        <f t="shared" si="8"/>
        <v>70.27027027</v>
      </c>
      <c r="AW85" s="9"/>
    </row>
    <row r="86" ht="15.75" customHeight="1">
      <c r="A86" s="55">
        <v>79.0</v>
      </c>
      <c r="B86" s="59" t="s">
        <v>173</v>
      </c>
      <c r="C86" s="57" t="s">
        <v>174</v>
      </c>
      <c r="D86" s="30" t="s">
        <v>15</v>
      </c>
      <c r="E86" s="30" t="s">
        <v>16</v>
      </c>
      <c r="F86" s="30" t="s">
        <v>15</v>
      </c>
      <c r="G86" s="30" t="s">
        <v>16</v>
      </c>
      <c r="H86" s="30" t="s">
        <v>16</v>
      </c>
      <c r="I86" s="30" t="s">
        <v>16</v>
      </c>
      <c r="J86" s="30" t="s">
        <v>15</v>
      </c>
      <c r="K86" s="30" t="s">
        <v>16</v>
      </c>
      <c r="L86" s="30" t="s">
        <v>15</v>
      </c>
      <c r="M86" s="30" t="s">
        <v>15</v>
      </c>
      <c r="N86" s="30" t="s">
        <v>16</v>
      </c>
      <c r="O86" s="31" t="s">
        <v>16</v>
      </c>
      <c r="P86" s="31" t="s">
        <v>15</v>
      </c>
      <c r="Q86" s="31" t="s">
        <v>15</v>
      </c>
      <c r="R86" s="31" t="s">
        <v>15</v>
      </c>
      <c r="S86" s="31" t="s">
        <v>15</v>
      </c>
      <c r="T86" s="31" t="s">
        <v>16</v>
      </c>
      <c r="U86" s="31" t="s">
        <v>15</v>
      </c>
      <c r="V86" s="31" t="s">
        <v>15</v>
      </c>
      <c r="W86" s="31" t="s">
        <v>16</v>
      </c>
      <c r="X86" s="14"/>
      <c r="Y86" s="58" t="s">
        <v>15</v>
      </c>
      <c r="Z86" s="14"/>
      <c r="AA86" s="58" t="s">
        <v>16</v>
      </c>
      <c r="AB86" s="58" t="s">
        <v>15</v>
      </c>
      <c r="AC86" s="58" t="s">
        <v>15</v>
      </c>
      <c r="AD86" s="58" t="s">
        <v>15</v>
      </c>
      <c r="AE86" s="58" t="s">
        <v>15</v>
      </c>
      <c r="AF86" s="58" t="s">
        <v>15</v>
      </c>
      <c r="AG86" s="58" t="s">
        <v>15</v>
      </c>
      <c r="AH86" s="58" t="s">
        <v>15</v>
      </c>
      <c r="AI86" s="58" t="s">
        <v>15</v>
      </c>
      <c r="AJ86" s="58" t="s">
        <v>16</v>
      </c>
      <c r="AK86" s="9"/>
      <c r="AL86" s="58" t="s">
        <v>16</v>
      </c>
      <c r="AM86" s="58" t="s">
        <v>16</v>
      </c>
      <c r="AN86" s="58" t="s">
        <v>16</v>
      </c>
      <c r="AO86" s="58" t="s">
        <v>16</v>
      </c>
      <c r="AP86" s="58" t="s">
        <v>15</v>
      </c>
      <c r="AQ86" s="58" t="s">
        <v>15</v>
      </c>
      <c r="AR86" s="58" t="s">
        <v>15</v>
      </c>
      <c r="AS86" s="8">
        <f t="shared" si="5"/>
        <v>15</v>
      </c>
      <c r="AT86" s="8">
        <f t="shared" si="6"/>
        <v>22</v>
      </c>
      <c r="AU86" s="8">
        <f t="shared" si="7"/>
        <v>37</v>
      </c>
      <c r="AV86" s="32">
        <f t="shared" si="8"/>
        <v>40.54054054</v>
      </c>
      <c r="AW86" s="9"/>
    </row>
    <row r="87" ht="15.75" customHeight="1">
      <c r="A87" s="55">
        <v>80.0</v>
      </c>
      <c r="B87" s="59" t="s">
        <v>175</v>
      </c>
      <c r="C87" s="57" t="s">
        <v>176</v>
      </c>
      <c r="D87" s="30" t="s">
        <v>15</v>
      </c>
      <c r="E87" s="30" t="s">
        <v>16</v>
      </c>
      <c r="F87" s="30" t="s">
        <v>15</v>
      </c>
      <c r="G87" s="30" t="s">
        <v>15</v>
      </c>
      <c r="H87" s="30" t="s">
        <v>16</v>
      </c>
      <c r="I87" s="30" t="s">
        <v>15</v>
      </c>
      <c r="J87" s="30" t="s">
        <v>15</v>
      </c>
      <c r="K87" s="30" t="s">
        <v>16</v>
      </c>
      <c r="L87" s="30" t="s">
        <v>15</v>
      </c>
      <c r="M87" s="30" t="s">
        <v>16</v>
      </c>
      <c r="N87" s="30" t="s">
        <v>16</v>
      </c>
      <c r="O87" s="31" t="s">
        <v>15</v>
      </c>
      <c r="P87" s="31" t="s">
        <v>15</v>
      </c>
      <c r="Q87" s="31" t="s">
        <v>16</v>
      </c>
      <c r="R87" s="31" t="s">
        <v>15</v>
      </c>
      <c r="S87" s="31" t="s">
        <v>15</v>
      </c>
      <c r="T87" s="31" t="s">
        <v>16</v>
      </c>
      <c r="U87" s="31" t="s">
        <v>15</v>
      </c>
      <c r="V87" s="31" t="s">
        <v>15</v>
      </c>
      <c r="W87" s="31" t="s">
        <v>15</v>
      </c>
      <c r="X87" s="14"/>
      <c r="Y87" s="58" t="s">
        <v>16</v>
      </c>
      <c r="Z87" s="14"/>
      <c r="AA87" s="58" t="s">
        <v>15</v>
      </c>
      <c r="AB87" s="58" t="s">
        <v>16</v>
      </c>
      <c r="AC87" s="58" t="s">
        <v>15</v>
      </c>
      <c r="AD87" s="58" t="s">
        <v>16</v>
      </c>
      <c r="AE87" s="58" t="s">
        <v>15</v>
      </c>
      <c r="AF87" s="58" t="s">
        <v>15</v>
      </c>
      <c r="AG87" s="58" t="s">
        <v>15</v>
      </c>
      <c r="AH87" s="58" t="s">
        <v>15</v>
      </c>
      <c r="AI87" s="58" t="s">
        <v>15</v>
      </c>
      <c r="AJ87" s="58" t="s">
        <v>15</v>
      </c>
      <c r="AK87" s="9"/>
      <c r="AL87" s="58" t="s">
        <v>15</v>
      </c>
      <c r="AM87" s="58" t="s">
        <v>15</v>
      </c>
      <c r="AN87" s="58" t="s">
        <v>15</v>
      </c>
      <c r="AO87" s="58" t="s">
        <v>15</v>
      </c>
      <c r="AP87" s="58" t="s">
        <v>16</v>
      </c>
      <c r="AQ87" s="58" t="s">
        <v>16</v>
      </c>
      <c r="AR87" s="58" t="s">
        <v>16</v>
      </c>
      <c r="AS87" s="8">
        <f t="shared" si="5"/>
        <v>12</v>
      </c>
      <c r="AT87" s="8">
        <f t="shared" si="6"/>
        <v>25</v>
      </c>
      <c r="AU87" s="8">
        <f t="shared" si="7"/>
        <v>37</v>
      </c>
      <c r="AV87" s="32">
        <f t="shared" si="8"/>
        <v>32.43243243</v>
      </c>
      <c r="AW87" s="9"/>
    </row>
    <row r="88" ht="15.75" customHeight="1">
      <c r="A88" s="55">
        <v>81.0</v>
      </c>
      <c r="B88" s="59" t="s">
        <v>177</v>
      </c>
      <c r="C88" s="57" t="s">
        <v>178</v>
      </c>
      <c r="D88" s="30" t="s">
        <v>15</v>
      </c>
      <c r="E88" s="30" t="s">
        <v>16</v>
      </c>
      <c r="F88" s="30" t="s">
        <v>16</v>
      </c>
      <c r="G88" s="30" t="s">
        <v>15</v>
      </c>
      <c r="H88" s="30" t="s">
        <v>16</v>
      </c>
      <c r="I88" s="30" t="s">
        <v>15</v>
      </c>
      <c r="J88" s="30" t="s">
        <v>15</v>
      </c>
      <c r="K88" s="30" t="s">
        <v>16</v>
      </c>
      <c r="L88" s="30" t="s">
        <v>15</v>
      </c>
      <c r="M88" s="30" t="s">
        <v>15</v>
      </c>
      <c r="N88" s="30" t="s">
        <v>15</v>
      </c>
      <c r="O88" s="31" t="s">
        <v>16</v>
      </c>
      <c r="P88" s="31" t="s">
        <v>15</v>
      </c>
      <c r="Q88" s="31" t="s">
        <v>16</v>
      </c>
      <c r="R88" s="31" t="s">
        <v>16</v>
      </c>
      <c r="S88" s="31" t="s">
        <v>15</v>
      </c>
      <c r="T88" s="31" t="s">
        <v>15</v>
      </c>
      <c r="U88" s="31" t="s">
        <v>16</v>
      </c>
      <c r="V88" s="31" t="s">
        <v>15</v>
      </c>
      <c r="W88" s="31" t="s">
        <v>16</v>
      </c>
      <c r="X88" s="14"/>
      <c r="Y88" s="58" t="s">
        <v>15</v>
      </c>
      <c r="Z88" s="14"/>
      <c r="AA88" s="58" t="s">
        <v>16</v>
      </c>
      <c r="AB88" s="58" t="s">
        <v>15</v>
      </c>
      <c r="AC88" s="58" t="s">
        <v>16</v>
      </c>
      <c r="AD88" s="58" t="s">
        <v>15</v>
      </c>
      <c r="AE88" s="58" t="s">
        <v>16</v>
      </c>
      <c r="AF88" s="58" t="s">
        <v>16</v>
      </c>
      <c r="AG88" s="58" t="s">
        <v>16</v>
      </c>
      <c r="AH88" s="58" t="s">
        <v>16</v>
      </c>
      <c r="AI88" s="58" t="s">
        <v>16</v>
      </c>
      <c r="AJ88" s="58" t="s">
        <v>16</v>
      </c>
      <c r="AK88" s="9"/>
      <c r="AL88" s="58" t="s">
        <v>15</v>
      </c>
      <c r="AM88" s="58" t="s">
        <v>15</v>
      </c>
      <c r="AN88" s="58" t="s">
        <v>15</v>
      </c>
      <c r="AO88" s="58" t="s">
        <v>16</v>
      </c>
      <c r="AP88" s="58" t="s">
        <v>16</v>
      </c>
      <c r="AQ88" s="58" t="s">
        <v>15</v>
      </c>
      <c r="AR88" s="58" t="s">
        <v>16</v>
      </c>
      <c r="AS88" s="8">
        <f t="shared" si="5"/>
        <v>19</v>
      </c>
      <c r="AT88" s="8">
        <f t="shared" si="6"/>
        <v>18</v>
      </c>
      <c r="AU88" s="8">
        <f t="shared" si="7"/>
        <v>37</v>
      </c>
      <c r="AV88" s="32">
        <f t="shared" si="8"/>
        <v>51.35135135</v>
      </c>
      <c r="AW88" s="9"/>
    </row>
    <row r="89" ht="15.75" customHeight="1">
      <c r="A89" s="55">
        <v>82.0</v>
      </c>
      <c r="B89" s="59" t="s">
        <v>179</v>
      </c>
      <c r="C89" s="57" t="s">
        <v>180</v>
      </c>
      <c r="D89" s="30" t="s">
        <v>16</v>
      </c>
      <c r="E89" s="30" t="s">
        <v>16</v>
      </c>
      <c r="F89" s="30" t="s">
        <v>15</v>
      </c>
      <c r="G89" s="30" t="s">
        <v>16</v>
      </c>
      <c r="H89" s="30" t="s">
        <v>16</v>
      </c>
      <c r="I89" s="30" t="s">
        <v>15</v>
      </c>
      <c r="J89" s="30" t="s">
        <v>15</v>
      </c>
      <c r="K89" s="30" t="s">
        <v>16</v>
      </c>
      <c r="L89" s="30" t="s">
        <v>15</v>
      </c>
      <c r="M89" s="30" t="s">
        <v>16</v>
      </c>
      <c r="N89" s="30" t="s">
        <v>15</v>
      </c>
      <c r="O89" s="31" t="s">
        <v>16</v>
      </c>
      <c r="P89" s="31" t="s">
        <v>16</v>
      </c>
      <c r="Q89" s="31" t="s">
        <v>16</v>
      </c>
      <c r="R89" s="31" t="s">
        <v>15</v>
      </c>
      <c r="S89" s="31" t="s">
        <v>16</v>
      </c>
      <c r="T89" s="31" t="s">
        <v>16</v>
      </c>
      <c r="U89" s="31" t="s">
        <v>15</v>
      </c>
      <c r="V89" s="31" t="s">
        <v>16</v>
      </c>
      <c r="W89" s="31" t="s">
        <v>16</v>
      </c>
      <c r="X89" s="14"/>
      <c r="Y89" s="58" t="s">
        <v>15</v>
      </c>
      <c r="Z89" s="14"/>
      <c r="AA89" s="58" t="s">
        <v>16</v>
      </c>
      <c r="AB89" s="58" t="s">
        <v>16</v>
      </c>
      <c r="AC89" s="58" t="s">
        <v>16</v>
      </c>
      <c r="AD89" s="58" t="s">
        <v>15</v>
      </c>
      <c r="AE89" s="58" t="s">
        <v>15</v>
      </c>
      <c r="AF89" s="58" t="s">
        <v>15</v>
      </c>
      <c r="AG89" s="58" t="s">
        <v>16</v>
      </c>
      <c r="AH89" s="58" t="s">
        <v>15</v>
      </c>
      <c r="AI89" s="58" t="s">
        <v>16</v>
      </c>
      <c r="AJ89" s="58" t="s">
        <v>15</v>
      </c>
      <c r="AK89" s="9"/>
      <c r="AL89" s="58" t="s">
        <v>16</v>
      </c>
      <c r="AM89" s="58" t="s">
        <v>15</v>
      </c>
      <c r="AN89" s="58" t="s">
        <v>16</v>
      </c>
      <c r="AO89" s="58" t="s">
        <v>16</v>
      </c>
      <c r="AP89" s="58" t="s">
        <v>16</v>
      </c>
      <c r="AQ89" s="58" t="s">
        <v>16</v>
      </c>
      <c r="AR89" s="58" t="s">
        <v>15</v>
      </c>
      <c r="AS89" s="8">
        <f t="shared" si="5"/>
        <v>23</v>
      </c>
      <c r="AT89" s="8">
        <f t="shared" si="6"/>
        <v>14</v>
      </c>
      <c r="AU89" s="8">
        <f t="shared" si="7"/>
        <v>37</v>
      </c>
      <c r="AV89" s="32">
        <f t="shared" si="8"/>
        <v>62.16216216</v>
      </c>
      <c r="AW89" s="9"/>
    </row>
    <row r="90" ht="15.75" customHeight="1">
      <c r="A90" s="55">
        <v>83.0</v>
      </c>
      <c r="B90" s="59" t="s">
        <v>181</v>
      </c>
      <c r="C90" s="57" t="s">
        <v>182</v>
      </c>
      <c r="D90" s="30" t="s">
        <v>15</v>
      </c>
      <c r="E90" s="30" t="s">
        <v>16</v>
      </c>
      <c r="F90" s="30" t="s">
        <v>16</v>
      </c>
      <c r="G90" s="30" t="s">
        <v>15</v>
      </c>
      <c r="H90" s="30" t="s">
        <v>16</v>
      </c>
      <c r="I90" s="30" t="s">
        <v>15</v>
      </c>
      <c r="J90" s="30" t="s">
        <v>15</v>
      </c>
      <c r="K90" s="30" t="s">
        <v>16</v>
      </c>
      <c r="L90" s="30" t="s">
        <v>15</v>
      </c>
      <c r="M90" s="30" t="s">
        <v>16</v>
      </c>
      <c r="N90" s="30" t="s">
        <v>15</v>
      </c>
      <c r="O90" s="31" t="s">
        <v>15</v>
      </c>
      <c r="P90" s="31" t="s">
        <v>16</v>
      </c>
      <c r="Q90" s="31" t="s">
        <v>16</v>
      </c>
      <c r="R90" s="31" t="s">
        <v>15</v>
      </c>
      <c r="S90" s="31" t="s">
        <v>16</v>
      </c>
      <c r="T90" s="31" t="s">
        <v>16</v>
      </c>
      <c r="U90" s="31" t="s">
        <v>16</v>
      </c>
      <c r="V90" s="31" t="s">
        <v>15</v>
      </c>
      <c r="W90" s="31" t="s">
        <v>15</v>
      </c>
      <c r="X90" s="14"/>
      <c r="Y90" s="58" t="s">
        <v>15</v>
      </c>
      <c r="Z90" s="14"/>
      <c r="AA90" s="58" t="s">
        <v>15</v>
      </c>
      <c r="AB90" s="58" t="s">
        <v>15</v>
      </c>
      <c r="AC90" s="58" t="s">
        <v>16</v>
      </c>
      <c r="AD90" s="58" t="s">
        <v>15</v>
      </c>
      <c r="AE90" s="58" t="s">
        <v>16</v>
      </c>
      <c r="AF90" s="58" t="s">
        <v>15</v>
      </c>
      <c r="AG90" s="58" t="s">
        <v>16</v>
      </c>
      <c r="AH90" s="58" t="s">
        <v>16</v>
      </c>
      <c r="AI90" s="58" t="s">
        <v>16</v>
      </c>
      <c r="AJ90" s="58" t="s">
        <v>16</v>
      </c>
      <c r="AK90" s="9"/>
      <c r="AL90" s="58" t="s">
        <v>15</v>
      </c>
      <c r="AM90" s="58" t="s">
        <v>15</v>
      </c>
      <c r="AN90" s="58" t="s">
        <v>16</v>
      </c>
      <c r="AO90" s="58" t="s">
        <v>16</v>
      </c>
      <c r="AP90" s="58" t="s">
        <v>16</v>
      </c>
      <c r="AQ90" s="58" t="s">
        <v>16</v>
      </c>
      <c r="AR90" s="58" t="s">
        <v>16</v>
      </c>
      <c r="AS90" s="8">
        <f t="shared" si="5"/>
        <v>20</v>
      </c>
      <c r="AT90" s="8">
        <f t="shared" si="6"/>
        <v>17</v>
      </c>
      <c r="AU90" s="8">
        <f t="shared" si="7"/>
        <v>37</v>
      </c>
      <c r="AV90" s="32">
        <f t="shared" si="8"/>
        <v>54.05405405</v>
      </c>
      <c r="AW90" s="9"/>
    </row>
    <row r="91" ht="15.75" customHeight="1">
      <c r="A91" s="55">
        <v>84.0</v>
      </c>
      <c r="B91" s="59" t="s">
        <v>183</v>
      </c>
      <c r="C91" s="57" t="s">
        <v>184</v>
      </c>
      <c r="D91" s="30" t="s">
        <v>15</v>
      </c>
      <c r="E91" s="30" t="s">
        <v>16</v>
      </c>
      <c r="F91" s="30" t="s">
        <v>16</v>
      </c>
      <c r="G91" s="30" t="s">
        <v>16</v>
      </c>
      <c r="H91" s="30" t="s">
        <v>16</v>
      </c>
      <c r="I91" s="30" t="s">
        <v>15</v>
      </c>
      <c r="J91" s="30" t="s">
        <v>15</v>
      </c>
      <c r="K91" s="30" t="s">
        <v>16</v>
      </c>
      <c r="L91" s="30" t="s">
        <v>15</v>
      </c>
      <c r="M91" s="30" t="s">
        <v>15</v>
      </c>
      <c r="N91" s="30" t="s">
        <v>15</v>
      </c>
      <c r="O91" s="31" t="s">
        <v>16</v>
      </c>
      <c r="P91" s="31" t="s">
        <v>16</v>
      </c>
      <c r="Q91" s="31" t="s">
        <v>16</v>
      </c>
      <c r="R91" s="31" t="s">
        <v>16</v>
      </c>
      <c r="S91" s="31" t="s">
        <v>15</v>
      </c>
      <c r="T91" s="31" t="s">
        <v>16</v>
      </c>
      <c r="U91" s="31" t="s">
        <v>16</v>
      </c>
      <c r="V91" s="31" t="s">
        <v>15</v>
      </c>
      <c r="W91" s="31" t="s">
        <v>15</v>
      </c>
      <c r="X91" s="14"/>
      <c r="Y91" s="58" t="s">
        <v>16</v>
      </c>
      <c r="Z91" s="14"/>
      <c r="AA91" s="58" t="s">
        <v>16</v>
      </c>
      <c r="AB91" s="58" t="s">
        <v>16</v>
      </c>
      <c r="AC91" s="58" t="s">
        <v>16</v>
      </c>
      <c r="AD91" s="58" t="s">
        <v>15</v>
      </c>
      <c r="AE91" s="58" t="s">
        <v>15</v>
      </c>
      <c r="AF91" s="58" t="s">
        <v>15</v>
      </c>
      <c r="AG91" s="58" t="s">
        <v>15</v>
      </c>
      <c r="AH91" s="58" t="s">
        <v>16</v>
      </c>
      <c r="AI91" s="58" t="s">
        <v>16</v>
      </c>
      <c r="AJ91" s="58" t="s">
        <v>16</v>
      </c>
      <c r="AK91" s="9"/>
      <c r="AL91" s="58" t="s">
        <v>15</v>
      </c>
      <c r="AM91" s="58" t="s">
        <v>16</v>
      </c>
      <c r="AN91" s="58" t="s">
        <v>16</v>
      </c>
      <c r="AO91" s="58" t="s">
        <v>16</v>
      </c>
      <c r="AP91" s="58" t="s">
        <v>16</v>
      </c>
      <c r="AQ91" s="58" t="s">
        <v>16</v>
      </c>
      <c r="AR91" s="58" t="s">
        <v>16</v>
      </c>
      <c r="AS91" s="8">
        <f t="shared" si="5"/>
        <v>23</v>
      </c>
      <c r="AT91" s="8">
        <f t="shared" si="6"/>
        <v>14</v>
      </c>
      <c r="AU91" s="8">
        <f t="shared" si="7"/>
        <v>37</v>
      </c>
      <c r="AV91" s="32">
        <f t="shared" si="8"/>
        <v>62.16216216</v>
      </c>
      <c r="AW91" s="9"/>
    </row>
    <row r="92" ht="15.75" customHeight="1">
      <c r="A92" s="55">
        <v>85.0</v>
      </c>
      <c r="B92" s="59" t="s">
        <v>185</v>
      </c>
      <c r="C92" s="57" t="s">
        <v>186</v>
      </c>
      <c r="D92" s="30" t="s">
        <v>16</v>
      </c>
      <c r="E92" s="30" t="s">
        <v>16</v>
      </c>
      <c r="F92" s="30" t="s">
        <v>15</v>
      </c>
      <c r="G92" s="30" t="s">
        <v>16</v>
      </c>
      <c r="H92" s="30" t="s">
        <v>16</v>
      </c>
      <c r="I92" s="30" t="s">
        <v>16</v>
      </c>
      <c r="J92" s="30" t="s">
        <v>15</v>
      </c>
      <c r="K92" s="30" t="s">
        <v>16</v>
      </c>
      <c r="L92" s="30" t="s">
        <v>15</v>
      </c>
      <c r="M92" s="30" t="s">
        <v>16</v>
      </c>
      <c r="N92" s="30" t="s">
        <v>15</v>
      </c>
      <c r="O92" s="31" t="s">
        <v>16</v>
      </c>
      <c r="P92" s="31" t="s">
        <v>15</v>
      </c>
      <c r="Q92" s="31" t="s">
        <v>15</v>
      </c>
      <c r="R92" s="31" t="s">
        <v>16</v>
      </c>
      <c r="S92" s="31" t="s">
        <v>15</v>
      </c>
      <c r="T92" s="31" t="s">
        <v>16</v>
      </c>
      <c r="U92" s="31" t="s">
        <v>16</v>
      </c>
      <c r="V92" s="31" t="s">
        <v>15</v>
      </c>
      <c r="W92" s="31" t="s">
        <v>16</v>
      </c>
      <c r="X92" s="14"/>
      <c r="Y92" s="58" t="s">
        <v>15</v>
      </c>
      <c r="Z92" s="14"/>
      <c r="AA92" s="58" t="s">
        <v>16</v>
      </c>
      <c r="AB92" s="58" t="s">
        <v>16</v>
      </c>
      <c r="AC92" s="58" t="s">
        <v>16</v>
      </c>
      <c r="AD92" s="58" t="s">
        <v>16</v>
      </c>
      <c r="AE92" s="58" t="s">
        <v>16</v>
      </c>
      <c r="AF92" s="58" t="s">
        <v>15</v>
      </c>
      <c r="AG92" s="58" t="s">
        <v>16</v>
      </c>
      <c r="AH92" s="58" t="s">
        <v>15</v>
      </c>
      <c r="AI92" s="58" t="s">
        <v>16</v>
      </c>
      <c r="AJ92" s="58" t="s">
        <v>16</v>
      </c>
      <c r="AK92" s="9"/>
      <c r="AL92" s="58" t="s">
        <v>16</v>
      </c>
      <c r="AM92" s="58" t="s">
        <v>15</v>
      </c>
      <c r="AN92" s="58" t="s">
        <v>15</v>
      </c>
      <c r="AO92" s="58" t="s">
        <v>15</v>
      </c>
      <c r="AP92" s="58" t="s">
        <v>15</v>
      </c>
      <c r="AQ92" s="58" t="s">
        <v>15</v>
      </c>
      <c r="AR92" s="58" t="s">
        <v>16</v>
      </c>
      <c r="AS92" s="8">
        <f t="shared" si="5"/>
        <v>21</v>
      </c>
      <c r="AT92" s="8">
        <f t="shared" si="6"/>
        <v>16</v>
      </c>
      <c r="AU92" s="8">
        <f t="shared" si="7"/>
        <v>37</v>
      </c>
      <c r="AV92" s="32">
        <f t="shared" si="8"/>
        <v>56.75675676</v>
      </c>
      <c r="AW92" s="9"/>
    </row>
    <row r="93" ht="15.75" customHeight="1">
      <c r="A93" s="55">
        <v>86.0</v>
      </c>
      <c r="B93" s="59" t="s">
        <v>187</v>
      </c>
      <c r="C93" s="57" t="s">
        <v>188</v>
      </c>
      <c r="D93" s="30" t="s">
        <v>15</v>
      </c>
      <c r="E93" s="30" t="s">
        <v>16</v>
      </c>
      <c r="F93" s="30" t="s">
        <v>16</v>
      </c>
      <c r="G93" s="30" t="s">
        <v>16</v>
      </c>
      <c r="H93" s="30" t="s">
        <v>16</v>
      </c>
      <c r="I93" s="30" t="s">
        <v>15</v>
      </c>
      <c r="J93" s="30" t="s">
        <v>15</v>
      </c>
      <c r="K93" s="30" t="s">
        <v>16</v>
      </c>
      <c r="L93" s="30" t="s">
        <v>15</v>
      </c>
      <c r="M93" s="30" t="s">
        <v>16</v>
      </c>
      <c r="N93" s="30" t="s">
        <v>15</v>
      </c>
      <c r="O93" s="31" t="s">
        <v>16</v>
      </c>
      <c r="P93" s="31" t="s">
        <v>15</v>
      </c>
      <c r="Q93" s="31" t="s">
        <v>16</v>
      </c>
      <c r="R93" s="31" t="s">
        <v>15</v>
      </c>
      <c r="S93" s="31" t="s">
        <v>16</v>
      </c>
      <c r="T93" s="31" t="s">
        <v>15</v>
      </c>
      <c r="U93" s="31" t="s">
        <v>16</v>
      </c>
      <c r="V93" s="31" t="s">
        <v>15</v>
      </c>
      <c r="W93" s="31" t="s">
        <v>16</v>
      </c>
      <c r="X93" s="14"/>
      <c r="Y93" s="58" t="s">
        <v>15</v>
      </c>
      <c r="Z93" s="14"/>
      <c r="AA93" s="58" t="s">
        <v>16</v>
      </c>
      <c r="AB93" s="58" t="s">
        <v>16</v>
      </c>
      <c r="AC93" s="58" t="s">
        <v>16</v>
      </c>
      <c r="AD93" s="58" t="s">
        <v>16</v>
      </c>
      <c r="AE93" s="58" t="s">
        <v>16</v>
      </c>
      <c r="AF93" s="58" t="s">
        <v>15</v>
      </c>
      <c r="AG93" s="58" t="s">
        <v>16</v>
      </c>
      <c r="AH93" s="58" t="s">
        <v>15</v>
      </c>
      <c r="AI93" s="58" t="s">
        <v>16</v>
      </c>
      <c r="AJ93" s="58" t="s">
        <v>16</v>
      </c>
      <c r="AK93" s="9"/>
      <c r="AL93" s="58" t="s">
        <v>16</v>
      </c>
      <c r="AM93" s="58" t="s">
        <v>15</v>
      </c>
      <c r="AN93" s="58" t="s">
        <v>15</v>
      </c>
      <c r="AO93" s="58" t="s">
        <v>16</v>
      </c>
      <c r="AP93" s="58" t="s">
        <v>15</v>
      </c>
      <c r="AQ93" s="58" t="s">
        <v>16</v>
      </c>
      <c r="AR93" s="58" t="s">
        <v>16</v>
      </c>
      <c r="AS93" s="8">
        <f t="shared" si="5"/>
        <v>22</v>
      </c>
      <c r="AT93" s="8">
        <f t="shared" si="6"/>
        <v>15</v>
      </c>
      <c r="AU93" s="8">
        <f t="shared" si="7"/>
        <v>37</v>
      </c>
      <c r="AV93" s="32">
        <f t="shared" si="8"/>
        <v>59.45945946</v>
      </c>
      <c r="AW93" s="9"/>
    </row>
    <row r="94" ht="15.75" customHeight="1">
      <c r="A94" s="55">
        <v>87.0</v>
      </c>
      <c r="B94" s="60" t="s">
        <v>189</v>
      </c>
      <c r="C94" s="61" t="s">
        <v>190</v>
      </c>
      <c r="D94" s="30" t="s">
        <v>16</v>
      </c>
      <c r="E94" s="30" t="s">
        <v>16</v>
      </c>
      <c r="F94" s="30" t="s">
        <v>16</v>
      </c>
      <c r="G94" s="30" t="s">
        <v>15</v>
      </c>
      <c r="H94" s="30" t="s">
        <v>16</v>
      </c>
      <c r="I94" s="30" t="s">
        <v>15</v>
      </c>
      <c r="J94" s="30" t="s">
        <v>15</v>
      </c>
      <c r="K94" s="30" t="s">
        <v>16</v>
      </c>
      <c r="L94" s="30" t="s">
        <v>15</v>
      </c>
      <c r="M94" s="30" t="s">
        <v>16</v>
      </c>
      <c r="N94" s="30" t="s">
        <v>16</v>
      </c>
      <c r="O94" s="31" t="s">
        <v>16</v>
      </c>
      <c r="P94" s="31" t="s">
        <v>16</v>
      </c>
      <c r="Q94" s="31" t="s">
        <v>16</v>
      </c>
      <c r="R94" s="31" t="s">
        <v>15</v>
      </c>
      <c r="S94" s="31" t="s">
        <v>16</v>
      </c>
      <c r="T94" s="31" t="s">
        <v>16</v>
      </c>
      <c r="U94" s="31" t="s">
        <v>16</v>
      </c>
      <c r="V94" s="31" t="s">
        <v>15</v>
      </c>
      <c r="W94" s="31" t="s">
        <v>15</v>
      </c>
      <c r="X94" s="14"/>
      <c r="Y94" s="58" t="s">
        <v>15</v>
      </c>
      <c r="Z94" s="14"/>
      <c r="AA94" s="58" t="s">
        <v>16</v>
      </c>
      <c r="AB94" s="58" t="s">
        <v>16</v>
      </c>
      <c r="AC94" s="58" t="s">
        <v>16</v>
      </c>
      <c r="AD94" s="58" t="s">
        <v>15</v>
      </c>
      <c r="AE94" s="58" t="s">
        <v>15</v>
      </c>
      <c r="AF94" s="58" t="s">
        <v>15</v>
      </c>
      <c r="AG94" s="58" t="s">
        <v>16</v>
      </c>
      <c r="AH94" s="58" t="s">
        <v>15</v>
      </c>
      <c r="AI94" s="58" t="s">
        <v>16</v>
      </c>
      <c r="AJ94" s="58" t="s">
        <v>16</v>
      </c>
      <c r="AK94" s="9"/>
      <c r="AL94" s="58" t="s">
        <v>16</v>
      </c>
      <c r="AM94" s="58" t="s">
        <v>15</v>
      </c>
      <c r="AN94" s="58" t="s">
        <v>16</v>
      </c>
      <c r="AO94" s="58" t="s">
        <v>16</v>
      </c>
      <c r="AP94" s="58" t="s">
        <v>16</v>
      </c>
      <c r="AQ94" s="58" t="s">
        <v>16</v>
      </c>
      <c r="AR94" s="58" t="s">
        <v>16</v>
      </c>
      <c r="AS94" s="8">
        <f t="shared" si="5"/>
        <v>24</v>
      </c>
      <c r="AT94" s="8">
        <f t="shared" si="6"/>
        <v>13</v>
      </c>
      <c r="AU94" s="8">
        <f t="shared" si="7"/>
        <v>37</v>
      </c>
      <c r="AV94" s="32">
        <f t="shared" si="8"/>
        <v>64.86486486</v>
      </c>
      <c r="AW94" s="9"/>
    </row>
    <row r="95" ht="15.75" customHeight="1">
      <c r="A95" s="55">
        <v>88.0</v>
      </c>
      <c r="B95" s="62" t="s">
        <v>191</v>
      </c>
      <c r="C95" s="63" t="s">
        <v>192</v>
      </c>
      <c r="D95" s="30" t="s">
        <v>15</v>
      </c>
      <c r="E95" s="30" t="s">
        <v>16</v>
      </c>
      <c r="F95" s="30" t="s">
        <v>15</v>
      </c>
      <c r="G95" s="30" t="s">
        <v>15</v>
      </c>
      <c r="H95" s="30" t="s">
        <v>15</v>
      </c>
      <c r="I95" s="30" t="s">
        <v>15</v>
      </c>
      <c r="J95" s="30" t="s">
        <v>15</v>
      </c>
      <c r="K95" s="30" t="s">
        <v>16</v>
      </c>
      <c r="L95" s="30" t="s">
        <v>15</v>
      </c>
      <c r="M95" s="30" t="s">
        <v>15</v>
      </c>
      <c r="N95" s="30" t="s">
        <v>15</v>
      </c>
      <c r="O95" s="31" t="s">
        <v>15</v>
      </c>
      <c r="P95" s="31" t="s">
        <v>15</v>
      </c>
      <c r="Q95" s="31" t="s">
        <v>15</v>
      </c>
      <c r="R95" s="31" t="s">
        <v>15</v>
      </c>
      <c r="S95" s="31" t="s">
        <v>15</v>
      </c>
      <c r="T95" s="31" t="s">
        <v>15</v>
      </c>
      <c r="U95" s="31" t="s">
        <v>15</v>
      </c>
      <c r="V95" s="31" t="s">
        <v>15</v>
      </c>
      <c r="W95" s="31" t="s">
        <v>15</v>
      </c>
      <c r="X95" s="14"/>
      <c r="Y95" s="58" t="s">
        <v>15</v>
      </c>
      <c r="Z95" s="14"/>
      <c r="AA95" s="58" t="s">
        <v>15</v>
      </c>
      <c r="AB95" s="58" t="s">
        <v>15</v>
      </c>
      <c r="AC95" s="58" t="s">
        <v>15</v>
      </c>
      <c r="AD95" s="58" t="s">
        <v>15</v>
      </c>
      <c r="AE95" s="58" t="s">
        <v>15</v>
      </c>
      <c r="AF95" s="58" t="s">
        <v>15</v>
      </c>
      <c r="AG95" s="58" t="s">
        <v>15</v>
      </c>
      <c r="AH95" s="58" t="s">
        <v>15</v>
      </c>
      <c r="AI95" s="58" t="s">
        <v>15</v>
      </c>
      <c r="AJ95" s="58" t="s">
        <v>15</v>
      </c>
      <c r="AK95" s="9"/>
      <c r="AL95" s="58" t="s">
        <v>15</v>
      </c>
      <c r="AM95" s="58" t="s">
        <v>15</v>
      </c>
      <c r="AN95" s="58" t="s">
        <v>15</v>
      </c>
      <c r="AO95" s="58" t="s">
        <v>15</v>
      </c>
      <c r="AP95" s="58" t="s">
        <v>15</v>
      </c>
      <c r="AQ95" s="58" t="s">
        <v>15</v>
      </c>
      <c r="AR95" s="58" t="s">
        <v>15</v>
      </c>
      <c r="AS95" s="8">
        <f t="shared" si="5"/>
        <v>2</v>
      </c>
      <c r="AT95" s="8">
        <f t="shared" si="6"/>
        <v>35</v>
      </c>
      <c r="AU95" s="8">
        <f t="shared" si="7"/>
        <v>37</v>
      </c>
      <c r="AV95" s="32">
        <f t="shared" si="8"/>
        <v>5.405405405</v>
      </c>
      <c r="AW95" s="9"/>
    </row>
    <row r="96" ht="15.75" customHeight="1">
      <c r="A96" s="55">
        <v>89.0</v>
      </c>
      <c r="B96" s="59" t="s">
        <v>193</v>
      </c>
      <c r="C96" s="57" t="s">
        <v>194</v>
      </c>
      <c r="D96" s="30" t="s">
        <v>15</v>
      </c>
      <c r="E96" s="30" t="s">
        <v>16</v>
      </c>
      <c r="F96" s="30" t="s">
        <v>15</v>
      </c>
      <c r="G96" s="30" t="s">
        <v>16</v>
      </c>
      <c r="H96" s="30" t="s">
        <v>16</v>
      </c>
      <c r="I96" s="30" t="s">
        <v>16</v>
      </c>
      <c r="J96" s="30" t="s">
        <v>15</v>
      </c>
      <c r="K96" s="30" t="s">
        <v>16</v>
      </c>
      <c r="L96" s="30" t="s">
        <v>15</v>
      </c>
      <c r="M96" s="30" t="s">
        <v>15</v>
      </c>
      <c r="N96" s="30" t="s">
        <v>16</v>
      </c>
      <c r="O96" s="31" t="s">
        <v>15</v>
      </c>
      <c r="P96" s="31" t="s">
        <v>16</v>
      </c>
      <c r="Q96" s="31" t="s">
        <v>16</v>
      </c>
      <c r="R96" s="31" t="s">
        <v>16</v>
      </c>
      <c r="S96" s="31" t="s">
        <v>16</v>
      </c>
      <c r="T96" s="31" t="s">
        <v>16</v>
      </c>
      <c r="U96" s="31" t="s">
        <v>16</v>
      </c>
      <c r="V96" s="31" t="s">
        <v>16</v>
      </c>
      <c r="W96" s="31" t="s">
        <v>16</v>
      </c>
      <c r="X96" s="14"/>
      <c r="Y96" s="58" t="s">
        <v>16</v>
      </c>
      <c r="Z96" s="14"/>
      <c r="AA96" s="58" t="s">
        <v>16</v>
      </c>
      <c r="AB96" s="58" t="s">
        <v>15</v>
      </c>
      <c r="AC96" s="58" t="s">
        <v>16</v>
      </c>
      <c r="AD96" s="58" t="s">
        <v>15</v>
      </c>
      <c r="AE96" s="58" t="s">
        <v>15</v>
      </c>
      <c r="AF96" s="58" t="s">
        <v>16</v>
      </c>
      <c r="AG96" s="58" t="s">
        <v>16</v>
      </c>
      <c r="AH96" s="58" t="s">
        <v>15</v>
      </c>
      <c r="AI96" s="58" t="s">
        <v>16</v>
      </c>
      <c r="AJ96" s="58" t="s">
        <v>16</v>
      </c>
      <c r="AK96" s="9"/>
      <c r="AL96" s="58" t="s">
        <v>16</v>
      </c>
      <c r="AM96" s="58" t="s">
        <v>16</v>
      </c>
      <c r="AN96" s="58" t="s">
        <v>16</v>
      </c>
      <c r="AO96" s="58" t="s">
        <v>16</v>
      </c>
      <c r="AP96" s="58" t="s">
        <v>16</v>
      </c>
      <c r="AQ96" s="58" t="s">
        <v>16</v>
      </c>
      <c r="AR96" s="58" t="s">
        <v>16</v>
      </c>
      <c r="AS96" s="8">
        <f t="shared" si="5"/>
        <v>27</v>
      </c>
      <c r="AT96" s="8">
        <f t="shared" si="6"/>
        <v>10</v>
      </c>
      <c r="AU96" s="8">
        <f t="shared" si="7"/>
        <v>37</v>
      </c>
      <c r="AV96" s="32">
        <f t="shared" si="8"/>
        <v>72.97297297</v>
      </c>
      <c r="AW96" s="9"/>
    </row>
    <row r="97" ht="15.75" customHeight="1">
      <c r="A97" s="55">
        <v>90.0</v>
      </c>
      <c r="B97" s="59" t="s">
        <v>195</v>
      </c>
      <c r="C97" s="57" t="s">
        <v>196</v>
      </c>
      <c r="D97" s="30" t="s">
        <v>15</v>
      </c>
      <c r="E97" s="30" t="s">
        <v>16</v>
      </c>
      <c r="F97" s="30" t="s">
        <v>15</v>
      </c>
      <c r="G97" s="30" t="s">
        <v>15</v>
      </c>
      <c r="H97" s="30" t="s">
        <v>16</v>
      </c>
      <c r="I97" s="30" t="s">
        <v>16</v>
      </c>
      <c r="J97" s="30" t="s">
        <v>15</v>
      </c>
      <c r="K97" s="30" t="s">
        <v>16</v>
      </c>
      <c r="L97" s="30" t="s">
        <v>15</v>
      </c>
      <c r="M97" s="30" t="s">
        <v>16</v>
      </c>
      <c r="N97" s="30" t="s">
        <v>15</v>
      </c>
      <c r="O97" s="31" t="s">
        <v>16</v>
      </c>
      <c r="P97" s="31" t="s">
        <v>15</v>
      </c>
      <c r="Q97" s="31" t="s">
        <v>15</v>
      </c>
      <c r="R97" s="31" t="s">
        <v>16</v>
      </c>
      <c r="S97" s="31" t="s">
        <v>16</v>
      </c>
      <c r="T97" s="31" t="s">
        <v>16</v>
      </c>
      <c r="U97" s="31" t="s">
        <v>16</v>
      </c>
      <c r="V97" s="31" t="s">
        <v>15</v>
      </c>
      <c r="W97" s="31" t="s">
        <v>16</v>
      </c>
      <c r="X97" s="14"/>
      <c r="Y97" s="58" t="s">
        <v>16</v>
      </c>
      <c r="Z97" s="14"/>
      <c r="AA97" s="58" t="s">
        <v>16</v>
      </c>
      <c r="AB97" s="58" t="s">
        <v>16</v>
      </c>
      <c r="AC97" s="58" t="s">
        <v>16</v>
      </c>
      <c r="AD97" s="58" t="s">
        <v>16</v>
      </c>
      <c r="AE97" s="58" t="s">
        <v>15</v>
      </c>
      <c r="AF97" s="58" t="s">
        <v>16</v>
      </c>
      <c r="AG97" s="58" t="s">
        <v>16</v>
      </c>
      <c r="AH97" s="58" t="s">
        <v>16</v>
      </c>
      <c r="AI97" s="58" t="s">
        <v>16</v>
      </c>
      <c r="AJ97" s="58" t="s">
        <v>16</v>
      </c>
      <c r="AK97" s="9"/>
      <c r="AL97" s="58" t="s">
        <v>16</v>
      </c>
      <c r="AM97" s="58" t="s">
        <v>16</v>
      </c>
      <c r="AN97" s="58" t="s">
        <v>15</v>
      </c>
      <c r="AO97" s="58" t="s">
        <v>16</v>
      </c>
      <c r="AP97" s="58" t="s">
        <v>16</v>
      </c>
      <c r="AQ97" s="58" t="s">
        <v>16</v>
      </c>
      <c r="AR97" s="58" t="s">
        <v>16</v>
      </c>
      <c r="AS97" s="8">
        <f t="shared" si="5"/>
        <v>26</v>
      </c>
      <c r="AT97" s="8">
        <f t="shared" si="6"/>
        <v>11</v>
      </c>
      <c r="AU97" s="8">
        <f t="shared" si="7"/>
        <v>37</v>
      </c>
      <c r="AV97" s="32">
        <f t="shared" si="8"/>
        <v>70.27027027</v>
      </c>
      <c r="AW97" s="9"/>
    </row>
    <row r="98" ht="15.75" customHeight="1">
      <c r="A98" s="55">
        <v>91.0</v>
      </c>
      <c r="B98" s="59" t="s">
        <v>197</v>
      </c>
      <c r="C98" s="57" t="s">
        <v>198</v>
      </c>
      <c r="D98" s="30" t="s">
        <v>15</v>
      </c>
      <c r="E98" s="30" t="s">
        <v>16</v>
      </c>
      <c r="F98" s="30" t="s">
        <v>16</v>
      </c>
      <c r="G98" s="30" t="s">
        <v>16</v>
      </c>
      <c r="H98" s="30" t="s">
        <v>16</v>
      </c>
      <c r="I98" s="30" t="s">
        <v>15</v>
      </c>
      <c r="J98" s="30" t="s">
        <v>15</v>
      </c>
      <c r="K98" s="30" t="s">
        <v>16</v>
      </c>
      <c r="L98" s="30" t="s">
        <v>15</v>
      </c>
      <c r="M98" s="30" t="s">
        <v>16</v>
      </c>
      <c r="N98" s="30" t="s">
        <v>15</v>
      </c>
      <c r="O98" s="31" t="s">
        <v>16</v>
      </c>
      <c r="P98" s="31" t="s">
        <v>16</v>
      </c>
      <c r="Q98" s="31" t="s">
        <v>16</v>
      </c>
      <c r="R98" s="31" t="s">
        <v>15</v>
      </c>
      <c r="S98" s="31" t="s">
        <v>16</v>
      </c>
      <c r="T98" s="31" t="s">
        <v>16</v>
      </c>
      <c r="U98" s="31" t="s">
        <v>15</v>
      </c>
      <c r="V98" s="31" t="s">
        <v>15</v>
      </c>
      <c r="W98" s="31" t="s">
        <v>16</v>
      </c>
      <c r="X98" s="14"/>
      <c r="Y98" s="58" t="s">
        <v>15</v>
      </c>
      <c r="Z98" s="14"/>
      <c r="AA98" s="58" t="s">
        <v>15</v>
      </c>
      <c r="AB98" s="58" t="s">
        <v>16</v>
      </c>
      <c r="AC98" s="58" t="s">
        <v>16</v>
      </c>
      <c r="AD98" s="58" t="s">
        <v>15</v>
      </c>
      <c r="AE98" s="58" t="s">
        <v>15</v>
      </c>
      <c r="AF98" s="58" t="s">
        <v>16</v>
      </c>
      <c r="AG98" s="58" t="s">
        <v>16</v>
      </c>
      <c r="AH98" s="58" t="s">
        <v>15</v>
      </c>
      <c r="AI98" s="58" t="s">
        <v>16</v>
      </c>
      <c r="AJ98" s="58" t="s">
        <v>16</v>
      </c>
      <c r="AK98" s="9"/>
      <c r="AL98" s="58" t="s">
        <v>15</v>
      </c>
      <c r="AM98" s="58" t="s">
        <v>15</v>
      </c>
      <c r="AN98" s="58" t="s">
        <v>16</v>
      </c>
      <c r="AO98" s="58" t="s">
        <v>16</v>
      </c>
      <c r="AP98" s="58" t="s">
        <v>16</v>
      </c>
      <c r="AQ98" s="58" t="s">
        <v>16</v>
      </c>
      <c r="AR98" s="58" t="s">
        <v>16</v>
      </c>
      <c r="AS98" s="8">
        <f t="shared" si="5"/>
        <v>22</v>
      </c>
      <c r="AT98" s="8">
        <f t="shared" si="6"/>
        <v>15</v>
      </c>
      <c r="AU98" s="8">
        <f t="shared" si="7"/>
        <v>37</v>
      </c>
      <c r="AV98" s="32">
        <f t="shared" si="8"/>
        <v>59.45945946</v>
      </c>
      <c r="AW98" s="9"/>
    </row>
    <row r="99" ht="15.75" customHeight="1">
      <c r="A99" s="55">
        <v>92.0</v>
      </c>
      <c r="B99" s="59" t="s">
        <v>199</v>
      </c>
      <c r="C99" s="57" t="s">
        <v>200</v>
      </c>
      <c r="D99" s="30" t="s">
        <v>15</v>
      </c>
      <c r="E99" s="30" t="s">
        <v>16</v>
      </c>
      <c r="F99" s="30" t="s">
        <v>15</v>
      </c>
      <c r="G99" s="30" t="s">
        <v>16</v>
      </c>
      <c r="H99" s="30" t="s">
        <v>16</v>
      </c>
      <c r="I99" s="30" t="s">
        <v>16</v>
      </c>
      <c r="J99" s="30" t="s">
        <v>15</v>
      </c>
      <c r="K99" s="30" t="s">
        <v>16</v>
      </c>
      <c r="L99" s="30" t="s">
        <v>15</v>
      </c>
      <c r="M99" s="30" t="s">
        <v>16</v>
      </c>
      <c r="N99" s="30" t="s">
        <v>16</v>
      </c>
      <c r="O99" s="31" t="s">
        <v>16</v>
      </c>
      <c r="P99" s="31" t="s">
        <v>16</v>
      </c>
      <c r="Q99" s="31" t="s">
        <v>16</v>
      </c>
      <c r="R99" s="31" t="s">
        <v>15</v>
      </c>
      <c r="S99" s="31" t="s">
        <v>16</v>
      </c>
      <c r="T99" s="31" t="s">
        <v>16</v>
      </c>
      <c r="U99" s="31" t="s">
        <v>16</v>
      </c>
      <c r="V99" s="31" t="s">
        <v>16</v>
      </c>
      <c r="W99" s="31" t="s">
        <v>15</v>
      </c>
      <c r="X99" s="14"/>
      <c r="Y99" s="58" t="s">
        <v>16</v>
      </c>
      <c r="Z99" s="14"/>
      <c r="AA99" s="58" t="s">
        <v>16</v>
      </c>
      <c r="AB99" s="58" t="s">
        <v>16</v>
      </c>
      <c r="AC99" s="58" t="s">
        <v>16</v>
      </c>
      <c r="AD99" s="58" t="s">
        <v>16</v>
      </c>
      <c r="AE99" s="58" t="s">
        <v>15</v>
      </c>
      <c r="AF99" s="58" t="s">
        <v>15</v>
      </c>
      <c r="AG99" s="58" t="s">
        <v>15</v>
      </c>
      <c r="AH99" s="58" t="s">
        <v>15</v>
      </c>
      <c r="AI99" s="58" t="s">
        <v>15</v>
      </c>
      <c r="AJ99" s="58" t="s">
        <v>15</v>
      </c>
      <c r="AK99" s="9"/>
      <c r="AL99" s="58" t="s">
        <v>16</v>
      </c>
      <c r="AM99" s="58" t="s">
        <v>16</v>
      </c>
      <c r="AN99" s="58" t="s">
        <v>16</v>
      </c>
      <c r="AO99" s="58" t="s">
        <v>16</v>
      </c>
      <c r="AP99" s="58" t="s">
        <v>16</v>
      </c>
      <c r="AQ99" s="58" t="s">
        <v>16</v>
      </c>
      <c r="AR99" s="58" t="s">
        <v>16</v>
      </c>
      <c r="AS99" s="8">
        <f t="shared" si="5"/>
        <v>25</v>
      </c>
      <c r="AT99" s="8">
        <f t="shared" si="6"/>
        <v>12</v>
      </c>
      <c r="AU99" s="8">
        <f t="shared" si="7"/>
        <v>37</v>
      </c>
      <c r="AV99" s="32">
        <f t="shared" si="8"/>
        <v>67.56756757</v>
      </c>
      <c r="AW99" s="9"/>
    </row>
    <row r="100" ht="15.75" customHeight="1">
      <c r="A100" s="55">
        <v>93.0</v>
      </c>
      <c r="B100" s="64" t="s">
        <v>201</v>
      </c>
      <c r="C100" s="65" t="s">
        <v>202</v>
      </c>
      <c r="D100" s="30" t="s">
        <v>15</v>
      </c>
      <c r="E100" s="30" t="s">
        <v>16</v>
      </c>
      <c r="F100" s="30" t="s">
        <v>16</v>
      </c>
      <c r="G100" s="30" t="s">
        <v>15</v>
      </c>
      <c r="H100" s="30" t="s">
        <v>16</v>
      </c>
      <c r="I100" s="30" t="s">
        <v>16</v>
      </c>
      <c r="J100" s="30" t="s">
        <v>15</v>
      </c>
      <c r="K100" s="30" t="s">
        <v>16</v>
      </c>
      <c r="L100" s="30" t="s">
        <v>15</v>
      </c>
      <c r="M100" s="30" t="s">
        <v>16</v>
      </c>
      <c r="N100" s="30" t="s">
        <v>16</v>
      </c>
      <c r="O100" s="31" t="s">
        <v>16</v>
      </c>
      <c r="P100" s="31" t="s">
        <v>16</v>
      </c>
      <c r="Q100" s="31" t="s">
        <v>16</v>
      </c>
      <c r="R100" s="31" t="s">
        <v>16</v>
      </c>
      <c r="S100" s="31" t="s">
        <v>15</v>
      </c>
      <c r="T100" s="31" t="s">
        <v>15</v>
      </c>
      <c r="U100" s="31" t="s">
        <v>16</v>
      </c>
      <c r="V100" s="31" t="s">
        <v>16</v>
      </c>
      <c r="W100" s="31" t="s">
        <v>16</v>
      </c>
      <c r="X100" s="14"/>
      <c r="Y100" s="58" t="s">
        <v>15</v>
      </c>
      <c r="Z100" s="14"/>
      <c r="AA100" s="58" t="s">
        <v>16</v>
      </c>
      <c r="AB100" s="58" t="s">
        <v>16</v>
      </c>
      <c r="AC100" s="58" t="s">
        <v>15</v>
      </c>
      <c r="AD100" s="58" t="s">
        <v>15</v>
      </c>
      <c r="AE100" s="58" t="s">
        <v>15</v>
      </c>
      <c r="AF100" s="58" t="s">
        <v>15</v>
      </c>
      <c r="AG100" s="58" t="s">
        <v>16</v>
      </c>
      <c r="AH100" s="58" t="s">
        <v>15</v>
      </c>
      <c r="AI100" s="58" t="s">
        <v>15</v>
      </c>
      <c r="AJ100" s="58" t="s">
        <v>16</v>
      </c>
      <c r="AK100" s="9"/>
      <c r="AL100" s="58" t="s">
        <v>15</v>
      </c>
      <c r="AM100" s="58" t="s">
        <v>15</v>
      </c>
      <c r="AN100" s="58" t="s">
        <v>16</v>
      </c>
      <c r="AO100" s="58" t="s">
        <v>16</v>
      </c>
      <c r="AP100" s="58" t="s">
        <v>16</v>
      </c>
      <c r="AQ100" s="58" t="s">
        <v>16</v>
      </c>
      <c r="AR100" s="58" t="s">
        <v>16</v>
      </c>
      <c r="AS100" s="8">
        <f t="shared" si="5"/>
        <v>22</v>
      </c>
      <c r="AT100" s="8">
        <f t="shared" si="6"/>
        <v>15</v>
      </c>
      <c r="AU100" s="8">
        <f t="shared" si="7"/>
        <v>37</v>
      </c>
      <c r="AV100" s="32">
        <f t="shared" si="8"/>
        <v>59.45945946</v>
      </c>
      <c r="AW100" s="9"/>
    </row>
    <row r="101" ht="15.75" customHeight="1">
      <c r="A101" s="55">
        <v>94.0</v>
      </c>
      <c r="B101" s="59" t="s">
        <v>203</v>
      </c>
      <c r="C101" s="57" t="s">
        <v>204</v>
      </c>
      <c r="D101" s="30" t="s">
        <v>15</v>
      </c>
      <c r="E101" s="30" t="s">
        <v>16</v>
      </c>
      <c r="F101" s="30" t="s">
        <v>16</v>
      </c>
      <c r="G101" s="30" t="s">
        <v>15</v>
      </c>
      <c r="H101" s="30" t="s">
        <v>16</v>
      </c>
      <c r="I101" s="30" t="s">
        <v>15</v>
      </c>
      <c r="J101" s="30" t="s">
        <v>15</v>
      </c>
      <c r="K101" s="30" t="s">
        <v>16</v>
      </c>
      <c r="L101" s="30" t="s">
        <v>15</v>
      </c>
      <c r="M101" s="30" t="s">
        <v>16</v>
      </c>
      <c r="N101" s="30" t="s">
        <v>16</v>
      </c>
      <c r="O101" s="31" t="s">
        <v>16</v>
      </c>
      <c r="P101" s="31" t="s">
        <v>15</v>
      </c>
      <c r="Q101" s="31" t="s">
        <v>16</v>
      </c>
      <c r="R101" s="31" t="s">
        <v>16</v>
      </c>
      <c r="S101" s="31" t="s">
        <v>15</v>
      </c>
      <c r="T101" s="31" t="s">
        <v>16</v>
      </c>
      <c r="U101" s="31" t="s">
        <v>16</v>
      </c>
      <c r="V101" s="31" t="s">
        <v>15</v>
      </c>
      <c r="W101" s="31" t="s">
        <v>16</v>
      </c>
      <c r="X101" s="14"/>
      <c r="Y101" s="58" t="s">
        <v>15</v>
      </c>
      <c r="Z101" s="14"/>
      <c r="AA101" s="58" t="s">
        <v>16</v>
      </c>
      <c r="AB101" s="58" t="s">
        <v>15</v>
      </c>
      <c r="AC101" s="58" t="s">
        <v>16</v>
      </c>
      <c r="AD101" s="58" t="s">
        <v>15</v>
      </c>
      <c r="AE101" s="58" t="s">
        <v>15</v>
      </c>
      <c r="AF101" s="58" t="s">
        <v>15</v>
      </c>
      <c r="AG101" s="58" t="s">
        <v>16</v>
      </c>
      <c r="AH101" s="58" t="s">
        <v>16</v>
      </c>
      <c r="AI101" s="58" t="s">
        <v>16</v>
      </c>
      <c r="AJ101" s="58" t="s">
        <v>16</v>
      </c>
      <c r="AK101" s="9"/>
      <c r="AL101" s="58" t="s">
        <v>16</v>
      </c>
      <c r="AM101" s="58" t="s">
        <v>15</v>
      </c>
      <c r="AN101" s="58" t="s">
        <v>15</v>
      </c>
      <c r="AO101" s="58" t="s">
        <v>16</v>
      </c>
      <c r="AP101" s="58" t="s">
        <v>16</v>
      </c>
      <c r="AQ101" s="58" t="s">
        <v>15</v>
      </c>
      <c r="AR101" s="58" t="s">
        <v>16</v>
      </c>
      <c r="AS101" s="8">
        <f t="shared" si="5"/>
        <v>21</v>
      </c>
      <c r="AT101" s="8">
        <f t="shared" si="6"/>
        <v>16</v>
      </c>
      <c r="AU101" s="8">
        <f t="shared" si="7"/>
        <v>37</v>
      </c>
      <c r="AV101" s="32">
        <f t="shared" si="8"/>
        <v>56.75675676</v>
      </c>
      <c r="AW101" s="9"/>
    </row>
    <row r="102" ht="15.75" customHeight="1">
      <c r="A102" s="55">
        <v>95.0</v>
      </c>
      <c r="B102" s="59" t="s">
        <v>205</v>
      </c>
      <c r="C102" s="57" t="s">
        <v>206</v>
      </c>
      <c r="D102" s="30" t="s">
        <v>15</v>
      </c>
      <c r="E102" s="30" t="s">
        <v>16</v>
      </c>
      <c r="F102" s="30" t="s">
        <v>15</v>
      </c>
      <c r="G102" s="30" t="s">
        <v>15</v>
      </c>
      <c r="H102" s="30" t="s">
        <v>16</v>
      </c>
      <c r="I102" s="30" t="s">
        <v>16</v>
      </c>
      <c r="J102" s="30" t="s">
        <v>15</v>
      </c>
      <c r="K102" s="30" t="s">
        <v>16</v>
      </c>
      <c r="L102" s="30" t="s">
        <v>15</v>
      </c>
      <c r="M102" s="30" t="s">
        <v>15</v>
      </c>
      <c r="N102" s="30" t="s">
        <v>16</v>
      </c>
      <c r="O102" s="31" t="s">
        <v>16</v>
      </c>
      <c r="P102" s="31" t="s">
        <v>15</v>
      </c>
      <c r="Q102" s="31" t="s">
        <v>16</v>
      </c>
      <c r="R102" s="31" t="s">
        <v>16</v>
      </c>
      <c r="S102" s="31" t="s">
        <v>16</v>
      </c>
      <c r="T102" s="31" t="s">
        <v>16</v>
      </c>
      <c r="U102" s="31" t="s">
        <v>16</v>
      </c>
      <c r="V102" s="31" t="s">
        <v>16</v>
      </c>
      <c r="W102" s="31" t="s">
        <v>16</v>
      </c>
      <c r="X102" s="14"/>
      <c r="Y102" s="58" t="s">
        <v>16</v>
      </c>
      <c r="Z102" s="14"/>
      <c r="AA102" s="58" t="s">
        <v>16</v>
      </c>
      <c r="AB102" s="58" t="s">
        <v>15</v>
      </c>
      <c r="AC102" s="58" t="s">
        <v>16</v>
      </c>
      <c r="AD102" s="58" t="s">
        <v>16</v>
      </c>
      <c r="AE102" s="58" t="s">
        <v>16</v>
      </c>
      <c r="AF102" s="58" t="s">
        <v>16</v>
      </c>
      <c r="AG102" s="58" t="s">
        <v>16</v>
      </c>
      <c r="AH102" s="58" t="s">
        <v>16</v>
      </c>
      <c r="AI102" s="58" t="s">
        <v>16</v>
      </c>
      <c r="AJ102" s="58" t="s">
        <v>16</v>
      </c>
      <c r="AK102" s="9"/>
      <c r="AL102" s="58" t="s">
        <v>16</v>
      </c>
      <c r="AM102" s="58" t="s">
        <v>15</v>
      </c>
      <c r="AN102" s="58" t="s">
        <v>16</v>
      </c>
      <c r="AO102" s="58" t="s">
        <v>16</v>
      </c>
      <c r="AP102" s="58" t="s">
        <v>16</v>
      </c>
      <c r="AQ102" s="58" t="s">
        <v>16</v>
      </c>
      <c r="AR102" s="58" t="s">
        <v>16</v>
      </c>
      <c r="AS102" s="8">
        <f t="shared" si="5"/>
        <v>28</v>
      </c>
      <c r="AT102" s="8">
        <f t="shared" si="6"/>
        <v>9</v>
      </c>
      <c r="AU102" s="8">
        <f t="shared" si="7"/>
        <v>37</v>
      </c>
      <c r="AV102" s="32">
        <f t="shared" si="8"/>
        <v>75.67567568</v>
      </c>
      <c r="AW102" s="9"/>
    </row>
    <row r="103" ht="15.75" customHeight="1">
      <c r="A103" s="55">
        <v>96.0</v>
      </c>
      <c r="B103" s="56" t="s">
        <v>207</v>
      </c>
      <c r="C103" s="57" t="s">
        <v>208</v>
      </c>
      <c r="D103" s="30" t="s">
        <v>16</v>
      </c>
      <c r="E103" s="30" t="s">
        <v>16</v>
      </c>
      <c r="F103" s="30" t="s">
        <v>15</v>
      </c>
      <c r="G103" s="30" t="s">
        <v>16</v>
      </c>
      <c r="H103" s="30" t="s">
        <v>16</v>
      </c>
      <c r="I103" s="30" t="s">
        <v>16</v>
      </c>
      <c r="J103" s="30" t="s">
        <v>15</v>
      </c>
      <c r="K103" s="30" t="s">
        <v>16</v>
      </c>
      <c r="L103" s="30" t="s">
        <v>15</v>
      </c>
      <c r="M103" s="30" t="s">
        <v>16</v>
      </c>
      <c r="N103" s="30" t="s">
        <v>15</v>
      </c>
      <c r="O103" s="31" t="s">
        <v>16</v>
      </c>
      <c r="P103" s="31" t="s">
        <v>15</v>
      </c>
      <c r="Q103" s="31" t="s">
        <v>15</v>
      </c>
      <c r="R103" s="31" t="s">
        <v>15</v>
      </c>
      <c r="S103" s="31" t="s">
        <v>15</v>
      </c>
      <c r="T103" s="31" t="s">
        <v>16</v>
      </c>
      <c r="U103" s="31" t="s">
        <v>16</v>
      </c>
      <c r="V103" s="31" t="s">
        <v>15</v>
      </c>
      <c r="W103" s="31" t="s">
        <v>15</v>
      </c>
      <c r="X103" s="14"/>
      <c r="Y103" s="58" t="s">
        <v>15</v>
      </c>
      <c r="Z103" s="14"/>
      <c r="AA103" s="58" t="s">
        <v>15</v>
      </c>
      <c r="AB103" s="58" t="s">
        <v>16</v>
      </c>
      <c r="AC103" s="58" t="s">
        <v>16</v>
      </c>
      <c r="AD103" s="58" t="s">
        <v>15</v>
      </c>
      <c r="AE103" s="58" t="s">
        <v>15</v>
      </c>
      <c r="AF103" s="58" t="s">
        <v>15</v>
      </c>
      <c r="AG103" s="58" t="s">
        <v>16</v>
      </c>
      <c r="AH103" s="58" t="s">
        <v>15</v>
      </c>
      <c r="AI103" s="58" t="s">
        <v>15</v>
      </c>
      <c r="AJ103" s="58" t="s">
        <v>15</v>
      </c>
      <c r="AK103" s="9"/>
      <c r="AL103" s="58" t="s">
        <v>16</v>
      </c>
      <c r="AM103" s="58" t="s">
        <v>15</v>
      </c>
      <c r="AN103" s="58" t="s">
        <v>16</v>
      </c>
      <c r="AO103" s="58" t="s">
        <v>16</v>
      </c>
      <c r="AP103" s="58" t="s">
        <v>15</v>
      </c>
      <c r="AQ103" s="58" t="s">
        <v>15</v>
      </c>
      <c r="AR103" s="58" t="s">
        <v>16</v>
      </c>
      <c r="AS103" s="8">
        <f t="shared" si="5"/>
        <v>16</v>
      </c>
      <c r="AT103" s="8">
        <f t="shared" si="6"/>
        <v>21</v>
      </c>
      <c r="AU103" s="8">
        <f t="shared" si="7"/>
        <v>37</v>
      </c>
      <c r="AV103" s="32">
        <f t="shared" si="8"/>
        <v>43.24324324</v>
      </c>
      <c r="AW103" s="9"/>
    </row>
    <row r="104" ht="15.75" customHeight="1">
      <c r="A104" s="55">
        <v>97.0</v>
      </c>
      <c r="B104" s="59" t="s">
        <v>209</v>
      </c>
      <c r="C104" s="57" t="s">
        <v>210</v>
      </c>
      <c r="D104" s="30" t="s">
        <v>15</v>
      </c>
      <c r="E104" s="30" t="s">
        <v>16</v>
      </c>
      <c r="F104" s="30" t="s">
        <v>16</v>
      </c>
      <c r="G104" s="30" t="s">
        <v>16</v>
      </c>
      <c r="H104" s="30" t="s">
        <v>16</v>
      </c>
      <c r="I104" s="30" t="s">
        <v>15</v>
      </c>
      <c r="J104" s="30" t="s">
        <v>15</v>
      </c>
      <c r="K104" s="30" t="s">
        <v>16</v>
      </c>
      <c r="L104" s="30" t="s">
        <v>15</v>
      </c>
      <c r="M104" s="30" t="s">
        <v>15</v>
      </c>
      <c r="N104" s="30" t="s">
        <v>15</v>
      </c>
      <c r="O104" s="31" t="s">
        <v>16</v>
      </c>
      <c r="P104" s="31" t="s">
        <v>15</v>
      </c>
      <c r="Q104" s="31" t="s">
        <v>16</v>
      </c>
      <c r="R104" s="31" t="s">
        <v>16</v>
      </c>
      <c r="S104" s="31" t="s">
        <v>16</v>
      </c>
      <c r="T104" s="31" t="s">
        <v>15</v>
      </c>
      <c r="U104" s="31" t="s">
        <v>16</v>
      </c>
      <c r="V104" s="31" t="s">
        <v>15</v>
      </c>
      <c r="W104" s="31" t="s">
        <v>16</v>
      </c>
      <c r="X104" s="14"/>
      <c r="Y104" s="58" t="s">
        <v>15</v>
      </c>
      <c r="Z104" s="14"/>
      <c r="AA104" s="58" t="s">
        <v>15</v>
      </c>
      <c r="AB104" s="58" t="s">
        <v>15</v>
      </c>
      <c r="AC104" s="58" t="s">
        <v>16</v>
      </c>
      <c r="AD104" s="58" t="s">
        <v>15</v>
      </c>
      <c r="AE104" s="58" t="s">
        <v>16</v>
      </c>
      <c r="AF104" s="58" t="s">
        <v>15</v>
      </c>
      <c r="AG104" s="58" t="s">
        <v>16</v>
      </c>
      <c r="AH104" s="58" t="s">
        <v>16</v>
      </c>
      <c r="AI104" s="58" t="s">
        <v>16</v>
      </c>
      <c r="AJ104" s="58" t="s">
        <v>16</v>
      </c>
      <c r="AK104" s="9"/>
      <c r="AL104" s="58" t="s">
        <v>15</v>
      </c>
      <c r="AM104" s="58" t="s">
        <v>15</v>
      </c>
      <c r="AN104" s="58" t="s">
        <v>16</v>
      </c>
      <c r="AO104" s="58" t="s">
        <v>16</v>
      </c>
      <c r="AP104" s="58" t="s">
        <v>16</v>
      </c>
      <c r="AQ104" s="58" t="s">
        <v>16</v>
      </c>
      <c r="AR104" s="58" t="s">
        <v>16</v>
      </c>
      <c r="AS104" s="8">
        <f t="shared" si="5"/>
        <v>21</v>
      </c>
      <c r="AT104" s="8">
        <f t="shared" si="6"/>
        <v>16</v>
      </c>
      <c r="AU104" s="8">
        <f t="shared" si="7"/>
        <v>37</v>
      </c>
      <c r="AV104" s="32">
        <f t="shared" si="8"/>
        <v>56.75675676</v>
      </c>
      <c r="AW104" s="9"/>
    </row>
    <row r="105" ht="15.75" customHeight="1">
      <c r="A105" s="55">
        <v>98.0</v>
      </c>
      <c r="B105" s="59" t="s">
        <v>211</v>
      </c>
      <c r="C105" s="57" t="s">
        <v>212</v>
      </c>
      <c r="D105" s="30" t="s">
        <v>15</v>
      </c>
      <c r="E105" s="30" t="s">
        <v>16</v>
      </c>
      <c r="F105" s="30" t="s">
        <v>16</v>
      </c>
      <c r="G105" s="30" t="s">
        <v>15</v>
      </c>
      <c r="H105" s="30" t="s">
        <v>16</v>
      </c>
      <c r="I105" s="30" t="s">
        <v>15</v>
      </c>
      <c r="J105" s="30" t="s">
        <v>15</v>
      </c>
      <c r="K105" s="30" t="s">
        <v>16</v>
      </c>
      <c r="L105" s="30" t="s">
        <v>15</v>
      </c>
      <c r="M105" s="30" t="s">
        <v>16</v>
      </c>
      <c r="N105" s="30" t="s">
        <v>16</v>
      </c>
      <c r="O105" s="31" t="s">
        <v>15</v>
      </c>
      <c r="P105" s="31" t="s">
        <v>15</v>
      </c>
      <c r="Q105" s="31" t="s">
        <v>15</v>
      </c>
      <c r="R105" s="31" t="s">
        <v>16</v>
      </c>
      <c r="S105" s="31" t="s">
        <v>16</v>
      </c>
      <c r="T105" s="31" t="s">
        <v>16</v>
      </c>
      <c r="U105" s="31" t="s">
        <v>16</v>
      </c>
      <c r="V105" s="31" t="s">
        <v>16</v>
      </c>
      <c r="W105" s="31" t="s">
        <v>15</v>
      </c>
      <c r="X105" s="14"/>
      <c r="Y105" s="58" t="s">
        <v>15</v>
      </c>
      <c r="Z105" s="14"/>
      <c r="AA105" s="58" t="s">
        <v>16</v>
      </c>
      <c r="AB105" s="58" t="s">
        <v>15</v>
      </c>
      <c r="AC105" s="58" t="s">
        <v>16</v>
      </c>
      <c r="AD105" s="58" t="s">
        <v>16</v>
      </c>
      <c r="AE105" s="58" t="s">
        <v>16</v>
      </c>
      <c r="AF105" s="58" t="s">
        <v>15</v>
      </c>
      <c r="AG105" s="58" t="s">
        <v>16</v>
      </c>
      <c r="AH105" s="58" t="s">
        <v>15</v>
      </c>
      <c r="AI105" s="58" t="s">
        <v>16</v>
      </c>
      <c r="AJ105" s="58" t="s">
        <v>16</v>
      </c>
      <c r="AK105" s="9"/>
      <c r="AL105" s="58" t="s">
        <v>16</v>
      </c>
      <c r="AM105" s="58" t="s">
        <v>15</v>
      </c>
      <c r="AN105" s="58" t="s">
        <v>15</v>
      </c>
      <c r="AO105" s="58" t="s">
        <v>16</v>
      </c>
      <c r="AP105" s="58" t="s">
        <v>16</v>
      </c>
      <c r="AQ105" s="58" t="s">
        <v>16</v>
      </c>
      <c r="AR105" s="58" t="s">
        <v>16</v>
      </c>
      <c r="AS105" s="8">
        <f t="shared" si="5"/>
        <v>22</v>
      </c>
      <c r="AT105" s="8">
        <f t="shared" si="6"/>
        <v>15</v>
      </c>
      <c r="AU105" s="8">
        <f t="shared" si="7"/>
        <v>37</v>
      </c>
      <c r="AV105" s="32">
        <f t="shared" si="8"/>
        <v>59.45945946</v>
      </c>
      <c r="AW105" s="9"/>
    </row>
    <row r="106" ht="15.75" customHeight="1">
      <c r="A106" s="55">
        <v>99.0</v>
      </c>
      <c r="B106" s="56" t="s">
        <v>213</v>
      </c>
      <c r="C106" s="57" t="s">
        <v>214</v>
      </c>
      <c r="D106" s="30" t="s">
        <v>16</v>
      </c>
      <c r="E106" s="30" t="s">
        <v>16</v>
      </c>
      <c r="F106" s="30" t="s">
        <v>15</v>
      </c>
      <c r="G106" s="30" t="s">
        <v>16</v>
      </c>
      <c r="H106" s="30" t="s">
        <v>16</v>
      </c>
      <c r="I106" s="30" t="s">
        <v>15</v>
      </c>
      <c r="J106" s="30" t="s">
        <v>15</v>
      </c>
      <c r="K106" s="30" t="s">
        <v>16</v>
      </c>
      <c r="L106" s="30" t="s">
        <v>15</v>
      </c>
      <c r="M106" s="30" t="s">
        <v>15</v>
      </c>
      <c r="N106" s="30" t="s">
        <v>15</v>
      </c>
      <c r="O106" s="31" t="s">
        <v>16</v>
      </c>
      <c r="P106" s="31" t="s">
        <v>15</v>
      </c>
      <c r="Q106" s="31" t="s">
        <v>16</v>
      </c>
      <c r="R106" s="31" t="s">
        <v>16</v>
      </c>
      <c r="S106" s="31" t="s">
        <v>16</v>
      </c>
      <c r="T106" s="31" t="s">
        <v>16</v>
      </c>
      <c r="U106" s="31" t="s">
        <v>16</v>
      </c>
      <c r="V106" s="31" t="s">
        <v>15</v>
      </c>
      <c r="W106" s="31" t="s">
        <v>16</v>
      </c>
      <c r="X106" s="14"/>
      <c r="Y106" s="58" t="s">
        <v>15</v>
      </c>
      <c r="Z106" s="14"/>
      <c r="AA106" s="58" t="s">
        <v>15</v>
      </c>
      <c r="AB106" s="58" t="s">
        <v>16</v>
      </c>
      <c r="AC106" s="58" t="s">
        <v>16</v>
      </c>
      <c r="AD106" s="58" t="s">
        <v>15</v>
      </c>
      <c r="AE106" s="58" t="s">
        <v>15</v>
      </c>
      <c r="AF106" s="58" t="s">
        <v>16</v>
      </c>
      <c r="AG106" s="58" t="s">
        <v>16</v>
      </c>
      <c r="AH106" s="58" t="s">
        <v>16</v>
      </c>
      <c r="AI106" s="58" t="s">
        <v>16</v>
      </c>
      <c r="AJ106" s="58" t="s">
        <v>16</v>
      </c>
      <c r="AK106" s="9"/>
      <c r="AL106" s="58" t="s">
        <v>16</v>
      </c>
      <c r="AM106" s="58" t="s">
        <v>15</v>
      </c>
      <c r="AN106" s="58" t="s">
        <v>16</v>
      </c>
      <c r="AO106" s="58" t="s">
        <v>16</v>
      </c>
      <c r="AP106" s="58" t="s">
        <v>16</v>
      </c>
      <c r="AQ106" s="58" t="s">
        <v>15</v>
      </c>
      <c r="AR106" s="58" t="s">
        <v>15</v>
      </c>
      <c r="AS106" s="8">
        <f t="shared" si="5"/>
        <v>23</v>
      </c>
      <c r="AT106" s="8">
        <f t="shared" si="6"/>
        <v>14</v>
      </c>
      <c r="AU106" s="8">
        <f t="shared" si="7"/>
        <v>37</v>
      </c>
      <c r="AV106" s="32">
        <f t="shared" si="8"/>
        <v>62.16216216</v>
      </c>
      <c r="AW106" s="9"/>
    </row>
    <row r="107" ht="15.75" customHeight="1">
      <c r="A107" s="55">
        <v>100.0</v>
      </c>
      <c r="B107" s="59" t="s">
        <v>215</v>
      </c>
      <c r="C107" s="57" t="s">
        <v>216</v>
      </c>
      <c r="D107" s="30" t="s">
        <v>15</v>
      </c>
      <c r="E107" s="30" t="s">
        <v>16</v>
      </c>
      <c r="F107" s="30" t="s">
        <v>16</v>
      </c>
      <c r="G107" s="30" t="s">
        <v>16</v>
      </c>
      <c r="H107" s="30" t="s">
        <v>16</v>
      </c>
      <c r="I107" s="30" t="s">
        <v>15</v>
      </c>
      <c r="J107" s="30" t="s">
        <v>16</v>
      </c>
      <c r="K107" s="30" t="s">
        <v>16</v>
      </c>
      <c r="L107" s="30" t="s">
        <v>15</v>
      </c>
      <c r="M107" s="30" t="s">
        <v>16</v>
      </c>
      <c r="N107" s="30" t="s">
        <v>15</v>
      </c>
      <c r="O107" s="31" t="s">
        <v>16</v>
      </c>
      <c r="P107" s="31" t="s">
        <v>16</v>
      </c>
      <c r="Q107" s="31" t="s">
        <v>16</v>
      </c>
      <c r="R107" s="31" t="s">
        <v>16</v>
      </c>
      <c r="S107" s="31" t="s">
        <v>15</v>
      </c>
      <c r="T107" s="31" t="s">
        <v>16</v>
      </c>
      <c r="U107" s="31" t="s">
        <v>16</v>
      </c>
      <c r="V107" s="31" t="s">
        <v>16</v>
      </c>
      <c r="W107" s="31" t="s">
        <v>15</v>
      </c>
      <c r="X107" s="14"/>
      <c r="Y107" s="58" t="s">
        <v>15</v>
      </c>
      <c r="Z107" s="14"/>
      <c r="AA107" s="58" t="s">
        <v>16</v>
      </c>
      <c r="AB107" s="58" t="s">
        <v>16</v>
      </c>
      <c r="AC107" s="58" t="s">
        <v>16</v>
      </c>
      <c r="AD107" s="58" t="s">
        <v>15</v>
      </c>
      <c r="AE107" s="58" t="s">
        <v>16</v>
      </c>
      <c r="AF107" s="58" t="s">
        <v>15</v>
      </c>
      <c r="AG107" s="58" t="s">
        <v>16</v>
      </c>
      <c r="AH107" s="58" t="s">
        <v>16</v>
      </c>
      <c r="AI107" s="58" t="s">
        <v>16</v>
      </c>
      <c r="AJ107" s="58" t="s">
        <v>16</v>
      </c>
      <c r="AK107" s="9"/>
      <c r="AL107" s="58" t="s">
        <v>16</v>
      </c>
      <c r="AM107" s="58" t="s">
        <v>15</v>
      </c>
      <c r="AN107" s="58" t="s">
        <v>16</v>
      </c>
      <c r="AO107" s="58" t="s">
        <v>16</v>
      </c>
      <c r="AP107" s="58" t="s">
        <v>16</v>
      </c>
      <c r="AQ107" s="58" t="s">
        <v>16</v>
      </c>
      <c r="AR107" s="58" t="s">
        <v>16</v>
      </c>
      <c r="AS107" s="8">
        <f t="shared" si="5"/>
        <v>27</v>
      </c>
      <c r="AT107" s="8">
        <f t="shared" si="6"/>
        <v>10</v>
      </c>
      <c r="AU107" s="8">
        <f t="shared" si="7"/>
        <v>37</v>
      </c>
      <c r="AV107" s="32">
        <f t="shared" si="8"/>
        <v>72.97297297</v>
      </c>
      <c r="AW107" s="9"/>
    </row>
    <row r="108" ht="15.75" customHeight="1">
      <c r="A108" s="55">
        <v>101.0</v>
      </c>
      <c r="B108" s="56" t="s">
        <v>217</v>
      </c>
      <c r="C108" s="57" t="s">
        <v>218</v>
      </c>
      <c r="D108" s="30" t="s">
        <v>15</v>
      </c>
      <c r="E108" s="30" t="s">
        <v>16</v>
      </c>
      <c r="F108" s="30" t="s">
        <v>15</v>
      </c>
      <c r="G108" s="30" t="s">
        <v>16</v>
      </c>
      <c r="H108" s="30" t="s">
        <v>16</v>
      </c>
      <c r="I108" s="30" t="s">
        <v>15</v>
      </c>
      <c r="J108" s="30" t="s">
        <v>16</v>
      </c>
      <c r="K108" s="30" t="s">
        <v>16</v>
      </c>
      <c r="L108" s="30" t="s">
        <v>15</v>
      </c>
      <c r="M108" s="30" t="s">
        <v>15</v>
      </c>
      <c r="N108" s="30" t="s">
        <v>16</v>
      </c>
      <c r="O108" s="31" t="s">
        <v>15</v>
      </c>
      <c r="P108" s="31" t="s">
        <v>15</v>
      </c>
      <c r="Q108" s="31" t="s">
        <v>15</v>
      </c>
      <c r="R108" s="31" t="s">
        <v>15</v>
      </c>
      <c r="S108" s="31" t="s">
        <v>16</v>
      </c>
      <c r="T108" s="31" t="s">
        <v>16</v>
      </c>
      <c r="U108" s="31" t="s">
        <v>16</v>
      </c>
      <c r="V108" s="31" t="s">
        <v>16</v>
      </c>
      <c r="W108" s="31" t="s">
        <v>16</v>
      </c>
      <c r="X108" s="14"/>
      <c r="Y108" s="58" t="s">
        <v>16</v>
      </c>
      <c r="Z108" s="14"/>
      <c r="AA108" s="58" t="s">
        <v>16</v>
      </c>
      <c r="AB108" s="58" t="s">
        <v>16</v>
      </c>
      <c r="AC108" s="58" t="s">
        <v>16</v>
      </c>
      <c r="AD108" s="58" t="s">
        <v>15</v>
      </c>
      <c r="AE108" s="58" t="s">
        <v>15</v>
      </c>
      <c r="AF108" s="58" t="s">
        <v>15</v>
      </c>
      <c r="AG108" s="58" t="s">
        <v>15</v>
      </c>
      <c r="AH108" s="58" t="s">
        <v>15</v>
      </c>
      <c r="AI108" s="58" t="s">
        <v>15</v>
      </c>
      <c r="AJ108" s="58" t="s">
        <v>16</v>
      </c>
      <c r="AK108" s="9"/>
      <c r="AL108" s="58" t="s">
        <v>16</v>
      </c>
      <c r="AM108" s="58" t="s">
        <v>16</v>
      </c>
      <c r="AN108" s="58" t="s">
        <v>16</v>
      </c>
      <c r="AO108" s="58" t="s">
        <v>16</v>
      </c>
      <c r="AP108" s="58" t="s">
        <v>16</v>
      </c>
      <c r="AQ108" s="58" t="s">
        <v>16</v>
      </c>
      <c r="AR108" s="58" t="s">
        <v>16</v>
      </c>
      <c r="AS108" s="8">
        <f t="shared" si="5"/>
        <v>22</v>
      </c>
      <c r="AT108" s="8">
        <f t="shared" si="6"/>
        <v>15</v>
      </c>
      <c r="AU108" s="8">
        <f t="shared" si="7"/>
        <v>37</v>
      </c>
      <c r="AV108" s="32">
        <f t="shared" si="8"/>
        <v>59.45945946</v>
      </c>
      <c r="AW108" s="9"/>
    </row>
    <row r="109" ht="15.75" customHeight="1">
      <c r="A109" s="55">
        <v>102.0</v>
      </c>
      <c r="B109" s="59" t="s">
        <v>219</v>
      </c>
      <c r="C109" s="57" t="s">
        <v>220</v>
      </c>
      <c r="D109" s="30" t="s">
        <v>15</v>
      </c>
      <c r="E109" s="30" t="s">
        <v>16</v>
      </c>
      <c r="F109" s="30" t="s">
        <v>15</v>
      </c>
      <c r="G109" s="30" t="s">
        <v>16</v>
      </c>
      <c r="H109" s="30" t="s">
        <v>16</v>
      </c>
      <c r="I109" s="30" t="s">
        <v>15</v>
      </c>
      <c r="J109" s="30" t="s">
        <v>16</v>
      </c>
      <c r="K109" s="30" t="s">
        <v>16</v>
      </c>
      <c r="L109" s="30" t="s">
        <v>15</v>
      </c>
      <c r="M109" s="30" t="s">
        <v>16</v>
      </c>
      <c r="N109" s="30" t="s">
        <v>16</v>
      </c>
      <c r="O109" s="31" t="s">
        <v>16</v>
      </c>
      <c r="P109" s="31" t="s">
        <v>16</v>
      </c>
      <c r="Q109" s="31" t="s">
        <v>16</v>
      </c>
      <c r="R109" s="31" t="s">
        <v>15</v>
      </c>
      <c r="S109" s="31" t="s">
        <v>15</v>
      </c>
      <c r="T109" s="31" t="s">
        <v>16</v>
      </c>
      <c r="U109" s="31" t="s">
        <v>16</v>
      </c>
      <c r="V109" s="31" t="s">
        <v>15</v>
      </c>
      <c r="W109" s="31" t="s">
        <v>16</v>
      </c>
      <c r="X109" s="14"/>
      <c r="Y109" s="58" t="s">
        <v>16</v>
      </c>
      <c r="Z109" s="14"/>
      <c r="AA109" s="58" t="s">
        <v>16</v>
      </c>
      <c r="AB109" s="58" t="s">
        <v>15</v>
      </c>
      <c r="AC109" s="58" t="s">
        <v>16</v>
      </c>
      <c r="AD109" s="58" t="s">
        <v>15</v>
      </c>
      <c r="AE109" s="58" t="s">
        <v>15</v>
      </c>
      <c r="AF109" s="58" t="s">
        <v>15</v>
      </c>
      <c r="AG109" s="58" t="s">
        <v>15</v>
      </c>
      <c r="AH109" s="58" t="s">
        <v>15</v>
      </c>
      <c r="AI109" s="58" t="s">
        <v>16</v>
      </c>
      <c r="AJ109" s="58" t="s">
        <v>15</v>
      </c>
      <c r="AK109" s="9"/>
      <c r="AL109" s="58" t="s">
        <v>16</v>
      </c>
      <c r="AM109" s="58" t="s">
        <v>16</v>
      </c>
      <c r="AN109" s="58" t="s">
        <v>16</v>
      </c>
      <c r="AO109" s="58" t="s">
        <v>16</v>
      </c>
      <c r="AP109" s="58" t="s">
        <v>16</v>
      </c>
      <c r="AQ109" s="58" t="s">
        <v>16</v>
      </c>
      <c r="AR109" s="58" t="s">
        <v>16</v>
      </c>
      <c r="AS109" s="8">
        <f t="shared" si="5"/>
        <v>23</v>
      </c>
      <c r="AT109" s="8">
        <f t="shared" si="6"/>
        <v>14</v>
      </c>
      <c r="AU109" s="8">
        <f t="shared" si="7"/>
        <v>37</v>
      </c>
      <c r="AV109" s="32">
        <f t="shared" si="8"/>
        <v>62.16216216</v>
      </c>
      <c r="AW109" s="9"/>
    </row>
    <row r="110" ht="15.75" customHeight="1">
      <c r="A110" s="55">
        <v>103.0</v>
      </c>
      <c r="B110" s="59" t="s">
        <v>221</v>
      </c>
      <c r="C110" s="57" t="s">
        <v>222</v>
      </c>
      <c r="D110" s="30" t="s">
        <v>16</v>
      </c>
      <c r="E110" s="30" t="s">
        <v>16</v>
      </c>
      <c r="F110" s="30" t="s">
        <v>16</v>
      </c>
      <c r="G110" s="30" t="s">
        <v>15</v>
      </c>
      <c r="H110" s="30" t="s">
        <v>16</v>
      </c>
      <c r="I110" s="30" t="s">
        <v>15</v>
      </c>
      <c r="J110" s="30" t="s">
        <v>15</v>
      </c>
      <c r="K110" s="30" t="s">
        <v>16</v>
      </c>
      <c r="L110" s="30" t="s">
        <v>15</v>
      </c>
      <c r="M110" s="30" t="s">
        <v>16</v>
      </c>
      <c r="N110" s="30" t="s">
        <v>16</v>
      </c>
      <c r="O110" s="31" t="s">
        <v>16</v>
      </c>
      <c r="P110" s="31" t="s">
        <v>16</v>
      </c>
      <c r="Q110" s="31" t="s">
        <v>16</v>
      </c>
      <c r="R110" s="31" t="s">
        <v>16</v>
      </c>
      <c r="S110" s="31" t="s">
        <v>16</v>
      </c>
      <c r="T110" s="31" t="s">
        <v>16</v>
      </c>
      <c r="U110" s="31" t="s">
        <v>16</v>
      </c>
      <c r="V110" s="31" t="s">
        <v>16</v>
      </c>
      <c r="W110" s="31" t="s">
        <v>16</v>
      </c>
      <c r="X110" s="14"/>
      <c r="Y110" s="58" t="s">
        <v>15</v>
      </c>
      <c r="Z110" s="14"/>
      <c r="AA110" s="58" t="s">
        <v>16</v>
      </c>
      <c r="AB110" s="58" t="s">
        <v>16</v>
      </c>
      <c r="AC110" s="58" t="s">
        <v>16</v>
      </c>
      <c r="AD110" s="58" t="s">
        <v>15</v>
      </c>
      <c r="AE110" s="58" t="s">
        <v>15</v>
      </c>
      <c r="AF110" s="58" t="s">
        <v>15</v>
      </c>
      <c r="AG110" s="58" t="s">
        <v>16</v>
      </c>
      <c r="AH110" s="58" t="s">
        <v>16</v>
      </c>
      <c r="AI110" s="58" t="s">
        <v>15</v>
      </c>
      <c r="AJ110" s="58" t="s">
        <v>16</v>
      </c>
      <c r="AK110" s="9"/>
      <c r="AL110" s="58" t="s">
        <v>16</v>
      </c>
      <c r="AM110" s="58" t="s">
        <v>15</v>
      </c>
      <c r="AN110" s="58" t="s">
        <v>15</v>
      </c>
      <c r="AO110" s="58" t="s">
        <v>16</v>
      </c>
      <c r="AP110" s="58" t="s">
        <v>16</v>
      </c>
      <c r="AQ110" s="58" t="s">
        <v>16</v>
      </c>
      <c r="AR110" s="58" t="s">
        <v>16</v>
      </c>
      <c r="AS110" s="8">
        <f t="shared" si="5"/>
        <v>26</v>
      </c>
      <c r="AT110" s="8">
        <f t="shared" si="6"/>
        <v>11</v>
      </c>
      <c r="AU110" s="8">
        <f t="shared" si="7"/>
        <v>37</v>
      </c>
      <c r="AV110" s="32">
        <f t="shared" si="8"/>
        <v>70.27027027</v>
      </c>
      <c r="AW110" s="9"/>
    </row>
    <row r="111" ht="15.75" customHeight="1">
      <c r="A111" s="55">
        <v>104.0</v>
      </c>
      <c r="B111" s="59" t="s">
        <v>223</v>
      </c>
      <c r="C111" s="57" t="s">
        <v>224</v>
      </c>
      <c r="D111" s="30" t="s">
        <v>16</v>
      </c>
      <c r="E111" s="30" t="s">
        <v>16</v>
      </c>
      <c r="F111" s="30" t="s">
        <v>16</v>
      </c>
      <c r="G111" s="30" t="s">
        <v>15</v>
      </c>
      <c r="H111" s="30" t="s">
        <v>16</v>
      </c>
      <c r="I111" s="30" t="s">
        <v>16</v>
      </c>
      <c r="J111" s="30" t="s">
        <v>16</v>
      </c>
      <c r="K111" s="30" t="s">
        <v>16</v>
      </c>
      <c r="L111" s="30" t="s">
        <v>15</v>
      </c>
      <c r="M111" s="30" t="s">
        <v>16</v>
      </c>
      <c r="N111" s="30" t="s">
        <v>16</v>
      </c>
      <c r="O111" s="31" t="s">
        <v>16</v>
      </c>
      <c r="P111" s="31" t="s">
        <v>16</v>
      </c>
      <c r="Q111" s="31" t="s">
        <v>15</v>
      </c>
      <c r="R111" s="31" t="s">
        <v>15</v>
      </c>
      <c r="S111" s="31" t="s">
        <v>16</v>
      </c>
      <c r="T111" s="31" t="s">
        <v>16</v>
      </c>
      <c r="U111" s="31" t="s">
        <v>15</v>
      </c>
      <c r="V111" s="31" t="s">
        <v>16</v>
      </c>
      <c r="W111" s="31" t="s">
        <v>16</v>
      </c>
      <c r="X111" s="14"/>
      <c r="Y111" s="58" t="s">
        <v>15</v>
      </c>
      <c r="Z111" s="14"/>
      <c r="AA111" s="58" t="s">
        <v>15</v>
      </c>
      <c r="AB111" s="58" t="s">
        <v>16</v>
      </c>
      <c r="AC111" s="58" t="s">
        <v>16</v>
      </c>
      <c r="AD111" s="58" t="s">
        <v>16</v>
      </c>
      <c r="AE111" s="58" t="s">
        <v>16</v>
      </c>
      <c r="AF111" s="58" t="s">
        <v>16</v>
      </c>
      <c r="AG111" s="58" t="s">
        <v>16</v>
      </c>
      <c r="AH111" s="58" t="s">
        <v>16</v>
      </c>
      <c r="AI111" s="58" t="s">
        <v>16</v>
      </c>
      <c r="AJ111" s="58" t="s">
        <v>16</v>
      </c>
      <c r="AK111" s="9"/>
      <c r="AL111" s="58" t="s">
        <v>16</v>
      </c>
      <c r="AM111" s="58" t="s">
        <v>15</v>
      </c>
      <c r="AN111" s="58" t="s">
        <v>15</v>
      </c>
      <c r="AO111" s="58" t="s">
        <v>16</v>
      </c>
      <c r="AP111" s="58" t="s">
        <v>16</v>
      </c>
      <c r="AQ111" s="58" t="s">
        <v>16</v>
      </c>
      <c r="AR111" s="58" t="s">
        <v>15</v>
      </c>
      <c r="AS111" s="8">
        <f t="shared" si="5"/>
        <v>28</v>
      </c>
      <c r="AT111" s="8">
        <f t="shared" si="6"/>
        <v>9</v>
      </c>
      <c r="AU111" s="8">
        <f t="shared" si="7"/>
        <v>37</v>
      </c>
      <c r="AV111" s="32">
        <f t="shared" si="8"/>
        <v>75.67567568</v>
      </c>
      <c r="AW111" s="9"/>
    </row>
    <row r="112" ht="15.75" customHeight="1">
      <c r="A112" s="55">
        <v>105.0</v>
      </c>
      <c r="B112" s="59" t="s">
        <v>225</v>
      </c>
      <c r="C112" s="57" t="s">
        <v>226</v>
      </c>
      <c r="D112" s="30" t="s">
        <v>15</v>
      </c>
      <c r="E112" s="30" t="s">
        <v>16</v>
      </c>
      <c r="F112" s="30" t="s">
        <v>15</v>
      </c>
      <c r="G112" s="30" t="s">
        <v>16</v>
      </c>
      <c r="H112" s="30" t="s">
        <v>16</v>
      </c>
      <c r="I112" s="30" t="s">
        <v>15</v>
      </c>
      <c r="J112" s="30" t="s">
        <v>16</v>
      </c>
      <c r="K112" s="30" t="s">
        <v>16</v>
      </c>
      <c r="L112" s="30" t="s">
        <v>15</v>
      </c>
      <c r="M112" s="30" t="s">
        <v>16</v>
      </c>
      <c r="N112" s="30" t="s">
        <v>15</v>
      </c>
      <c r="O112" s="31" t="s">
        <v>16</v>
      </c>
      <c r="P112" s="31" t="s">
        <v>16</v>
      </c>
      <c r="Q112" s="31" t="s">
        <v>16</v>
      </c>
      <c r="R112" s="31" t="s">
        <v>15</v>
      </c>
      <c r="S112" s="31" t="s">
        <v>16</v>
      </c>
      <c r="T112" s="31" t="s">
        <v>15</v>
      </c>
      <c r="U112" s="31" t="s">
        <v>16</v>
      </c>
      <c r="V112" s="31" t="s">
        <v>16</v>
      </c>
      <c r="W112" s="31" t="s">
        <v>16</v>
      </c>
      <c r="X112" s="14"/>
      <c r="Y112" s="58" t="s">
        <v>15</v>
      </c>
      <c r="Z112" s="14"/>
      <c r="AA112" s="58" t="s">
        <v>16</v>
      </c>
      <c r="AB112" s="58" t="s">
        <v>16</v>
      </c>
      <c r="AC112" s="58" t="s">
        <v>16</v>
      </c>
      <c r="AD112" s="58" t="s">
        <v>15</v>
      </c>
      <c r="AE112" s="58" t="s">
        <v>15</v>
      </c>
      <c r="AF112" s="58" t="s">
        <v>15</v>
      </c>
      <c r="AG112" s="58" t="s">
        <v>16</v>
      </c>
      <c r="AH112" s="58" t="s">
        <v>16</v>
      </c>
      <c r="AI112" s="58" t="s">
        <v>16</v>
      </c>
      <c r="AJ112" s="58" t="s">
        <v>16</v>
      </c>
      <c r="AK112" s="9"/>
      <c r="AL112" s="58" t="s">
        <v>16</v>
      </c>
      <c r="AM112" s="58" t="s">
        <v>15</v>
      </c>
      <c r="AN112" s="58" t="s">
        <v>15</v>
      </c>
      <c r="AO112" s="58" t="s">
        <v>16</v>
      </c>
      <c r="AP112" s="58" t="s">
        <v>15</v>
      </c>
      <c r="AQ112" s="58" t="s">
        <v>16</v>
      </c>
      <c r="AR112" s="58" t="s">
        <v>16</v>
      </c>
      <c r="AS112" s="8">
        <f t="shared" si="5"/>
        <v>23</v>
      </c>
      <c r="AT112" s="8">
        <f t="shared" si="6"/>
        <v>14</v>
      </c>
      <c r="AU112" s="8">
        <f t="shared" si="7"/>
        <v>37</v>
      </c>
      <c r="AV112" s="32">
        <f t="shared" si="8"/>
        <v>62.16216216</v>
      </c>
      <c r="AW112" s="9"/>
    </row>
    <row r="113" ht="15.75" customHeight="1">
      <c r="A113" s="55">
        <v>106.0</v>
      </c>
      <c r="B113" s="59" t="s">
        <v>227</v>
      </c>
      <c r="C113" s="57" t="s">
        <v>228</v>
      </c>
      <c r="D113" s="30" t="s">
        <v>15</v>
      </c>
      <c r="E113" s="30" t="s">
        <v>16</v>
      </c>
      <c r="F113" s="30" t="s">
        <v>15</v>
      </c>
      <c r="G113" s="30" t="s">
        <v>15</v>
      </c>
      <c r="H113" s="30" t="s">
        <v>16</v>
      </c>
      <c r="I113" s="30" t="s">
        <v>15</v>
      </c>
      <c r="J113" s="30" t="s">
        <v>15</v>
      </c>
      <c r="K113" s="30" t="s">
        <v>16</v>
      </c>
      <c r="L113" s="30" t="s">
        <v>15</v>
      </c>
      <c r="M113" s="30" t="s">
        <v>16</v>
      </c>
      <c r="N113" s="30" t="s">
        <v>16</v>
      </c>
      <c r="O113" s="31" t="s">
        <v>16</v>
      </c>
      <c r="P113" s="31" t="s">
        <v>16</v>
      </c>
      <c r="Q113" s="31" t="s">
        <v>15</v>
      </c>
      <c r="R113" s="31" t="s">
        <v>15</v>
      </c>
      <c r="S113" s="31" t="s">
        <v>15</v>
      </c>
      <c r="T113" s="31" t="s">
        <v>16</v>
      </c>
      <c r="U113" s="31" t="s">
        <v>16</v>
      </c>
      <c r="V113" s="31" t="s">
        <v>15</v>
      </c>
      <c r="W113" s="31" t="s">
        <v>16</v>
      </c>
      <c r="X113" s="14"/>
      <c r="Y113" s="58" t="s">
        <v>15</v>
      </c>
      <c r="Z113" s="14"/>
      <c r="AA113" s="58" t="s">
        <v>15</v>
      </c>
      <c r="AB113" s="58" t="s">
        <v>16</v>
      </c>
      <c r="AC113" s="58" t="s">
        <v>15</v>
      </c>
      <c r="AD113" s="58" t="s">
        <v>15</v>
      </c>
      <c r="AE113" s="58" t="s">
        <v>15</v>
      </c>
      <c r="AF113" s="58" t="s">
        <v>15</v>
      </c>
      <c r="AG113" s="58" t="s">
        <v>16</v>
      </c>
      <c r="AH113" s="58" t="s">
        <v>16</v>
      </c>
      <c r="AI113" s="58" t="s">
        <v>16</v>
      </c>
      <c r="AJ113" s="58" t="s">
        <v>16</v>
      </c>
      <c r="AK113" s="9"/>
      <c r="AL113" s="58" t="s">
        <v>16</v>
      </c>
      <c r="AM113" s="58" t="s">
        <v>16</v>
      </c>
      <c r="AN113" s="58" t="s">
        <v>16</v>
      </c>
      <c r="AO113" s="58" t="s">
        <v>16</v>
      </c>
      <c r="AP113" s="58" t="s">
        <v>16</v>
      </c>
      <c r="AQ113" s="58" t="s">
        <v>16</v>
      </c>
      <c r="AR113" s="58" t="s">
        <v>16</v>
      </c>
      <c r="AS113" s="8">
        <f t="shared" si="5"/>
        <v>21</v>
      </c>
      <c r="AT113" s="8">
        <f t="shared" si="6"/>
        <v>16</v>
      </c>
      <c r="AU113" s="8">
        <f t="shared" si="7"/>
        <v>37</v>
      </c>
      <c r="AV113" s="32">
        <f t="shared" si="8"/>
        <v>56.75675676</v>
      </c>
      <c r="AW113" s="9"/>
    </row>
    <row r="114" ht="15.75" customHeight="1">
      <c r="A114" s="55">
        <v>107.0</v>
      </c>
      <c r="B114" s="59" t="s">
        <v>229</v>
      </c>
      <c r="C114" s="57" t="s">
        <v>230</v>
      </c>
      <c r="D114" s="30" t="s">
        <v>15</v>
      </c>
      <c r="E114" s="30" t="s">
        <v>16</v>
      </c>
      <c r="F114" s="30" t="s">
        <v>15</v>
      </c>
      <c r="G114" s="30" t="s">
        <v>16</v>
      </c>
      <c r="H114" s="30" t="s">
        <v>16</v>
      </c>
      <c r="I114" s="30" t="s">
        <v>15</v>
      </c>
      <c r="J114" s="30" t="s">
        <v>15</v>
      </c>
      <c r="K114" s="30" t="s">
        <v>16</v>
      </c>
      <c r="L114" s="30" t="s">
        <v>15</v>
      </c>
      <c r="M114" s="30" t="s">
        <v>16</v>
      </c>
      <c r="N114" s="30" t="s">
        <v>16</v>
      </c>
      <c r="O114" s="31" t="s">
        <v>16</v>
      </c>
      <c r="P114" s="31" t="s">
        <v>15</v>
      </c>
      <c r="Q114" s="31" t="s">
        <v>16</v>
      </c>
      <c r="R114" s="31" t="s">
        <v>16</v>
      </c>
      <c r="S114" s="31" t="s">
        <v>16</v>
      </c>
      <c r="T114" s="31" t="s">
        <v>16</v>
      </c>
      <c r="U114" s="31" t="s">
        <v>16</v>
      </c>
      <c r="V114" s="31" t="s">
        <v>16</v>
      </c>
      <c r="W114" s="31" t="s">
        <v>16</v>
      </c>
      <c r="X114" s="14"/>
      <c r="Y114" s="58" t="s">
        <v>15</v>
      </c>
      <c r="Z114" s="14"/>
      <c r="AA114" s="58" t="s">
        <v>16</v>
      </c>
      <c r="AB114" s="58" t="s">
        <v>15</v>
      </c>
      <c r="AC114" s="58" t="s">
        <v>16</v>
      </c>
      <c r="AD114" s="58" t="s">
        <v>16</v>
      </c>
      <c r="AE114" s="58" t="s">
        <v>15</v>
      </c>
      <c r="AF114" s="58" t="s">
        <v>15</v>
      </c>
      <c r="AG114" s="58" t="s">
        <v>16</v>
      </c>
      <c r="AH114" s="58" t="s">
        <v>16</v>
      </c>
      <c r="AI114" s="58" t="s">
        <v>16</v>
      </c>
      <c r="AJ114" s="58" t="s">
        <v>15</v>
      </c>
      <c r="AK114" s="9"/>
      <c r="AL114" s="58" t="s">
        <v>16</v>
      </c>
      <c r="AM114" s="58" t="s">
        <v>16</v>
      </c>
      <c r="AN114" s="58" t="s">
        <v>16</v>
      </c>
      <c r="AO114" s="58" t="s">
        <v>16</v>
      </c>
      <c r="AP114" s="58" t="s">
        <v>16</v>
      </c>
      <c r="AQ114" s="58" t="s">
        <v>16</v>
      </c>
      <c r="AR114" s="58" t="s">
        <v>16</v>
      </c>
      <c r="AS114" s="8">
        <f t="shared" si="5"/>
        <v>26</v>
      </c>
      <c r="AT114" s="8">
        <f t="shared" si="6"/>
        <v>11</v>
      </c>
      <c r="AU114" s="8">
        <f t="shared" si="7"/>
        <v>37</v>
      </c>
      <c r="AV114" s="32">
        <f t="shared" si="8"/>
        <v>70.27027027</v>
      </c>
      <c r="AW114" s="9"/>
    </row>
    <row r="115" ht="15.75" customHeight="1">
      <c r="A115" s="55">
        <v>108.0</v>
      </c>
      <c r="B115" s="59" t="s">
        <v>231</v>
      </c>
      <c r="C115" s="57" t="s">
        <v>232</v>
      </c>
      <c r="D115" s="30" t="s">
        <v>15</v>
      </c>
      <c r="E115" s="30" t="s">
        <v>16</v>
      </c>
      <c r="F115" s="30" t="s">
        <v>15</v>
      </c>
      <c r="G115" s="30" t="s">
        <v>15</v>
      </c>
      <c r="H115" s="30" t="s">
        <v>16</v>
      </c>
      <c r="I115" s="30" t="s">
        <v>15</v>
      </c>
      <c r="J115" s="30" t="s">
        <v>15</v>
      </c>
      <c r="K115" s="30" t="s">
        <v>16</v>
      </c>
      <c r="L115" s="30" t="s">
        <v>15</v>
      </c>
      <c r="M115" s="30" t="s">
        <v>16</v>
      </c>
      <c r="N115" s="30" t="s">
        <v>16</v>
      </c>
      <c r="O115" s="31" t="s">
        <v>16</v>
      </c>
      <c r="P115" s="31" t="s">
        <v>15</v>
      </c>
      <c r="Q115" s="31" t="s">
        <v>16</v>
      </c>
      <c r="R115" s="31" t="s">
        <v>16</v>
      </c>
      <c r="S115" s="31" t="s">
        <v>16</v>
      </c>
      <c r="T115" s="31" t="s">
        <v>16</v>
      </c>
      <c r="U115" s="31" t="s">
        <v>16</v>
      </c>
      <c r="V115" s="31" t="s">
        <v>15</v>
      </c>
      <c r="W115" s="31" t="s">
        <v>16</v>
      </c>
      <c r="X115" s="14"/>
      <c r="Y115" s="58" t="s">
        <v>15</v>
      </c>
      <c r="Z115" s="14"/>
      <c r="AA115" s="58" t="s">
        <v>15</v>
      </c>
      <c r="AB115" s="58" t="s">
        <v>15</v>
      </c>
      <c r="AC115" s="58" t="s">
        <v>15</v>
      </c>
      <c r="AD115" s="58" t="s">
        <v>15</v>
      </c>
      <c r="AE115" s="58" t="s">
        <v>15</v>
      </c>
      <c r="AF115" s="58" t="s">
        <v>15</v>
      </c>
      <c r="AG115" s="58" t="s">
        <v>16</v>
      </c>
      <c r="AH115" s="58" t="s">
        <v>16</v>
      </c>
      <c r="AI115" s="58" t="s">
        <v>16</v>
      </c>
      <c r="AJ115" s="58" t="s">
        <v>16</v>
      </c>
      <c r="AK115" s="9"/>
      <c r="AL115" s="58" t="s">
        <v>16</v>
      </c>
      <c r="AM115" s="58" t="s">
        <v>16</v>
      </c>
      <c r="AN115" s="58" t="s">
        <v>16</v>
      </c>
      <c r="AO115" s="58" t="s">
        <v>16</v>
      </c>
      <c r="AP115" s="58" t="s">
        <v>16</v>
      </c>
      <c r="AQ115" s="58" t="s">
        <v>16</v>
      </c>
      <c r="AR115" s="58" t="s">
        <v>16</v>
      </c>
      <c r="AS115" s="8">
        <f t="shared" si="5"/>
        <v>22</v>
      </c>
      <c r="AT115" s="8">
        <f t="shared" si="6"/>
        <v>15</v>
      </c>
      <c r="AU115" s="8">
        <f t="shared" si="7"/>
        <v>37</v>
      </c>
      <c r="AV115" s="32">
        <f t="shared" si="8"/>
        <v>59.45945946</v>
      </c>
      <c r="AW115" s="9"/>
    </row>
    <row r="116" ht="15.75" customHeight="1">
      <c r="A116" s="55">
        <v>109.0</v>
      </c>
      <c r="B116" s="59" t="s">
        <v>233</v>
      </c>
      <c r="C116" s="57" t="s">
        <v>234</v>
      </c>
      <c r="D116" s="30" t="s">
        <v>15</v>
      </c>
      <c r="E116" s="30" t="s">
        <v>16</v>
      </c>
      <c r="F116" s="30" t="s">
        <v>15</v>
      </c>
      <c r="G116" s="30" t="s">
        <v>15</v>
      </c>
      <c r="H116" s="30" t="s">
        <v>16</v>
      </c>
      <c r="I116" s="30" t="s">
        <v>15</v>
      </c>
      <c r="J116" s="30" t="s">
        <v>15</v>
      </c>
      <c r="K116" s="30" t="s">
        <v>16</v>
      </c>
      <c r="L116" s="30" t="s">
        <v>15</v>
      </c>
      <c r="M116" s="30" t="s">
        <v>15</v>
      </c>
      <c r="N116" s="30" t="s">
        <v>15</v>
      </c>
      <c r="O116" s="31" t="s">
        <v>16</v>
      </c>
      <c r="P116" s="31" t="s">
        <v>16</v>
      </c>
      <c r="Q116" s="31" t="s">
        <v>15</v>
      </c>
      <c r="R116" s="31" t="s">
        <v>15</v>
      </c>
      <c r="S116" s="31" t="s">
        <v>16</v>
      </c>
      <c r="T116" s="31" t="s">
        <v>16</v>
      </c>
      <c r="U116" s="31" t="s">
        <v>15</v>
      </c>
      <c r="V116" s="31" t="s">
        <v>15</v>
      </c>
      <c r="W116" s="31" t="s">
        <v>16</v>
      </c>
      <c r="X116" s="14"/>
      <c r="Y116" s="58" t="s">
        <v>15</v>
      </c>
      <c r="Z116" s="14"/>
      <c r="AA116" s="58" t="s">
        <v>16</v>
      </c>
      <c r="AB116" s="58" t="s">
        <v>16</v>
      </c>
      <c r="AC116" s="58" t="s">
        <v>15</v>
      </c>
      <c r="AD116" s="58" t="s">
        <v>16</v>
      </c>
      <c r="AE116" s="58" t="s">
        <v>15</v>
      </c>
      <c r="AF116" s="58" t="s">
        <v>15</v>
      </c>
      <c r="AG116" s="58" t="s">
        <v>16</v>
      </c>
      <c r="AH116" s="58" t="s">
        <v>15</v>
      </c>
      <c r="AI116" s="58" t="s">
        <v>16</v>
      </c>
      <c r="AJ116" s="58" t="s">
        <v>15</v>
      </c>
      <c r="AK116" s="9"/>
      <c r="AL116" s="58" t="s">
        <v>16</v>
      </c>
      <c r="AM116" s="58" t="s">
        <v>15</v>
      </c>
      <c r="AN116" s="58" t="s">
        <v>16</v>
      </c>
      <c r="AO116" s="58" t="s">
        <v>16</v>
      </c>
      <c r="AP116" s="58" t="s">
        <v>16</v>
      </c>
      <c r="AQ116" s="58" t="s">
        <v>15</v>
      </c>
      <c r="AR116" s="58" t="s">
        <v>16</v>
      </c>
      <c r="AS116" s="8">
        <f t="shared" si="5"/>
        <v>17</v>
      </c>
      <c r="AT116" s="8">
        <f t="shared" si="6"/>
        <v>20</v>
      </c>
      <c r="AU116" s="8">
        <f t="shared" si="7"/>
        <v>37</v>
      </c>
      <c r="AV116" s="32">
        <f t="shared" si="8"/>
        <v>45.94594595</v>
      </c>
      <c r="AW116" s="9"/>
    </row>
    <row r="117" ht="15.75" customHeight="1">
      <c r="A117" s="55">
        <v>110.0</v>
      </c>
      <c r="B117" s="59" t="s">
        <v>235</v>
      </c>
      <c r="C117" s="57" t="s">
        <v>236</v>
      </c>
      <c r="D117" s="30" t="s">
        <v>15</v>
      </c>
      <c r="E117" s="30" t="s">
        <v>16</v>
      </c>
      <c r="F117" s="30" t="s">
        <v>15</v>
      </c>
      <c r="G117" s="30" t="s">
        <v>15</v>
      </c>
      <c r="H117" s="30" t="s">
        <v>16</v>
      </c>
      <c r="I117" s="30" t="s">
        <v>15</v>
      </c>
      <c r="J117" s="30" t="s">
        <v>16</v>
      </c>
      <c r="K117" s="30" t="s">
        <v>16</v>
      </c>
      <c r="L117" s="30" t="s">
        <v>15</v>
      </c>
      <c r="M117" s="30" t="s">
        <v>16</v>
      </c>
      <c r="N117" s="30" t="s">
        <v>16</v>
      </c>
      <c r="O117" s="31" t="s">
        <v>15</v>
      </c>
      <c r="P117" s="31" t="s">
        <v>15</v>
      </c>
      <c r="Q117" s="31" t="s">
        <v>15</v>
      </c>
      <c r="R117" s="31" t="s">
        <v>16</v>
      </c>
      <c r="S117" s="31" t="s">
        <v>15</v>
      </c>
      <c r="T117" s="31" t="s">
        <v>15</v>
      </c>
      <c r="U117" s="31" t="s">
        <v>15</v>
      </c>
      <c r="V117" s="31" t="s">
        <v>15</v>
      </c>
      <c r="W117" s="31" t="s">
        <v>16</v>
      </c>
      <c r="X117" s="14"/>
      <c r="Y117" s="58" t="s">
        <v>15</v>
      </c>
      <c r="Z117" s="14"/>
      <c r="AA117" s="58" t="s">
        <v>16</v>
      </c>
      <c r="AB117" s="58" t="s">
        <v>15</v>
      </c>
      <c r="AC117" s="58" t="s">
        <v>16</v>
      </c>
      <c r="AD117" s="58" t="s">
        <v>15</v>
      </c>
      <c r="AE117" s="58" t="s">
        <v>16</v>
      </c>
      <c r="AF117" s="58" t="s">
        <v>16</v>
      </c>
      <c r="AG117" s="58" t="s">
        <v>16</v>
      </c>
      <c r="AH117" s="58" t="s">
        <v>15</v>
      </c>
      <c r="AI117" s="58" t="s">
        <v>16</v>
      </c>
      <c r="AJ117" s="58" t="s">
        <v>16</v>
      </c>
      <c r="AK117" s="9"/>
      <c r="AL117" s="58" t="s">
        <v>16</v>
      </c>
      <c r="AM117" s="58" t="s">
        <v>15</v>
      </c>
      <c r="AN117" s="58" t="s">
        <v>16</v>
      </c>
      <c r="AO117" s="58" t="s">
        <v>16</v>
      </c>
      <c r="AP117" s="58" t="s">
        <v>16</v>
      </c>
      <c r="AQ117" s="58" t="s">
        <v>16</v>
      </c>
      <c r="AR117" s="58" t="s">
        <v>16</v>
      </c>
      <c r="AS117" s="8">
        <f t="shared" si="5"/>
        <v>20</v>
      </c>
      <c r="AT117" s="8">
        <f t="shared" si="6"/>
        <v>17</v>
      </c>
      <c r="AU117" s="8">
        <f t="shared" si="7"/>
        <v>37</v>
      </c>
      <c r="AV117" s="32">
        <f t="shared" si="8"/>
        <v>54.05405405</v>
      </c>
      <c r="AW117" s="9"/>
    </row>
    <row r="118" ht="15.75" customHeight="1">
      <c r="A118" s="55">
        <v>111.0</v>
      </c>
      <c r="B118" s="59" t="s">
        <v>237</v>
      </c>
      <c r="C118" s="57" t="s">
        <v>238</v>
      </c>
      <c r="D118" s="30" t="s">
        <v>15</v>
      </c>
      <c r="E118" s="30" t="s">
        <v>16</v>
      </c>
      <c r="F118" s="30" t="s">
        <v>16</v>
      </c>
      <c r="G118" s="30" t="s">
        <v>16</v>
      </c>
      <c r="H118" s="30" t="s">
        <v>16</v>
      </c>
      <c r="I118" s="30" t="s">
        <v>15</v>
      </c>
      <c r="J118" s="30" t="s">
        <v>16</v>
      </c>
      <c r="K118" s="30" t="s">
        <v>16</v>
      </c>
      <c r="L118" s="30" t="s">
        <v>15</v>
      </c>
      <c r="M118" s="30" t="s">
        <v>15</v>
      </c>
      <c r="N118" s="30" t="s">
        <v>15</v>
      </c>
      <c r="O118" s="31" t="s">
        <v>16</v>
      </c>
      <c r="P118" s="31" t="s">
        <v>15</v>
      </c>
      <c r="Q118" s="31" t="s">
        <v>16</v>
      </c>
      <c r="R118" s="31" t="s">
        <v>16</v>
      </c>
      <c r="S118" s="31" t="s">
        <v>16</v>
      </c>
      <c r="T118" s="31" t="s">
        <v>16</v>
      </c>
      <c r="U118" s="31" t="s">
        <v>16</v>
      </c>
      <c r="V118" s="31" t="s">
        <v>15</v>
      </c>
      <c r="W118" s="31" t="s">
        <v>16</v>
      </c>
      <c r="X118" s="14"/>
      <c r="Y118" s="58" t="s">
        <v>15</v>
      </c>
      <c r="Z118" s="14"/>
      <c r="AA118" s="58" t="s">
        <v>15</v>
      </c>
      <c r="AB118" s="58" t="s">
        <v>16</v>
      </c>
      <c r="AC118" s="58" t="s">
        <v>16</v>
      </c>
      <c r="AD118" s="58" t="s">
        <v>15</v>
      </c>
      <c r="AE118" s="58" t="s">
        <v>15</v>
      </c>
      <c r="AF118" s="58" t="s">
        <v>15</v>
      </c>
      <c r="AG118" s="58" t="s">
        <v>16</v>
      </c>
      <c r="AH118" s="58" t="s">
        <v>15</v>
      </c>
      <c r="AI118" s="58" t="s">
        <v>16</v>
      </c>
      <c r="AJ118" s="58" t="s">
        <v>16</v>
      </c>
      <c r="AK118" s="9"/>
      <c r="AL118" s="58" t="s">
        <v>15</v>
      </c>
      <c r="AM118" s="58" t="s">
        <v>16</v>
      </c>
      <c r="AN118" s="58" t="s">
        <v>16</v>
      </c>
      <c r="AO118" s="58" t="s">
        <v>16</v>
      </c>
      <c r="AP118" s="58" t="s">
        <v>16</v>
      </c>
      <c r="AQ118" s="58" t="s">
        <v>16</v>
      </c>
      <c r="AR118" s="58" t="s">
        <v>16</v>
      </c>
      <c r="AS118" s="8">
        <f t="shared" si="5"/>
        <v>23</v>
      </c>
      <c r="AT118" s="8">
        <f t="shared" si="6"/>
        <v>14</v>
      </c>
      <c r="AU118" s="8">
        <f t="shared" si="7"/>
        <v>37</v>
      </c>
      <c r="AV118" s="32">
        <f t="shared" si="8"/>
        <v>62.16216216</v>
      </c>
      <c r="AW118" s="9"/>
    </row>
    <row r="119" ht="15.75" customHeight="1">
      <c r="A119" s="55">
        <v>112.0</v>
      </c>
      <c r="B119" s="66" t="s">
        <v>239</v>
      </c>
      <c r="C119" s="67" t="s">
        <v>240</v>
      </c>
      <c r="D119" s="30" t="s">
        <v>15</v>
      </c>
      <c r="E119" s="30" t="s">
        <v>16</v>
      </c>
      <c r="F119" s="30" t="s">
        <v>15</v>
      </c>
      <c r="G119" s="30" t="s">
        <v>15</v>
      </c>
      <c r="H119" s="30" t="s">
        <v>16</v>
      </c>
      <c r="I119" s="30" t="s">
        <v>15</v>
      </c>
      <c r="J119" s="30" t="s">
        <v>15</v>
      </c>
      <c r="K119" s="30" t="s">
        <v>16</v>
      </c>
      <c r="L119" s="30" t="s">
        <v>15</v>
      </c>
      <c r="M119" s="30" t="s">
        <v>15</v>
      </c>
      <c r="N119" s="30" t="s">
        <v>15</v>
      </c>
      <c r="O119" s="31" t="s">
        <v>15</v>
      </c>
      <c r="P119" s="31" t="s">
        <v>15</v>
      </c>
      <c r="Q119" s="31" t="s">
        <v>15</v>
      </c>
      <c r="R119" s="31" t="s">
        <v>15</v>
      </c>
      <c r="S119" s="31" t="s">
        <v>15</v>
      </c>
      <c r="T119" s="31" t="s">
        <v>15</v>
      </c>
      <c r="U119" s="31" t="s">
        <v>15</v>
      </c>
      <c r="V119" s="31" t="s">
        <v>15</v>
      </c>
      <c r="W119" s="31" t="s">
        <v>15</v>
      </c>
      <c r="X119" s="14"/>
      <c r="Y119" s="58" t="s">
        <v>15</v>
      </c>
      <c r="Z119" s="14"/>
      <c r="AA119" s="58" t="s">
        <v>15</v>
      </c>
      <c r="AB119" s="58" t="s">
        <v>15</v>
      </c>
      <c r="AC119" s="58" t="s">
        <v>15</v>
      </c>
      <c r="AD119" s="58" t="s">
        <v>15</v>
      </c>
      <c r="AE119" s="58" t="s">
        <v>15</v>
      </c>
      <c r="AF119" s="58" t="s">
        <v>15</v>
      </c>
      <c r="AG119" s="58" t="s">
        <v>15</v>
      </c>
      <c r="AH119" s="58" t="s">
        <v>15</v>
      </c>
      <c r="AI119" s="58" t="s">
        <v>15</v>
      </c>
      <c r="AJ119" s="58" t="s">
        <v>15</v>
      </c>
      <c r="AK119" s="9"/>
      <c r="AL119" s="58" t="s">
        <v>15</v>
      </c>
      <c r="AM119" s="58" t="s">
        <v>15</v>
      </c>
      <c r="AN119" s="58" t="s">
        <v>15</v>
      </c>
      <c r="AO119" s="58" t="s">
        <v>15</v>
      </c>
      <c r="AP119" s="58" t="s">
        <v>15</v>
      </c>
      <c r="AQ119" s="58" t="s">
        <v>15</v>
      </c>
      <c r="AR119" s="58" t="s">
        <v>15</v>
      </c>
      <c r="AS119" s="8">
        <f t="shared" si="5"/>
        <v>3</v>
      </c>
      <c r="AT119" s="8">
        <f t="shared" si="6"/>
        <v>34</v>
      </c>
      <c r="AU119" s="8">
        <f t="shared" si="7"/>
        <v>37</v>
      </c>
      <c r="AV119" s="32">
        <f t="shared" si="8"/>
        <v>8.108108108</v>
      </c>
      <c r="AW119" s="9"/>
    </row>
    <row r="120" ht="15.75" customHeight="1">
      <c r="A120" s="55">
        <v>113.0</v>
      </c>
      <c r="B120" s="59" t="s">
        <v>241</v>
      </c>
      <c r="C120" s="57" t="s">
        <v>242</v>
      </c>
      <c r="D120" s="30" t="s">
        <v>15</v>
      </c>
      <c r="E120" s="30" t="s">
        <v>16</v>
      </c>
      <c r="F120" s="30" t="s">
        <v>15</v>
      </c>
      <c r="G120" s="30" t="s">
        <v>16</v>
      </c>
      <c r="H120" s="30" t="s">
        <v>16</v>
      </c>
      <c r="I120" s="30" t="s">
        <v>16</v>
      </c>
      <c r="J120" s="30" t="s">
        <v>16</v>
      </c>
      <c r="K120" s="30" t="s">
        <v>16</v>
      </c>
      <c r="L120" s="30" t="s">
        <v>15</v>
      </c>
      <c r="M120" s="30" t="s">
        <v>16</v>
      </c>
      <c r="N120" s="30" t="s">
        <v>16</v>
      </c>
      <c r="O120" s="31" t="s">
        <v>16</v>
      </c>
      <c r="P120" s="31" t="s">
        <v>15</v>
      </c>
      <c r="Q120" s="31" t="s">
        <v>16</v>
      </c>
      <c r="R120" s="31" t="s">
        <v>16</v>
      </c>
      <c r="S120" s="31" t="s">
        <v>16</v>
      </c>
      <c r="T120" s="31" t="s">
        <v>15</v>
      </c>
      <c r="U120" s="31" t="s">
        <v>16</v>
      </c>
      <c r="V120" s="31" t="s">
        <v>16</v>
      </c>
      <c r="W120" s="31" t="s">
        <v>16</v>
      </c>
      <c r="X120" s="14"/>
      <c r="Y120" s="58" t="s">
        <v>15</v>
      </c>
      <c r="Z120" s="14"/>
      <c r="AA120" s="58" t="s">
        <v>16</v>
      </c>
      <c r="AB120" s="58" t="s">
        <v>16</v>
      </c>
      <c r="AC120" s="58" t="s">
        <v>16</v>
      </c>
      <c r="AD120" s="58" t="s">
        <v>15</v>
      </c>
      <c r="AE120" s="58" t="s">
        <v>15</v>
      </c>
      <c r="AF120" s="58" t="s">
        <v>15</v>
      </c>
      <c r="AG120" s="58" t="s">
        <v>16</v>
      </c>
      <c r="AH120" s="58" t="s">
        <v>16</v>
      </c>
      <c r="AI120" s="58" t="s">
        <v>16</v>
      </c>
      <c r="AJ120" s="58" t="s">
        <v>16</v>
      </c>
      <c r="AK120" s="9"/>
      <c r="AL120" s="58" t="s">
        <v>16</v>
      </c>
      <c r="AM120" s="58" t="s">
        <v>16</v>
      </c>
      <c r="AN120" s="58" t="s">
        <v>16</v>
      </c>
      <c r="AO120" s="58" t="s">
        <v>16</v>
      </c>
      <c r="AP120" s="58" t="s">
        <v>16</v>
      </c>
      <c r="AQ120" s="58" t="s">
        <v>16</v>
      </c>
      <c r="AR120" s="58" t="s">
        <v>16</v>
      </c>
      <c r="AS120" s="8">
        <f t="shared" si="5"/>
        <v>28</v>
      </c>
      <c r="AT120" s="8">
        <f t="shared" si="6"/>
        <v>9</v>
      </c>
      <c r="AU120" s="8">
        <f t="shared" si="7"/>
        <v>37</v>
      </c>
      <c r="AV120" s="32">
        <f t="shared" si="8"/>
        <v>75.67567568</v>
      </c>
      <c r="AW120" s="9"/>
    </row>
    <row r="121" ht="15.75" customHeight="1">
      <c r="A121" s="55">
        <v>114.0</v>
      </c>
      <c r="B121" s="59" t="s">
        <v>243</v>
      </c>
      <c r="C121" s="57" t="s">
        <v>244</v>
      </c>
      <c r="D121" s="30" t="s">
        <v>15</v>
      </c>
      <c r="E121" s="30" t="s">
        <v>16</v>
      </c>
      <c r="F121" s="30" t="s">
        <v>15</v>
      </c>
      <c r="G121" s="30" t="s">
        <v>16</v>
      </c>
      <c r="H121" s="30" t="s">
        <v>16</v>
      </c>
      <c r="I121" s="30" t="s">
        <v>16</v>
      </c>
      <c r="J121" s="30" t="s">
        <v>16</v>
      </c>
      <c r="K121" s="30" t="s">
        <v>16</v>
      </c>
      <c r="L121" s="30" t="s">
        <v>15</v>
      </c>
      <c r="M121" s="30" t="s">
        <v>16</v>
      </c>
      <c r="N121" s="30" t="s">
        <v>16</v>
      </c>
      <c r="O121" s="31" t="s">
        <v>15</v>
      </c>
      <c r="P121" s="31" t="s">
        <v>15</v>
      </c>
      <c r="Q121" s="31" t="s">
        <v>16</v>
      </c>
      <c r="R121" s="31" t="s">
        <v>16</v>
      </c>
      <c r="S121" s="31" t="s">
        <v>15</v>
      </c>
      <c r="T121" s="31" t="s">
        <v>16</v>
      </c>
      <c r="U121" s="31" t="s">
        <v>16</v>
      </c>
      <c r="V121" s="31" t="s">
        <v>15</v>
      </c>
      <c r="W121" s="31" t="s">
        <v>15</v>
      </c>
      <c r="X121" s="14"/>
      <c r="Y121" s="58" t="s">
        <v>15</v>
      </c>
      <c r="Z121" s="14"/>
      <c r="AA121" s="58" t="s">
        <v>16</v>
      </c>
      <c r="AB121" s="58" t="s">
        <v>16</v>
      </c>
      <c r="AC121" s="58" t="s">
        <v>15</v>
      </c>
      <c r="AD121" s="58" t="s">
        <v>15</v>
      </c>
      <c r="AE121" s="58" t="s">
        <v>15</v>
      </c>
      <c r="AF121" s="58" t="s">
        <v>16</v>
      </c>
      <c r="AG121" s="58" t="s">
        <v>16</v>
      </c>
      <c r="AH121" s="58" t="s">
        <v>15</v>
      </c>
      <c r="AI121" s="58" t="s">
        <v>16</v>
      </c>
      <c r="AJ121" s="58" t="s">
        <v>16</v>
      </c>
      <c r="AK121" s="9"/>
      <c r="AL121" s="58" t="s">
        <v>16</v>
      </c>
      <c r="AM121" s="58" t="s">
        <v>15</v>
      </c>
      <c r="AN121" s="58" t="s">
        <v>15</v>
      </c>
      <c r="AO121" s="58" t="s">
        <v>15</v>
      </c>
      <c r="AP121" s="58" t="s">
        <v>15</v>
      </c>
      <c r="AQ121" s="58" t="s">
        <v>16</v>
      </c>
      <c r="AR121" s="58" t="s">
        <v>15</v>
      </c>
      <c r="AS121" s="8">
        <f t="shared" si="5"/>
        <v>20</v>
      </c>
      <c r="AT121" s="8">
        <f t="shared" si="6"/>
        <v>17</v>
      </c>
      <c r="AU121" s="8">
        <f t="shared" si="7"/>
        <v>37</v>
      </c>
      <c r="AV121" s="32">
        <f t="shared" si="8"/>
        <v>54.05405405</v>
      </c>
      <c r="AW121" s="9"/>
    </row>
    <row r="122" ht="15.75" customHeight="1">
      <c r="A122" s="55">
        <v>115.0</v>
      </c>
      <c r="B122" s="59" t="s">
        <v>245</v>
      </c>
      <c r="C122" s="57" t="s">
        <v>246</v>
      </c>
      <c r="D122" s="30" t="s">
        <v>15</v>
      </c>
      <c r="E122" s="30" t="s">
        <v>16</v>
      </c>
      <c r="F122" s="30" t="s">
        <v>15</v>
      </c>
      <c r="G122" s="30" t="s">
        <v>16</v>
      </c>
      <c r="H122" s="30" t="s">
        <v>16</v>
      </c>
      <c r="I122" s="30" t="s">
        <v>16</v>
      </c>
      <c r="J122" s="30" t="s">
        <v>16</v>
      </c>
      <c r="K122" s="30" t="s">
        <v>16</v>
      </c>
      <c r="L122" s="30" t="s">
        <v>15</v>
      </c>
      <c r="M122" s="30" t="s">
        <v>16</v>
      </c>
      <c r="N122" s="30" t="s">
        <v>16</v>
      </c>
      <c r="O122" s="31" t="s">
        <v>15</v>
      </c>
      <c r="P122" s="31" t="s">
        <v>15</v>
      </c>
      <c r="Q122" s="31" t="s">
        <v>16</v>
      </c>
      <c r="R122" s="31" t="s">
        <v>16</v>
      </c>
      <c r="S122" s="31" t="s">
        <v>16</v>
      </c>
      <c r="T122" s="31" t="s">
        <v>15</v>
      </c>
      <c r="U122" s="31" t="s">
        <v>16</v>
      </c>
      <c r="V122" s="31" t="s">
        <v>16</v>
      </c>
      <c r="W122" s="31" t="s">
        <v>15</v>
      </c>
      <c r="X122" s="14"/>
      <c r="Y122" s="58" t="s">
        <v>15</v>
      </c>
      <c r="Z122" s="14"/>
      <c r="AA122" s="58" t="s">
        <v>16</v>
      </c>
      <c r="AB122" s="58" t="s">
        <v>16</v>
      </c>
      <c r="AC122" s="58" t="s">
        <v>16</v>
      </c>
      <c r="AD122" s="58" t="s">
        <v>15</v>
      </c>
      <c r="AE122" s="58" t="s">
        <v>15</v>
      </c>
      <c r="AF122" s="58" t="s">
        <v>15</v>
      </c>
      <c r="AG122" s="58" t="s">
        <v>16</v>
      </c>
      <c r="AH122" s="58" t="s">
        <v>16</v>
      </c>
      <c r="AI122" s="58" t="s">
        <v>16</v>
      </c>
      <c r="AJ122" s="58" t="s">
        <v>16</v>
      </c>
      <c r="AK122" s="9"/>
      <c r="AL122" s="58" t="s">
        <v>16</v>
      </c>
      <c r="AM122" s="58" t="s">
        <v>16</v>
      </c>
      <c r="AN122" s="58" t="s">
        <v>16</v>
      </c>
      <c r="AO122" s="58" t="s">
        <v>16</v>
      </c>
      <c r="AP122" s="58" t="s">
        <v>16</v>
      </c>
      <c r="AQ122" s="58" t="s">
        <v>16</v>
      </c>
      <c r="AR122" s="58" t="s">
        <v>16</v>
      </c>
      <c r="AS122" s="8">
        <f t="shared" si="5"/>
        <v>26</v>
      </c>
      <c r="AT122" s="8">
        <f t="shared" si="6"/>
        <v>11</v>
      </c>
      <c r="AU122" s="8">
        <f t="shared" si="7"/>
        <v>37</v>
      </c>
      <c r="AV122" s="32">
        <f t="shared" si="8"/>
        <v>70.27027027</v>
      </c>
      <c r="AW122" s="9"/>
    </row>
    <row r="123" ht="15.75" customHeight="1">
      <c r="A123" s="55">
        <v>116.0</v>
      </c>
      <c r="B123" s="64" t="s">
        <v>247</v>
      </c>
      <c r="C123" s="65" t="s">
        <v>248</v>
      </c>
      <c r="D123" s="64" t="s">
        <v>15</v>
      </c>
      <c r="E123" s="30" t="s">
        <v>16</v>
      </c>
      <c r="F123" s="30" t="s">
        <v>16</v>
      </c>
      <c r="G123" s="30" t="s">
        <v>16</v>
      </c>
      <c r="H123" s="30" t="s">
        <v>16</v>
      </c>
      <c r="I123" s="30" t="s">
        <v>15</v>
      </c>
      <c r="J123" s="30" t="s">
        <v>15</v>
      </c>
      <c r="K123" s="30" t="s">
        <v>16</v>
      </c>
      <c r="L123" s="30" t="s">
        <v>15</v>
      </c>
      <c r="M123" s="30" t="s">
        <v>16</v>
      </c>
      <c r="N123" s="30" t="s">
        <v>16</v>
      </c>
      <c r="O123" s="31" t="s">
        <v>16</v>
      </c>
      <c r="P123" s="31" t="s">
        <v>15</v>
      </c>
      <c r="Q123" s="31" t="s">
        <v>16</v>
      </c>
      <c r="R123" s="31" t="s">
        <v>16</v>
      </c>
      <c r="S123" s="31" t="s">
        <v>16</v>
      </c>
      <c r="T123" s="31" t="s">
        <v>16</v>
      </c>
      <c r="U123" s="31" t="s">
        <v>16</v>
      </c>
      <c r="V123" s="31" t="s">
        <v>15</v>
      </c>
      <c r="W123" s="31" t="s">
        <v>16</v>
      </c>
      <c r="X123" s="14"/>
      <c r="Y123" s="58" t="s">
        <v>15</v>
      </c>
      <c r="Z123" s="14"/>
      <c r="AA123" s="58" t="s">
        <v>16</v>
      </c>
      <c r="AB123" s="58" t="s">
        <v>15</v>
      </c>
      <c r="AC123" s="58" t="s">
        <v>16</v>
      </c>
      <c r="AD123" s="58" t="s">
        <v>15</v>
      </c>
      <c r="AE123" s="58" t="s">
        <v>15</v>
      </c>
      <c r="AF123" s="58" t="s">
        <v>15</v>
      </c>
      <c r="AG123" s="58" t="s">
        <v>15</v>
      </c>
      <c r="AH123" s="58" t="s">
        <v>15</v>
      </c>
      <c r="AI123" s="58" t="s">
        <v>16</v>
      </c>
      <c r="AJ123" s="58" t="s">
        <v>16</v>
      </c>
      <c r="AK123" s="9"/>
      <c r="AL123" s="58" t="s">
        <v>16</v>
      </c>
      <c r="AM123" s="58" t="s">
        <v>16</v>
      </c>
      <c r="AN123" s="58" t="s">
        <v>16</v>
      </c>
      <c r="AO123" s="58" t="s">
        <v>16</v>
      </c>
      <c r="AP123" s="58" t="s">
        <v>16</v>
      </c>
      <c r="AQ123" s="58" t="s">
        <v>16</v>
      </c>
      <c r="AR123" s="58" t="s">
        <v>16</v>
      </c>
      <c r="AS123" s="8">
        <f t="shared" si="5"/>
        <v>24</v>
      </c>
      <c r="AT123" s="8">
        <f t="shared" si="6"/>
        <v>13</v>
      </c>
      <c r="AU123" s="8">
        <f t="shared" si="7"/>
        <v>37</v>
      </c>
      <c r="AV123" s="32">
        <f t="shared" si="8"/>
        <v>64.86486486</v>
      </c>
      <c r="AW123" s="9"/>
    </row>
    <row r="124" ht="15.75" customHeight="1">
      <c r="A124" s="55">
        <v>117.0</v>
      </c>
      <c r="B124" s="59" t="s">
        <v>249</v>
      </c>
      <c r="C124" s="57" t="s">
        <v>250</v>
      </c>
      <c r="D124" s="30" t="s">
        <v>15</v>
      </c>
      <c r="E124" s="30" t="s">
        <v>16</v>
      </c>
      <c r="F124" s="30" t="s">
        <v>15</v>
      </c>
      <c r="G124" s="30" t="s">
        <v>16</v>
      </c>
      <c r="H124" s="30" t="s">
        <v>16</v>
      </c>
      <c r="I124" s="30" t="s">
        <v>15</v>
      </c>
      <c r="J124" s="30" t="s">
        <v>16</v>
      </c>
      <c r="K124" s="30" t="s">
        <v>16</v>
      </c>
      <c r="L124" s="30" t="s">
        <v>15</v>
      </c>
      <c r="M124" s="30" t="s">
        <v>16</v>
      </c>
      <c r="N124" s="30" t="s">
        <v>15</v>
      </c>
      <c r="O124" s="31" t="s">
        <v>15</v>
      </c>
      <c r="P124" s="31" t="s">
        <v>15</v>
      </c>
      <c r="Q124" s="31" t="s">
        <v>16</v>
      </c>
      <c r="R124" s="31" t="s">
        <v>16</v>
      </c>
      <c r="S124" s="31" t="s">
        <v>16</v>
      </c>
      <c r="T124" s="31" t="s">
        <v>16</v>
      </c>
      <c r="U124" s="31" t="s">
        <v>16</v>
      </c>
      <c r="V124" s="31" t="s">
        <v>15</v>
      </c>
      <c r="W124" s="31" t="s">
        <v>16</v>
      </c>
      <c r="X124" s="14"/>
      <c r="Y124" s="58" t="s">
        <v>15</v>
      </c>
      <c r="Z124" s="14"/>
      <c r="AA124" s="58" t="s">
        <v>16</v>
      </c>
      <c r="AB124" s="58" t="s">
        <v>16</v>
      </c>
      <c r="AC124" s="58" t="s">
        <v>16</v>
      </c>
      <c r="AD124" s="58" t="s">
        <v>15</v>
      </c>
      <c r="AE124" s="58" t="s">
        <v>15</v>
      </c>
      <c r="AF124" s="58" t="s">
        <v>16</v>
      </c>
      <c r="AG124" s="58" t="s">
        <v>16</v>
      </c>
      <c r="AH124" s="58" t="s">
        <v>16</v>
      </c>
      <c r="AI124" s="58" t="s">
        <v>16</v>
      </c>
      <c r="AJ124" s="58" t="s">
        <v>15</v>
      </c>
      <c r="AK124" s="9"/>
      <c r="AL124" s="58" t="s">
        <v>16</v>
      </c>
      <c r="AM124" s="58" t="s">
        <v>16</v>
      </c>
      <c r="AN124" s="58" t="s">
        <v>16</v>
      </c>
      <c r="AO124" s="58" t="s">
        <v>16</v>
      </c>
      <c r="AP124" s="58" t="s">
        <v>16</v>
      </c>
      <c r="AQ124" s="58" t="s">
        <v>16</v>
      </c>
      <c r="AR124" s="58" t="s">
        <v>16</v>
      </c>
      <c r="AS124" s="8">
        <f t="shared" si="5"/>
        <v>25</v>
      </c>
      <c r="AT124" s="8">
        <f t="shared" si="6"/>
        <v>12</v>
      </c>
      <c r="AU124" s="8">
        <f t="shared" si="7"/>
        <v>37</v>
      </c>
      <c r="AV124" s="32">
        <f t="shared" si="8"/>
        <v>67.56756757</v>
      </c>
      <c r="AW124" s="9"/>
    </row>
    <row r="125" ht="15.75" customHeight="1">
      <c r="A125" s="55">
        <v>118.0</v>
      </c>
      <c r="B125" s="59" t="s">
        <v>251</v>
      </c>
      <c r="C125" s="57" t="s">
        <v>252</v>
      </c>
      <c r="D125" s="30" t="s">
        <v>15</v>
      </c>
      <c r="E125" s="30" t="s">
        <v>16</v>
      </c>
      <c r="F125" s="30" t="s">
        <v>16</v>
      </c>
      <c r="G125" s="30" t="s">
        <v>15</v>
      </c>
      <c r="H125" s="30" t="s">
        <v>16</v>
      </c>
      <c r="I125" s="30" t="s">
        <v>15</v>
      </c>
      <c r="J125" s="30" t="s">
        <v>15</v>
      </c>
      <c r="K125" s="30" t="s">
        <v>16</v>
      </c>
      <c r="L125" s="30" t="s">
        <v>15</v>
      </c>
      <c r="M125" s="30" t="s">
        <v>16</v>
      </c>
      <c r="N125" s="30" t="s">
        <v>15</v>
      </c>
      <c r="O125" s="31" t="s">
        <v>16</v>
      </c>
      <c r="P125" s="31" t="s">
        <v>16</v>
      </c>
      <c r="Q125" s="31" t="s">
        <v>16</v>
      </c>
      <c r="R125" s="31" t="s">
        <v>16</v>
      </c>
      <c r="S125" s="31" t="s">
        <v>16</v>
      </c>
      <c r="T125" s="31" t="s">
        <v>16</v>
      </c>
      <c r="U125" s="31" t="s">
        <v>16</v>
      </c>
      <c r="V125" s="31" t="s">
        <v>16</v>
      </c>
      <c r="W125" s="31" t="s">
        <v>16</v>
      </c>
      <c r="X125" s="14"/>
      <c r="Y125" s="58" t="s">
        <v>16</v>
      </c>
      <c r="Z125" s="14"/>
      <c r="AA125" s="58" t="s">
        <v>16</v>
      </c>
      <c r="AB125" s="58" t="s">
        <v>16</v>
      </c>
      <c r="AC125" s="58" t="s">
        <v>16</v>
      </c>
      <c r="AD125" s="58" t="s">
        <v>15</v>
      </c>
      <c r="AE125" s="58" t="s">
        <v>15</v>
      </c>
      <c r="AF125" s="58" t="s">
        <v>15</v>
      </c>
      <c r="AG125" s="58" t="s">
        <v>16</v>
      </c>
      <c r="AH125" s="58" t="s">
        <v>15</v>
      </c>
      <c r="AI125" s="58" t="s">
        <v>16</v>
      </c>
      <c r="AJ125" s="58" t="s">
        <v>16</v>
      </c>
      <c r="AK125" s="9"/>
      <c r="AL125" s="58" t="s">
        <v>16</v>
      </c>
      <c r="AM125" s="58" t="s">
        <v>15</v>
      </c>
      <c r="AN125" s="58" t="s">
        <v>16</v>
      </c>
      <c r="AO125" s="58" t="s">
        <v>16</v>
      </c>
      <c r="AP125" s="58" t="s">
        <v>16</v>
      </c>
      <c r="AQ125" s="58" t="s">
        <v>16</v>
      </c>
      <c r="AR125" s="58" t="s">
        <v>16</v>
      </c>
      <c r="AS125" s="8">
        <f t="shared" si="5"/>
        <v>26</v>
      </c>
      <c r="AT125" s="8">
        <f t="shared" si="6"/>
        <v>11</v>
      </c>
      <c r="AU125" s="8">
        <f t="shared" si="7"/>
        <v>37</v>
      </c>
      <c r="AV125" s="32">
        <f t="shared" si="8"/>
        <v>70.27027027</v>
      </c>
      <c r="AW125" s="9"/>
    </row>
    <row r="126" ht="15.75" customHeight="1">
      <c r="A126" s="55">
        <v>119.0</v>
      </c>
      <c r="B126" s="59" t="s">
        <v>253</v>
      </c>
      <c r="C126" s="57" t="s">
        <v>254</v>
      </c>
      <c r="D126" s="30" t="s">
        <v>16</v>
      </c>
      <c r="E126" s="30" t="s">
        <v>16</v>
      </c>
      <c r="F126" s="30" t="s">
        <v>15</v>
      </c>
      <c r="G126" s="30" t="s">
        <v>16</v>
      </c>
      <c r="H126" s="30" t="s">
        <v>16</v>
      </c>
      <c r="I126" s="30" t="s">
        <v>16</v>
      </c>
      <c r="J126" s="30" t="s">
        <v>16</v>
      </c>
      <c r="K126" s="30" t="s">
        <v>16</v>
      </c>
      <c r="L126" s="30" t="s">
        <v>15</v>
      </c>
      <c r="M126" s="30" t="s">
        <v>16</v>
      </c>
      <c r="N126" s="30" t="s">
        <v>15</v>
      </c>
      <c r="O126" s="31" t="s">
        <v>16</v>
      </c>
      <c r="P126" s="31" t="s">
        <v>16</v>
      </c>
      <c r="Q126" s="31" t="s">
        <v>16</v>
      </c>
      <c r="R126" s="31" t="s">
        <v>16</v>
      </c>
      <c r="S126" s="31" t="s">
        <v>16</v>
      </c>
      <c r="T126" s="31" t="s">
        <v>16</v>
      </c>
      <c r="U126" s="31" t="s">
        <v>15</v>
      </c>
      <c r="V126" s="31" t="s">
        <v>16</v>
      </c>
      <c r="W126" s="31" t="s">
        <v>16</v>
      </c>
      <c r="X126" s="14"/>
      <c r="Y126" s="58" t="s">
        <v>15</v>
      </c>
      <c r="Z126" s="14"/>
      <c r="AA126" s="58" t="s">
        <v>16</v>
      </c>
      <c r="AB126" s="58" t="s">
        <v>16</v>
      </c>
      <c r="AC126" s="58" t="s">
        <v>16</v>
      </c>
      <c r="AD126" s="58" t="s">
        <v>15</v>
      </c>
      <c r="AE126" s="58" t="s">
        <v>15</v>
      </c>
      <c r="AF126" s="58" t="s">
        <v>15</v>
      </c>
      <c r="AG126" s="58" t="s">
        <v>16</v>
      </c>
      <c r="AH126" s="58" t="s">
        <v>15</v>
      </c>
      <c r="AI126" s="58" t="s">
        <v>16</v>
      </c>
      <c r="AJ126" s="58" t="s">
        <v>15</v>
      </c>
      <c r="AK126" s="9"/>
      <c r="AL126" s="58" t="s">
        <v>16</v>
      </c>
      <c r="AM126" s="58" t="s">
        <v>15</v>
      </c>
      <c r="AN126" s="58" t="s">
        <v>15</v>
      </c>
      <c r="AO126" s="58" t="s">
        <v>16</v>
      </c>
      <c r="AP126" s="58" t="s">
        <v>16</v>
      </c>
      <c r="AQ126" s="58" t="s">
        <v>16</v>
      </c>
      <c r="AR126" s="58" t="s">
        <v>16</v>
      </c>
      <c r="AS126" s="8">
        <f t="shared" si="5"/>
        <v>25</v>
      </c>
      <c r="AT126" s="8">
        <f t="shared" si="6"/>
        <v>12</v>
      </c>
      <c r="AU126" s="8">
        <f t="shared" si="7"/>
        <v>37</v>
      </c>
      <c r="AV126" s="32">
        <f t="shared" si="8"/>
        <v>67.56756757</v>
      </c>
      <c r="AW126" s="9"/>
    </row>
    <row r="127" ht="15.75" customHeight="1">
      <c r="A127" s="55">
        <v>120.0</v>
      </c>
      <c r="B127" s="56" t="s">
        <v>255</v>
      </c>
      <c r="C127" s="57" t="s">
        <v>256</v>
      </c>
      <c r="D127" s="30" t="s">
        <v>16</v>
      </c>
      <c r="E127" s="30" t="s">
        <v>16</v>
      </c>
      <c r="F127" s="30" t="s">
        <v>16</v>
      </c>
      <c r="G127" s="30" t="s">
        <v>15</v>
      </c>
      <c r="H127" s="30" t="s">
        <v>16</v>
      </c>
      <c r="I127" s="30" t="s">
        <v>15</v>
      </c>
      <c r="J127" s="30" t="s">
        <v>15</v>
      </c>
      <c r="K127" s="30" t="s">
        <v>16</v>
      </c>
      <c r="L127" s="30" t="s">
        <v>15</v>
      </c>
      <c r="M127" s="30" t="s">
        <v>16</v>
      </c>
      <c r="N127" s="30" t="s">
        <v>15</v>
      </c>
      <c r="O127" s="31" t="s">
        <v>16</v>
      </c>
      <c r="P127" s="31" t="s">
        <v>15</v>
      </c>
      <c r="Q127" s="31" t="s">
        <v>16</v>
      </c>
      <c r="R127" s="31" t="s">
        <v>16</v>
      </c>
      <c r="S127" s="31" t="s">
        <v>16</v>
      </c>
      <c r="T127" s="31" t="s">
        <v>16</v>
      </c>
      <c r="U127" s="31" t="s">
        <v>15</v>
      </c>
      <c r="V127" s="31" t="s">
        <v>15</v>
      </c>
      <c r="W127" s="31" t="s">
        <v>15</v>
      </c>
      <c r="X127" s="14"/>
      <c r="Y127" s="58" t="s">
        <v>15</v>
      </c>
      <c r="Z127" s="14"/>
      <c r="AA127" s="58" t="s">
        <v>16</v>
      </c>
      <c r="AB127" s="58" t="s">
        <v>16</v>
      </c>
      <c r="AC127" s="58" t="s">
        <v>16</v>
      </c>
      <c r="AD127" s="58" t="s">
        <v>16</v>
      </c>
      <c r="AE127" s="58" t="s">
        <v>15</v>
      </c>
      <c r="AF127" s="58" t="s">
        <v>16</v>
      </c>
      <c r="AG127" s="58" t="s">
        <v>15</v>
      </c>
      <c r="AH127" s="58" t="s">
        <v>16</v>
      </c>
      <c r="AI127" s="58" t="s">
        <v>15</v>
      </c>
      <c r="AJ127" s="58" t="s">
        <v>15</v>
      </c>
      <c r="AK127" s="9"/>
      <c r="AL127" s="58" t="s">
        <v>16</v>
      </c>
      <c r="AM127" s="58" t="s">
        <v>15</v>
      </c>
      <c r="AN127" s="58" t="s">
        <v>16</v>
      </c>
      <c r="AO127" s="58" t="s">
        <v>16</v>
      </c>
      <c r="AP127" s="58" t="s">
        <v>15</v>
      </c>
      <c r="AQ127" s="58" t="s">
        <v>15</v>
      </c>
      <c r="AR127" s="58" t="s">
        <v>16</v>
      </c>
      <c r="AS127" s="8">
        <f t="shared" si="5"/>
        <v>20</v>
      </c>
      <c r="AT127" s="8">
        <f t="shared" si="6"/>
        <v>17</v>
      </c>
      <c r="AU127" s="8">
        <f t="shared" si="7"/>
        <v>37</v>
      </c>
      <c r="AV127" s="32">
        <f t="shared" si="8"/>
        <v>54.05405405</v>
      </c>
      <c r="AW127" s="9"/>
    </row>
    <row r="128" ht="15.75" customHeight="1">
      <c r="A128" s="55">
        <v>121.0</v>
      </c>
      <c r="B128" s="59" t="s">
        <v>257</v>
      </c>
      <c r="C128" s="57" t="s">
        <v>258</v>
      </c>
      <c r="D128" s="30" t="s">
        <v>15</v>
      </c>
      <c r="E128" s="30" t="s">
        <v>16</v>
      </c>
      <c r="F128" s="30" t="s">
        <v>15</v>
      </c>
      <c r="G128" s="30" t="s">
        <v>16</v>
      </c>
      <c r="H128" s="30" t="s">
        <v>16</v>
      </c>
      <c r="I128" s="30" t="s">
        <v>15</v>
      </c>
      <c r="J128" s="30" t="s">
        <v>16</v>
      </c>
      <c r="K128" s="30" t="s">
        <v>16</v>
      </c>
      <c r="L128" s="30" t="s">
        <v>15</v>
      </c>
      <c r="M128" s="30" t="s">
        <v>15</v>
      </c>
      <c r="N128" s="30" t="s">
        <v>15</v>
      </c>
      <c r="O128" s="31" t="s">
        <v>15</v>
      </c>
      <c r="P128" s="31" t="s">
        <v>16</v>
      </c>
      <c r="Q128" s="31" t="s">
        <v>16</v>
      </c>
      <c r="R128" s="31" t="s">
        <v>16</v>
      </c>
      <c r="S128" s="31" t="s">
        <v>16</v>
      </c>
      <c r="T128" s="31" t="s">
        <v>16</v>
      </c>
      <c r="U128" s="31" t="s">
        <v>16</v>
      </c>
      <c r="V128" s="31" t="s">
        <v>15</v>
      </c>
      <c r="W128" s="31" t="s">
        <v>16</v>
      </c>
      <c r="X128" s="14"/>
      <c r="Y128" s="58" t="s">
        <v>16</v>
      </c>
      <c r="Z128" s="14"/>
      <c r="AA128" s="58" t="s">
        <v>16</v>
      </c>
      <c r="AB128" s="58" t="s">
        <v>16</v>
      </c>
      <c r="AC128" s="58" t="s">
        <v>16</v>
      </c>
      <c r="AD128" s="58" t="s">
        <v>16</v>
      </c>
      <c r="AE128" s="58" t="s">
        <v>15</v>
      </c>
      <c r="AF128" s="58" t="s">
        <v>15</v>
      </c>
      <c r="AG128" s="58" t="s">
        <v>16</v>
      </c>
      <c r="AH128" s="58" t="s">
        <v>16</v>
      </c>
      <c r="AI128" s="58" t="s">
        <v>16</v>
      </c>
      <c r="AJ128" s="58" t="s">
        <v>16</v>
      </c>
      <c r="AK128" s="9"/>
      <c r="AL128" s="58" t="s">
        <v>16</v>
      </c>
      <c r="AM128" s="58" t="s">
        <v>16</v>
      </c>
      <c r="AN128" s="58" t="s">
        <v>16</v>
      </c>
      <c r="AO128" s="58" t="s">
        <v>16</v>
      </c>
      <c r="AP128" s="58" t="s">
        <v>16</v>
      </c>
      <c r="AQ128" s="58" t="s">
        <v>15</v>
      </c>
      <c r="AR128" s="58" t="s">
        <v>16</v>
      </c>
      <c r="AS128" s="8">
        <f t="shared" si="5"/>
        <v>26</v>
      </c>
      <c r="AT128" s="8">
        <f t="shared" si="6"/>
        <v>11</v>
      </c>
      <c r="AU128" s="8">
        <f t="shared" si="7"/>
        <v>37</v>
      </c>
      <c r="AV128" s="32">
        <f t="shared" si="8"/>
        <v>70.27027027</v>
      </c>
      <c r="AW128" s="9"/>
    </row>
    <row r="129" ht="15.75" customHeight="1">
      <c r="A129" s="55">
        <v>122.0</v>
      </c>
      <c r="B129" s="68" t="s">
        <v>259</v>
      </c>
      <c r="C129" s="68" t="s">
        <v>260</v>
      </c>
      <c r="D129" s="30" t="s">
        <v>16</v>
      </c>
      <c r="E129" s="30" t="s">
        <v>16</v>
      </c>
      <c r="F129" s="30" t="s">
        <v>16</v>
      </c>
      <c r="G129" s="30" t="s">
        <v>15</v>
      </c>
      <c r="H129" s="30" t="s">
        <v>16</v>
      </c>
      <c r="I129" s="30" t="s">
        <v>16</v>
      </c>
      <c r="J129" s="30" t="s">
        <v>15</v>
      </c>
      <c r="K129" s="30" t="s">
        <v>16</v>
      </c>
      <c r="L129" s="30" t="s">
        <v>15</v>
      </c>
      <c r="M129" s="30" t="s">
        <v>16</v>
      </c>
      <c r="N129" s="30" t="s">
        <v>16</v>
      </c>
      <c r="O129" s="31" t="s">
        <v>15</v>
      </c>
      <c r="P129" s="31" t="s">
        <v>15</v>
      </c>
      <c r="Q129" s="31" t="s">
        <v>16</v>
      </c>
      <c r="R129" s="31" t="s">
        <v>16</v>
      </c>
      <c r="S129" s="31" t="s">
        <v>15</v>
      </c>
      <c r="T129" s="31" t="s">
        <v>15</v>
      </c>
      <c r="U129" s="31" t="s">
        <v>15</v>
      </c>
      <c r="V129" s="31" t="s">
        <v>15</v>
      </c>
      <c r="W129" s="31" t="s">
        <v>16</v>
      </c>
      <c r="X129" s="14"/>
      <c r="Y129" s="58" t="s">
        <v>16</v>
      </c>
      <c r="Z129" s="14"/>
      <c r="AA129" s="58" t="s">
        <v>16</v>
      </c>
      <c r="AB129" s="58" t="s">
        <v>16</v>
      </c>
      <c r="AC129" s="58" t="s">
        <v>16</v>
      </c>
      <c r="AD129" s="58" t="s">
        <v>16</v>
      </c>
      <c r="AE129" s="58" t="s">
        <v>15</v>
      </c>
      <c r="AF129" s="58" t="s">
        <v>16</v>
      </c>
      <c r="AG129" s="58" t="s">
        <v>16</v>
      </c>
      <c r="AH129" s="58" t="s">
        <v>16</v>
      </c>
      <c r="AI129" s="58" t="s">
        <v>16</v>
      </c>
      <c r="AJ129" s="58" t="s">
        <v>16</v>
      </c>
      <c r="AK129" s="9"/>
      <c r="AL129" s="58" t="s">
        <v>16</v>
      </c>
      <c r="AM129" s="58" t="s">
        <v>15</v>
      </c>
      <c r="AN129" s="58" t="s">
        <v>16</v>
      </c>
      <c r="AO129" s="58" t="s">
        <v>16</v>
      </c>
      <c r="AP129" s="58" t="s">
        <v>16</v>
      </c>
      <c r="AQ129" s="58" t="s">
        <v>15</v>
      </c>
      <c r="AR129" s="58" t="s">
        <v>16</v>
      </c>
      <c r="AS129" s="8">
        <f t="shared" si="5"/>
        <v>25</v>
      </c>
      <c r="AT129" s="8">
        <f t="shared" si="6"/>
        <v>12</v>
      </c>
      <c r="AU129" s="8">
        <f t="shared" si="7"/>
        <v>37</v>
      </c>
      <c r="AV129" s="32">
        <f t="shared" si="8"/>
        <v>67.56756757</v>
      </c>
      <c r="AW129" s="9"/>
    </row>
    <row r="130" ht="15.75" customHeight="1">
      <c r="A130" s="55">
        <v>123.0</v>
      </c>
      <c r="B130" s="68" t="s">
        <v>261</v>
      </c>
      <c r="C130" s="68" t="s">
        <v>262</v>
      </c>
      <c r="D130" s="30" t="s">
        <v>16</v>
      </c>
      <c r="E130" s="30" t="s">
        <v>16</v>
      </c>
      <c r="F130" s="30" t="s">
        <v>16</v>
      </c>
      <c r="G130" s="30" t="s">
        <v>16</v>
      </c>
      <c r="H130" s="30" t="s">
        <v>16</v>
      </c>
      <c r="I130" s="30" t="s">
        <v>16</v>
      </c>
      <c r="J130" s="30" t="s">
        <v>16</v>
      </c>
      <c r="K130" s="30" t="s">
        <v>16</v>
      </c>
      <c r="L130" s="30" t="s">
        <v>16</v>
      </c>
      <c r="M130" s="30" t="s">
        <v>16</v>
      </c>
      <c r="N130" s="30" t="s">
        <v>16</v>
      </c>
      <c r="O130" s="31" t="s">
        <v>16</v>
      </c>
      <c r="P130" s="31" t="s">
        <v>15</v>
      </c>
      <c r="Q130" s="31" t="s">
        <v>16</v>
      </c>
      <c r="R130" s="31" t="s">
        <v>15</v>
      </c>
      <c r="S130" s="31" t="s">
        <v>16</v>
      </c>
      <c r="T130" s="31" t="s">
        <v>15</v>
      </c>
      <c r="U130" s="31" t="s">
        <v>16</v>
      </c>
      <c r="V130" s="31" t="s">
        <v>15</v>
      </c>
      <c r="W130" s="31" t="s">
        <v>16</v>
      </c>
      <c r="X130" s="14"/>
      <c r="Y130" s="58" t="s">
        <v>16</v>
      </c>
      <c r="Z130" s="14"/>
      <c r="AA130" s="58" t="s">
        <v>16</v>
      </c>
      <c r="AB130" s="58" t="s">
        <v>16</v>
      </c>
      <c r="AC130" s="58" t="s">
        <v>16</v>
      </c>
      <c r="AD130" s="58" t="s">
        <v>16</v>
      </c>
      <c r="AE130" s="58" t="s">
        <v>16</v>
      </c>
      <c r="AF130" s="58" t="s">
        <v>16</v>
      </c>
      <c r="AG130" s="58" t="s">
        <v>15</v>
      </c>
      <c r="AH130" s="58" t="s">
        <v>16</v>
      </c>
      <c r="AI130" s="58" t="s">
        <v>16</v>
      </c>
      <c r="AJ130" s="58" t="s">
        <v>16</v>
      </c>
      <c r="AK130" s="9"/>
      <c r="AL130" s="58" t="s">
        <v>16</v>
      </c>
      <c r="AM130" s="58" t="s">
        <v>15</v>
      </c>
      <c r="AN130" s="58" t="s">
        <v>16</v>
      </c>
      <c r="AO130" s="58" t="s">
        <v>15</v>
      </c>
      <c r="AP130" s="58" t="s">
        <v>16</v>
      </c>
      <c r="AQ130" s="58" t="s">
        <v>15</v>
      </c>
      <c r="AR130" s="58" t="s">
        <v>16</v>
      </c>
      <c r="AS130" s="8">
        <f t="shared" si="5"/>
        <v>29</v>
      </c>
      <c r="AT130" s="8">
        <f t="shared" si="6"/>
        <v>8</v>
      </c>
      <c r="AU130" s="8">
        <f t="shared" si="7"/>
        <v>37</v>
      </c>
      <c r="AV130" s="32">
        <f t="shared" si="8"/>
        <v>78.37837838</v>
      </c>
      <c r="AW130" s="9"/>
    </row>
    <row r="131" ht="15.75" customHeight="1">
      <c r="A131" s="69">
        <v>124.0</v>
      </c>
      <c r="B131" s="70" t="s">
        <v>189</v>
      </c>
      <c r="C131" s="71" t="s">
        <v>190</v>
      </c>
      <c r="D131" s="30" t="s">
        <v>16</v>
      </c>
      <c r="E131" s="30" t="s">
        <v>16</v>
      </c>
      <c r="F131" s="30" t="s">
        <v>16</v>
      </c>
      <c r="G131" s="30" t="s">
        <v>15</v>
      </c>
      <c r="H131" s="30" t="s">
        <v>16</v>
      </c>
      <c r="I131" s="30" t="s">
        <v>15</v>
      </c>
      <c r="J131" s="30" t="s">
        <v>15</v>
      </c>
      <c r="K131" s="30" t="s">
        <v>16</v>
      </c>
      <c r="L131" s="30" t="s">
        <v>15</v>
      </c>
      <c r="M131" s="30" t="s">
        <v>16</v>
      </c>
      <c r="N131" s="30" t="s">
        <v>16</v>
      </c>
      <c r="O131" s="31" t="s">
        <v>16</v>
      </c>
      <c r="P131" s="31" t="s">
        <v>16</v>
      </c>
      <c r="Q131" s="31" t="s">
        <v>16</v>
      </c>
      <c r="R131" s="31" t="s">
        <v>15</v>
      </c>
      <c r="S131" s="31" t="s">
        <v>16</v>
      </c>
      <c r="T131" s="31" t="s">
        <v>16</v>
      </c>
      <c r="U131" s="31" t="s">
        <v>16</v>
      </c>
      <c r="V131" s="31" t="s">
        <v>15</v>
      </c>
      <c r="W131" s="31" t="s">
        <v>15</v>
      </c>
      <c r="X131" s="14"/>
      <c r="Y131" s="58" t="s">
        <v>15</v>
      </c>
      <c r="Z131" s="14"/>
      <c r="AA131" s="58" t="s">
        <v>16</v>
      </c>
      <c r="AB131" s="58" t="s">
        <v>16</v>
      </c>
      <c r="AC131" s="58" t="s">
        <v>16</v>
      </c>
      <c r="AD131" s="58" t="s">
        <v>15</v>
      </c>
      <c r="AE131" s="58" t="s">
        <v>15</v>
      </c>
      <c r="AF131" s="58" t="s">
        <v>15</v>
      </c>
      <c r="AG131" s="58" t="s">
        <v>16</v>
      </c>
      <c r="AH131" s="58" t="s">
        <v>15</v>
      </c>
      <c r="AI131" s="58" t="s">
        <v>16</v>
      </c>
      <c r="AJ131" s="58" t="s">
        <v>16</v>
      </c>
      <c r="AK131" s="9"/>
      <c r="AL131" s="58" t="s">
        <v>16</v>
      </c>
      <c r="AM131" s="58" t="s">
        <v>15</v>
      </c>
      <c r="AN131" s="58" t="s">
        <v>16</v>
      </c>
      <c r="AO131" s="58" t="s">
        <v>16</v>
      </c>
      <c r="AP131" s="58" t="s">
        <v>16</v>
      </c>
      <c r="AQ131" s="58" t="s">
        <v>16</v>
      </c>
      <c r="AR131" s="58" t="s">
        <v>16</v>
      </c>
      <c r="AS131" s="8">
        <f t="shared" si="5"/>
        <v>24</v>
      </c>
      <c r="AT131" s="8">
        <f t="shared" si="6"/>
        <v>13</v>
      </c>
      <c r="AU131" s="8">
        <f t="shared" si="7"/>
        <v>37</v>
      </c>
      <c r="AV131" s="32">
        <f t="shared" si="8"/>
        <v>64.86486486</v>
      </c>
      <c r="AW131" s="9"/>
    </row>
    <row r="132" ht="15.75" customHeight="1">
      <c r="A132" s="69">
        <v>126.0</v>
      </c>
      <c r="B132" s="72" t="s">
        <v>201</v>
      </c>
      <c r="C132" s="73" t="s">
        <v>202</v>
      </c>
      <c r="D132" s="30" t="s">
        <v>15</v>
      </c>
      <c r="E132" s="30" t="s">
        <v>16</v>
      </c>
      <c r="F132" s="30" t="s">
        <v>16</v>
      </c>
      <c r="G132" s="30" t="s">
        <v>15</v>
      </c>
      <c r="H132" s="30" t="s">
        <v>16</v>
      </c>
      <c r="I132" s="30" t="s">
        <v>16</v>
      </c>
      <c r="J132" s="30" t="s">
        <v>15</v>
      </c>
      <c r="K132" s="30" t="s">
        <v>16</v>
      </c>
      <c r="L132" s="30" t="s">
        <v>15</v>
      </c>
      <c r="M132" s="30" t="s">
        <v>16</v>
      </c>
      <c r="N132" s="30" t="s">
        <v>16</v>
      </c>
      <c r="O132" s="31" t="s">
        <v>16</v>
      </c>
      <c r="P132" s="31" t="s">
        <v>16</v>
      </c>
      <c r="Q132" s="31" t="s">
        <v>16</v>
      </c>
      <c r="R132" s="31" t="s">
        <v>16</v>
      </c>
      <c r="S132" s="31" t="s">
        <v>15</v>
      </c>
      <c r="T132" s="31" t="s">
        <v>15</v>
      </c>
      <c r="U132" s="31" t="s">
        <v>16</v>
      </c>
      <c r="V132" s="31" t="s">
        <v>16</v>
      </c>
      <c r="W132" s="31" t="s">
        <v>16</v>
      </c>
      <c r="X132" s="14"/>
      <c r="Y132" s="58" t="s">
        <v>15</v>
      </c>
      <c r="Z132" s="14"/>
      <c r="AA132" s="58" t="s">
        <v>16</v>
      </c>
      <c r="AB132" s="58" t="s">
        <v>16</v>
      </c>
      <c r="AC132" s="58" t="s">
        <v>15</v>
      </c>
      <c r="AD132" s="58" t="s">
        <v>15</v>
      </c>
      <c r="AE132" s="58" t="s">
        <v>15</v>
      </c>
      <c r="AF132" s="58" t="s">
        <v>15</v>
      </c>
      <c r="AG132" s="58" t="s">
        <v>16</v>
      </c>
      <c r="AH132" s="58" t="s">
        <v>15</v>
      </c>
      <c r="AI132" s="58" t="s">
        <v>15</v>
      </c>
      <c r="AJ132" s="58" t="s">
        <v>16</v>
      </c>
      <c r="AK132" s="9"/>
      <c r="AL132" s="58" t="s">
        <v>15</v>
      </c>
      <c r="AM132" s="58" t="s">
        <v>15</v>
      </c>
      <c r="AN132" s="58" t="s">
        <v>16</v>
      </c>
      <c r="AO132" s="58" t="s">
        <v>16</v>
      </c>
      <c r="AP132" s="58" t="s">
        <v>16</v>
      </c>
      <c r="AQ132" s="58" t="s">
        <v>16</v>
      </c>
      <c r="AR132" s="58" t="s">
        <v>16</v>
      </c>
      <c r="AS132" s="8">
        <f t="shared" si="5"/>
        <v>22</v>
      </c>
      <c r="AT132" s="8">
        <f t="shared" si="6"/>
        <v>15</v>
      </c>
      <c r="AU132" s="8">
        <f t="shared" si="7"/>
        <v>37</v>
      </c>
      <c r="AV132" s="32">
        <f t="shared" si="8"/>
        <v>59.45945946</v>
      </c>
      <c r="AW132" s="9"/>
    </row>
    <row r="133" ht="15.75" customHeight="1">
      <c r="A133" s="69">
        <v>126.0</v>
      </c>
      <c r="B133" s="72" t="s">
        <v>247</v>
      </c>
      <c r="C133" s="73" t="s">
        <v>248</v>
      </c>
      <c r="D133" s="64" t="s">
        <v>15</v>
      </c>
      <c r="E133" s="30" t="s">
        <v>16</v>
      </c>
      <c r="F133" s="30" t="s">
        <v>16</v>
      </c>
      <c r="G133" s="30" t="s">
        <v>16</v>
      </c>
      <c r="H133" s="30" t="s">
        <v>16</v>
      </c>
      <c r="I133" s="30" t="s">
        <v>15</v>
      </c>
      <c r="J133" s="30" t="s">
        <v>15</v>
      </c>
      <c r="K133" s="30" t="s">
        <v>16</v>
      </c>
      <c r="L133" s="30" t="s">
        <v>15</v>
      </c>
      <c r="M133" s="30" t="s">
        <v>16</v>
      </c>
      <c r="N133" s="30" t="s">
        <v>16</v>
      </c>
      <c r="O133" s="31" t="s">
        <v>16</v>
      </c>
      <c r="P133" s="31" t="s">
        <v>15</v>
      </c>
      <c r="Q133" s="31" t="s">
        <v>16</v>
      </c>
      <c r="R133" s="31" t="s">
        <v>16</v>
      </c>
      <c r="S133" s="31" t="s">
        <v>16</v>
      </c>
      <c r="T133" s="31" t="s">
        <v>16</v>
      </c>
      <c r="U133" s="31" t="s">
        <v>16</v>
      </c>
      <c r="V133" s="31" t="s">
        <v>15</v>
      </c>
      <c r="W133" s="31" t="s">
        <v>16</v>
      </c>
      <c r="X133" s="14"/>
      <c r="Y133" s="58" t="s">
        <v>15</v>
      </c>
      <c r="Z133" s="14"/>
      <c r="AA133" s="58" t="s">
        <v>16</v>
      </c>
      <c r="AB133" s="58" t="s">
        <v>15</v>
      </c>
      <c r="AC133" s="58" t="s">
        <v>16</v>
      </c>
      <c r="AD133" s="58" t="s">
        <v>15</v>
      </c>
      <c r="AE133" s="58" t="s">
        <v>15</v>
      </c>
      <c r="AF133" s="58" t="s">
        <v>15</v>
      </c>
      <c r="AG133" s="58" t="s">
        <v>15</v>
      </c>
      <c r="AH133" s="58" t="s">
        <v>15</v>
      </c>
      <c r="AI133" s="58" t="s">
        <v>16</v>
      </c>
      <c r="AJ133" s="58" t="s">
        <v>16</v>
      </c>
      <c r="AK133" s="9"/>
      <c r="AL133" s="58" t="s">
        <v>16</v>
      </c>
      <c r="AM133" s="58" t="s">
        <v>16</v>
      </c>
      <c r="AN133" s="58" t="s">
        <v>16</v>
      </c>
      <c r="AO133" s="58" t="s">
        <v>16</v>
      </c>
      <c r="AP133" s="58" t="s">
        <v>16</v>
      </c>
      <c r="AQ133" s="58" t="s">
        <v>16</v>
      </c>
      <c r="AR133" s="58" t="s">
        <v>16</v>
      </c>
      <c r="AS133" s="8">
        <f t="shared" si="5"/>
        <v>24</v>
      </c>
      <c r="AT133" s="8">
        <f t="shared" si="6"/>
        <v>13</v>
      </c>
      <c r="AU133" s="8">
        <f t="shared" si="7"/>
        <v>37</v>
      </c>
      <c r="AV133" s="32">
        <f t="shared" si="8"/>
        <v>64.86486486</v>
      </c>
      <c r="AW133" s="9"/>
    </row>
    <row r="134" ht="15.75" customHeight="1">
      <c r="A134" s="14"/>
      <c r="B134" s="14"/>
      <c r="C134" s="74"/>
      <c r="D134" s="14"/>
      <c r="E134" s="30"/>
      <c r="F134" s="30"/>
      <c r="G134" s="30"/>
      <c r="H134" s="75"/>
      <c r="I134" s="14"/>
      <c r="J134" s="14"/>
      <c r="K134" s="76"/>
      <c r="L134" s="76"/>
      <c r="M134" s="76"/>
      <c r="N134" s="76"/>
      <c r="O134" s="76"/>
      <c r="P134" s="76"/>
      <c r="Q134" s="76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9"/>
      <c r="AH134" s="9"/>
      <c r="AI134" s="9"/>
      <c r="AJ134" s="9"/>
      <c r="AK134" s="9"/>
      <c r="AL134" s="58"/>
      <c r="AM134" s="58"/>
      <c r="AN134" s="58"/>
      <c r="AO134" s="58"/>
      <c r="AP134" s="9"/>
      <c r="AQ134" s="9"/>
      <c r="AR134" s="9"/>
      <c r="AS134" s="8"/>
      <c r="AT134" s="8"/>
      <c r="AU134" s="8"/>
      <c r="AV134" s="32"/>
      <c r="AW134" s="9"/>
    </row>
    <row r="135" ht="15.75" customHeight="1">
      <c r="A135" s="9"/>
      <c r="B135" s="9"/>
      <c r="C135" s="9"/>
      <c r="D135" s="9"/>
      <c r="E135" s="9"/>
      <c r="F135" s="77"/>
      <c r="G135" s="77"/>
      <c r="H135" s="77"/>
      <c r="I135" s="9"/>
      <c r="J135" s="9"/>
      <c r="K135" s="78"/>
      <c r="L135" s="78"/>
      <c r="M135" s="78"/>
      <c r="N135" s="78"/>
      <c r="O135" s="78"/>
      <c r="P135" s="78"/>
      <c r="Q135" s="78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8"/>
      <c r="AV135" s="9"/>
      <c r="AW135" s="9"/>
    </row>
    <row r="136" ht="15.75" customHeight="1">
      <c r="A136" s="9"/>
      <c r="B136" s="9"/>
      <c r="C136" s="9"/>
      <c r="D136" s="9"/>
      <c r="E136" s="9"/>
      <c r="F136" s="77"/>
      <c r="G136" s="77"/>
      <c r="H136" s="77"/>
      <c r="I136" s="9"/>
      <c r="J136" s="9"/>
      <c r="K136" s="78"/>
      <c r="L136" s="78"/>
      <c r="M136" s="78"/>
      <c r="N136" s="78"/>
      <c r="O136" s="78"/>
      <c r="P136" s="78"/>
      <c r="Q136" s="78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8"/>
      <c r="AV136" s="9"/>
      <c r="AW136" s="9"/>
    </row>
    <row r="137" ht="15.75" customHeight="1">
      <c r="A137" s="9"/>
      <c r="B137" s="9"/>
      <c r="C137" s="9"/>
      <c r="D137" s="9"/>
      <c r="E137" s="9"/>
      <c r="F137" s="77"/>
      <c r="G137" s="77"/>
      <c r="H137" s="77"/>
      <c r="I137" s="9"/>
      <c r="J137" s="9"/>
      <c r="K137" s="78"/>
      <c r="L137" s="78"/>
      <c r="M137" s="78"/>
      <c r="N137" s="78"/>
      <c r="O137" s="78"/>
      <c r="P137" s="78"/>
      <c r="Q137" s="78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8"/>
      <c r="AV137" s="9"/>
      <c r="AW137" s="9"/>
    </row>
    <row r="138" ht="15.75" customHeight="1">
      <c r="A138" s="9"/>
      <c r="B138" s="9"/>
      <c r="C138" s="9"/>
      <c r="D138" s="9"/>
      <c r="E138" s="9"/>
      <c r="F138" s="77"/>
      <c r="G138" s="77"/>
      <c r="H138" s="77"/>
      <c r="I138" s="9"/>
      <c r="J138" s="9"/>
      <c r="K138" s="78"/>
      <c r="L138" s="78"/>
      <c r="M138" s="78"/>
      <c r="N138" s="78"/>
      <c r="O138" s="78"/>
      <c r="P138" s="78"/>
      <c r="Q138" s="78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8"/>
      <c r="AV138" s="9"/>
      <c r="AW138" s="9"/>
    </row>
    <row r="139" ht="15.75" customHeight="1">
      <c r="A139" s="9"/>
      <c r="B139" s="9"/>
      <c r="C139" s="9"/>
      <c r="D139" s="9"/>
      <c r="E139" s="9"/>
      <c r="F139" s="77"/>
      <c r="G139" s="77"/>
      <c r="H139" s="77"/>
      <c r="I139" s="9"/>
      <c r="J139" s="9"/>
      <c r="K139" s="78"/>
      <c r="L139" s="78"/>
      <c r="M139" s="78"/>
      <c r="N139" s="78"/>
      <c r="O139" s="78"/>
      <c r="P139" s="78"/>
      <c r="Q139" s="78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8"/>
      <c r="AV139" s="9"/>
      <c r="AW139" s="9"/>
    </row>
    <row r="140" ht="15.75" customHeight="1">
      <c r="A140" s="9"/>
      <c r="B140" s="9"/>
      <c r="C140" s="9"/>
      <c r="D140" s="9"/>
      <c r="E140" s="9"/>
      <c r="F140" s="77"/>
      <c r="G140" s="77"/>
      <c r="H140" s="77"/>
      <c r="I140" s="9"/>
      <c r="J140" s="9"/>
      <c r="K140" s="78"/>
      <c r="L140" s="78"/>
      <c r="M140" s="78"/>
      <c r="N140" s="78"/>
      <c r="O140" s="78"/>
      <c r="P140" s="78"/>
      <c r="Q140" s="78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8"/>
      <c r="AV140" s="9"/>
      <c r="AW140" s="9"/>
    </row>
    <row r="141" ht="15.75" customHeight="1">
      <c r="A141" s="9"/>
      <c r="B141" s="9"/>
      <c r="C141" s="9"/>
      <c r="D141" s="14"/>
      <c r="E141" s="14"/>
      <c r="F141" s="75"/>
      <c r="G141" s="75"/>
      <c r="H141" s="75"/>
      <c r="I141" s="14"/>
      <c r="J141" s="14"/>
      <c r="K141" s="76"/>
      <c r="L141" s="76"/>
      <c r="M141" s="76"/>
      <c r="N141" s="76"/>
      <c r="O141" s="76"/>
      <c r="P141" s="76"/>
      <c r="Q141" s="76"/>
      <c r="R141" s="14"/>
      <c r="S141" s="14"/>
      <c r="T141" s="14"/>
      <c r="U141" s="14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8"/>
      <c r="AV141" s="9"/>
      <c r="AW141" s="9"/>
    </row>
    <row r="142" ht="15.75" customHeight="1">
      <c r="A142" s="9"/>
      <c r="B142" s="9"/>
      <c r="C142" s="9"/>
      <c r="D142" s="14"/>
      <c r="E142" s="14"/>
      <c r="F142" s="75"/>
      <c r="G142" s="75"/>
      <c r="H142" s="75"/>
      <c r="I142" s="14"/>
      <c r="J142" s="14"/>
      <c r="K142" s="76"/>
      <c r="L142" s="76"/>
      <c r="M142" s="76"/>
      <c r="N142" s="76"/>
      <c r="O142" s="76"/>
      <c r="P142" s="76"/>
      <c r="Q142" s="76"/>
      <c r="R142" s="14"/>
      <c r="S142" s="14"/>
      <c r="T142" s="14"/>
      <c r="U142" s="14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8"/>
      <c r="AV142" s="9"/>
      <c r="AW142" s="9"/>
    </row>
    <row r="143" ht="15.75" customHeight="1">
      <c r="A143" s="9"/>
      <c r="B143" s="9"/>
      <c r="C143" s="9"/>
      <c r="D143" s="14"/>
      <c r="E143" s="14"/>
      <c r="F143" s="75"/>
      <c r="G143" s="75"/>
      <c r="H143" s="75"/>
      <c r="I143" s="14"/>
      <c r="J143" s="14"/>
      <c r="K143" s="76"/>
      <c r="L143" s="76"/>
      <c r="M143" s="76"/>
      <c r="N143" s="76"/>
      <c r="O143" s="76"/>
      <c r="P143" s="76"/>
      <c r="Q143" s="76"/>
      <c r="R143" s="14"/>
      <c r="S143" s="14"/>
      <c r="T143" s="14"/>
      <c r="U143" s="14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8"/>
      <c r="AV143" s="9"/>
      <c r="AW143" s="9"/>
    </row>
    <row r="144" ht="15.75" customHeight="1">
      <c r="A144" s="9"/>
      <c r="B144" s="9"/>
      <c r="C144" s="9"/>
      <c r="D144" s="14"/>
      <c r="E144" s="14"/>
      <c r="F144" s="75"/>
      <c r="G144" s="75"/>
      <c r="H144" s="75"/>
      <c r="I144" s="14"/>
      <c r="J144" s="14"/>
      <c r="K144" s="76"/>
      <c r="L144" s="76"/>
      <c r="M144" s="76"/>
      <c r="N144" s="76"/>
      <c r="O144" s="76"/>
      <c r="P144" s="76"/>
      <c r="Q144" s="76"/>
      <c r="R144" s="14"/>
      <c r="S144" s="14"/>
      <c r="T144" s="14"/>
      <c r="U144" s="14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8"/>
      <c r="AV144" s="9"/>
      <c r="AW144" s="9"/>
    </row>
    <row r="145" ht="15.75" customHeight="1">
      <c r="A145" s="9"/>
      <c r="B145" s="9"/>
      <c r="C145" s="9"/>
      <c r="D145" s="14"/>
      <c r="E145" s="14"/>
      <c r="F145" s="75"/>
      <c r="G145" s="75"/>
      <c r="H145" s="75"/>
      <c r="I145" s="14"/>
      <c r="J145" s="14"/>
      <c r="K145" s="76"/>
      <c r="L145" s="76"/>
      <c r="M145" s="76"/>
      <c r="N145" s="76"/>
      <c r="O145" s="76"/>
      <c r="P145" s="76"/>
      <c r="Q145" s="76"/>
      <c r="R145" s="14"/>
      <c r="S145" s="14"/>
      <c r="T145" s="14"/>
      <c r="U145" s="14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8"/>
      <c r="AV145" s="9"/>
      <c r="AW145" s="9"/>
    </row>
    <row r="146" ht="15.75" customHeight="1">
      <c r="A146" s="9"/>
      <c r="B146" s="9"/>
      <c r="C146" s="9"/>
      <c r="D146" s="14"/>
      <c r="E146" s="14"/>
      <c r="F146" s="75"/>
      <c r="G146" s="75"/>
      <c r="H146" s="75"/>
      <c r="I146" s="14"/>
      <c r="J146" s="14"/>
      <c r="K146" s="76"/>
      <c r="L146" s="76"/>
      <c r="M146" s="76"/>
      <c r="N146" s="76"/>
      <c r="O146" s="76"/>
      <c r="P146" s="76"/>
      <c r="Q146" s="76"/>
      <c r="R146" s="14"/>
      <c r="S146" s="14"/>
      <c r="T146" s="14"/>
      <c r="U146" s="14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8"/>
      <c r="AV146" s="9"/>
      <c r="AW146" s="9"/>
    </row>
    <row r="147" ht="15.75" customHeight="1">
      <c r="A147" s="9"/>
      <c r="B147" s="9"/>
      <c r="C147" s="9"/>
      <c r="D147" s="14"/>
      <c r="E147" s="14"/>
      <c r="F147" s="75"/>
      <c r="G147" s="75"/>
      <c r="H147" s="75"/>
      <c r="I147" s="14"/>
      <c r="J147" s="14"/>
      <c r="K147" s="76"/>
      <c r="L147" s="76"/>
      <c r="M147" s="76"/>
      <c r="N147" s="76"/>
      <c r="O147" s="76"/>
      <c r="P147" s="76"/>
      <c r="Q147" s="76"/>
      <c r="R147" s="14"/>
      <c r="S147" s="14"/>
      <c r="T147" s="14"/>
      <c r="U147" s="14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ht="15.75" customHeight="1">
      <c r="A148" s="9"/>
      <c r="B148" s="9"/>
      <c r="C148" s="9"/>
      <c r="D148" s="14"/>
      <c r="E148" s="14"/>
      <c r="F148" s="75"/>
      <c r="G148" s="75"/>
      <c r="H148" s="75"/>
      <c r="I148" s="14"/>
      <c r="J148" s="14"/>
      <c r="K148" s="76"/>
      <c r="L148" s="76"/>
      <c r="M148" s="76"/>
      <c r="N148" s="76"/>
      <c r="O148" s="76"/>
      <c r="P148" s="76"/>
      <c r="Q148" s="76"/>
      <c r="R148" s="14"/>
      <c r="S148" s="14"/>
      <c r="T148" s="14"/>
      <c r="U148" s="14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ht="15.75" customHeight="1">
      <c r="A149" s="9"/>
      <c r="B149" s="9"/>
      <c r="C149" s="9"/>
      <c r="D149" s="14"/>
      <c r="E149" s="14"/>
      <c r="F149" s="75"/>
      <c r="G149" s="75"/>
      <c r="H149" s="75"/>
      <c r="I149" s="14"/>
      <c r="J149" s="14"/>
      <c r="K149" s="76"/>
      <c r="L149" s="76"/>
      <c r="M149" s="76"/>
      <c r="N149" s="76"/>
      <c r="O149" s="76"/>
      <c r="P149" s="76"/>
      <c r="Q149" s="76"/>
      <c r="R149" s="14"/>
      <c r="S149" s="14"/>
      <c r="T149" s="14"/>
      <c r="U149" s="14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ht="15.75" customHeight="1">
      <c r="A150" s="9"/>
      <c r="B150" s="9"/>
      <c r="C150" s="9"/>
      <c r="D150" s="14"/>
      <c r="E150" s="14"/>
      <c r="F150" s="75"/>
      <c r="G150" s="75"/>
      <c r="H150" s="75"/>
      <c r="I150" s="14"/>
      <c r="J150" s="14"/>
      <c r="K150" s="76"/>
      <c r="L150" s="76"/>
      <c r="M150" s="76"/>
      <c r="N150" s="76"/>
      <c r="O150" s="76"/>
      <c r="P150" s="76"/>
      <c r="Q150" s="76"/>
      <c r="R150" s="14"/>
      <c r="S150" s="14"/>
      <c r="T150" s="14"/>
      <c r="U150" s="14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ht="15.75" customHeight="1">
      <c r="A151" s="9"/>
      <c r="B151" s="9"/>
      <c r="C151" s="9"/>
      <c r="D151" s="14"/>
      <c r="E151" s="14"/>
      <c r="F151" s="75"/>
      <c r="G151" s="75"/>
      <c r="H151" s="75"/>
      <c r="I151" s="14"/>
      <c r="J151" s="14"/>
      <c r="K151" s="76"/>
      <c r="L151" s="76"/>
      <c r="M151" s="76"/>
      <c r="N151" s="76"/>
      <c r="O151" s="76"/>
      <c r="P151" s="76"/>
      <c r="Q151" s="76"/>
      <c r="R151" s="14"/>
      <c r="S151" s="14"/>
      <c r="T151" s="14"/>
      <c r="U151" s="14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ht="15.75" customHeight="1">
      <c r="A152" s="9"/>
      <c r="B152" s="9"/>
      <c r="C152" s="9"/>
      <c r="D152" s="14"/>
      <c r="E152" s="14"/>
      <c r="F152" s="75"/>
      <c r="G152" s="75"/>
      <c r="H152" s="75"/>
      <c r="I152" s="14"/>
      <c r="J152" s="14"/>
      <c r="K152" s="76"/>
      <c r="L152" s="76"/>
      <c r="M152" s="76"/>
      <c r="N152" s="76"/>
      <c r="O152" s="76"/>
      <c r="P152" s="76"/>
      <c r="Q152" s="76"/>
      <c r="R152" s="14"/>
      <c r="S152" s="14"/>
      <c r="T152" s="14"/>
      <c r="U152" s="14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ht="15.75" customHeight="1">
      <c r="A153" s="9"/>
      <c r="B153" s="9"/>
      <c r="C153" s="9"/>
      <c r="D153" s="14"/>
      <c r="E153" s="14"/>
      <c r="F153" s="75"/>
      <c r="G153" s="75"/>
      <c r="H153" s="75"/>
      <c r="I153" s="14"/>
      <c r="J153" s="14"/>
      <c r="K153" s="76"/>
      <c r="L153" s="76"/>
      <c r="M153" s="76"/>
      <c r="N153" s="76"/>
      <c r="O153" s="76"/>
      <c r="P153" s="76"/>
      <c r="Q153" s="76"/>
      <c r="R153" s="14"/>
      <c r="S153" s="14"/>
      <c r="T153" s="14"/>
      <c r="U153" s="14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ht="15.75" customHeight="1">
      <c r="A154" s="9"/>
      <c r="B154" s="9"/>
      <c r="C154" s="9"/>
      <c r="D154" s="14"/>
      <c r="E154" s="14"/>
      <c r="F154" s="75"/>
      <c r="G154" s="75"/>
      <c r="H154" s="75"/>
      <c r="I154" s="14"/>
      <c r="J154" s="14"/>
      <c r="K154" s="76"/>
      <c r="L154" s="76"/>
      <c r="M154" s="76"/>
      <c r="N154" s="76"/>
      <c r="O154" s="76"/>
      <c r="P154" s="76"/>
      <c r="Q154" s="76"/>
      <c r="R154" s="14"/>
      <c r="S154" s="14"/>
      <c r="T154" s="14"/>
      <c r="U154" s="14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ht="15.75" customHeight="1">
      <c r="A155" s="9"/>
      <c r="B155" s="9"/>
      <c r="C155" s="9"/>
      <c r="D155" s="14"/>
      <c r="E155" s="14"/>
      <c r="F155" s="75"/>
      <c r="G155" s="75"/>
      <c r="H155" s="75"/>
      <c r="I155" s="14"/>
      <c r="J155" s="14"/>
      <c r="K155" s="76"/>
      <c r="L155" s="76"/>
      <c r="M155" s="76"/>
      <c r="N155" s="76"/>
      <c r="O155" s="76"/>
      <c r="P155" s="76"/>
      <c r="Q155" s="76"/>
      <c r="R155" s="14"/>
      <c r="S155" s="14"/>
      <c r="T155" s="14"/>
      <c r="U155" s="14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ht="15.75" customHeight="1">
      <c r="A156" s="9"/>
      <c r="B156" s="9"/>
      <c r="C156" s="9"/>
      <c r="D156" s="14"/>
      <c r="E156" s="14"/>
      <c r="F156" s="75"/>
      <c r="G156" s="75"/>
      <c r="H156" s="75"/>
      <c r="I156" s="14"/>
      <c r="J156" s="14"/>
      <c r="K156" s="76"/>
      <c r="L156" s="76"/>
      <c r="M156" s="76"/>
      <c r="N156" s="76"/>
      <c r="O156" s="76"/>
      <c r="P156" s="76"/>
      <c r="Q156" s="76"/>
      <c r="R156" s="14"/>
      <c r="S156" s="14"/>
      <c r="T156" s="14"/>
      <c r="U156" s="14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ht="15.75" customHeight="1">
      <c r="A157" s="9"/>
      <c r="B157" s="9"/>
      <c r="C157" s="9"/>
      <c r="D157" s="14"/>
      <c r="E157" s="14"/>
      <c r="F157" s="75"/>
      <c r="G157" s="75"/>
      <c r="H157" s="75"/>
      <c r="I157" s="14"/>
      <c r="J157" s="14"/>
      <c r="K157" s="76"/>
      <c r="L157" s="76"/>
      <c r="M157" s="76"/>
      <c r="N157" s="76"/>
      <c r="O157" s="76"/>
      <c r="P157" s="76"/>
      <c r="Q157" s="76"/>
      <c r="R157" s="14"/>
      <c r="S157" s="14"/>
      <c r="T157" s="14"/>
      <c r="U157" s="14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ht="15.75" customHeight="1">
      <c r="A158" s="9"/>
      <c r="B158" s="9"/>
      <c r="C158" s="9"/>
      <c r="D158" s="14"/>
      <c r="E158" s="14"/>
      <c r="F158" s="75"/>
      <c r="G158" s="75"/>
      <c r="H158" s="75"/>
      <c r="I158" s="14"/>
      <c r="J158" s="14"/>
      <c r="K158" s="76"/>
      <c r="L158" s="76"/>
      <c r="M158" s="76"/>
      <c r="N158" s="76"/>
      <c r="O158" s="76"/>
      <c r="P158" s="76"/>
      <c r="Q158" s="76"/>
      <c r="R158" s="14"/>
      <c r="S158" s="14"/>
      <c r="T158" s="14"/>
      <c r="U158" s="14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ht="15.75" customHeight="1">
      <c r="A159" s="9"/>
      <c r="B159" s="9"/>
      <c r="C159" s="9"/>
      <c r="D159" s="14"/>
      <c r="E159" s="14"/>
      <c r="F159" s="75"/>
      <c r="G159" s="75"/>
      <c r="H159" s="75"/>
      <c r="I159" s="14"/>
      <c r="J159" s="14"/>
      <c r="K159" s="76"/>
      <c r="L159" s="76"/>
      <c r="M159" s="76"/>
      <c r="N159" s="76"/>
      <c r="O159" s="76"/>
      <c r="P159" s="76"/>
      <c r="Q159" s="76"/>
      <c r="R159" s="14"/>
      <c r="S159" s="14"/>
      <c r="T159" s="14"/>
      <c r="U159" s="14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ht="15.75" customHeight="1">
      <c r="A160" s="9"/>
      <c r="B160" s="9"/>
      <c r="C160" s="9"/>
      <c r="D160" s="14"/>
      <c r="E160" s="14"/>
      <c r="F160" s="75"/>
      <c r="G160" s="75"/>
      <c r="H160" s="75"/>
      <c r="I160" s="14"/>
      <c r="J160" s="14"/>
      <c r="K160" s="76"/>
      <c r="L160" s="76"/>
      <c r="M160" s="76"/>
      <c r="N160" s="76"/>
      <c r="O160" s="76"/>
      <c r="P160" s="76"/>
      <c r="Q160" s="76"/>
      <c r="R160" s="14"/>
      <c r="S160" s="14"/>
      <c r="T160" s="14"/>
      <c r="U160" s="14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ht="15.75" customHeight="1">
      <c r="A161" s="9"/>
      <c r="B161" s="9"/>
      <c r="C161" s="9"/>
      <c r="D161" s="14"/>
      <c r="E161" s="14"/>
      <c r="F161" s="75"/>
      <c r="G161" s="75"/>
      <c r="H161" s="75"/>
      <c r="I161" s="14"/>
      <c r="J161" s="14"/>
      <c r="K161" s="76"/>
      <c r="L161" s="76"/>
      <c r="M161" s="76"/>
      <c r="N161" s="76"/>
      <c r="O161" s="76"/>
      <c r="P161" s="76"/>
      <c r="Q161" s="76"/>
      <c r="R161" s="14"/>
      <c r="S161" s="14"/>
      <c r="T161" s="14"/>
      <c r="U161" s="14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ht="15.75" customHeight="1">
      <c r="A162" s="9"/>
      <c r="B162" s="9"/>
      <c r="C162" s="9"/>
      <c r="D162" s="14"/>
      <c r="E162" s="14"/>
      <c r="F162" s="75"/>
      <c r="G162" s="75"/>
      <c r="H162" s="75"/>
      <c r="I162" s="14"/>
      <c r="J162" s="14"/>
      <c r="K162" s="76"/>
      <c r="L162" s="76"/>
      <c r="M162" s="76"/>
      <c r="N162" s="76"/>
      <c r="O162" s="76"/>
      <c r="P162" s="76"/>
      <c r="Q162" s="76"/>
      <c r="R162" s="14"/>
      <c r="S162" s="14"/>
      <c r="T162" s="14"/>
      <c r="U162" s="14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ht="15.75" customHeight="1">
      <c r="A163" s="9"/>
      <c r="B163" s="9"/>
      <c r="C163" s="9"/>
      <c r="D163" s="14"/>
      <c r="E163" s="14"/>
      <c r="F163" s="75"/>
      <c r="G163" s="75"/>
      <c r="H163" s="75"/>
      <c r="I163" s="14"/>
      <c r="J163" s="14"/>
      <c r="K163" s="76"/>
      <c r="L163" s="76"/>
      <c r="M163" s="76"/>
      <c r="N163" s="76"/>
      <c r="O163" s="76"/>
      <c r="P163" s="76"/>
      <c r="Q163" s="76"/>
      <c r="R163" s="14"/>
      <c r="S163" s="14"/>
      <c r="T163" s="14"/>
      <c r="U163" s="14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ht="15.75" customHeight="1">
      <c r="A164" s="9"/>
      <c r="B164" s="9"/>
      <c r="C164" s="9"/>
      <c r="D164" s="14"/>
      <c r="E164" s="14"/>
      <c r="F164" s="75"/>
      <c r="G164" s="75"/>
      <c r="H164" s="75"/>
      <c r="I164" s="14"/>
      <c r="J164" s="14"/>
      <c r="K164" s="76"/>
      <c r="L164" s="76"/>
      <c r="M164" s="76"/>
      <c r="N164" s="76"/>
      <c r="O164" s="76"/>
      <c r="P164" s="76"/>
      <c r="Q164" s="76"/>
      <c r="R164" s="14"/>
      <c r="S164" s="14"/>
      <c r="T164" s="14"/>
      <c r="U164" s="14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ht="15.75" customHeight="1">
      <c r="A165" s="9"/>
      <c r="B165" s="9"/>
      <c r="C165" s="9"/>
      <c r="D165" s="14"/>
      <c r="E165" s="14"/>
      <c r="F165" s="75"/>
      <c r="G165" s="75"/>
      <c r="H165" s="75"/>
      <c r="I165" s="14"/>
      <c r="J165" s="14"/>
      <c r="K165" s="76"/>
      <c r="L165" s="76"/>
      <c r="M165" s="76"/>
      <c r="N165" s="76"/>
      <c r="O165" s="76"/>
      <c r="P165" s="76"/>
      <c r="Q165" s="76"/>
      <c r="R165" s="14"/>
      <c r="S165" s="14"/>
      <c r="T165" s="14"/>
      <c r="U165" s="14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ht="15.75" customHeight="1">
      <c r="A166" s="9"/>
      <c r="B166" s="9"/>
      <c r="C166" s="9"/>
      <c r="D166" s="14"/>
      <c r="E166" s="14"/>
      <c r="F166" s="75"/>
      <c r="G166" s="75"/>
      <c r="H166" s="75"/>
      <c r="I166" s="14"/>
      <c r="J166" s="14"/>
      <c r="K166" s="76"/>
      <c r="L166" s="76"/>
      <c r="M166" s="76"/>
      <c r="N166" s="76"/>
      <c r="O166" s="76"/>
      <c r="P166" s="76"/>
      <c r="Q166" s="76"/>
      <c r="R166" s="14"/>
      <c r="S166" s="14"/>
      <c r="T166" s="14"/>
      <c r="U166" s="14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ht="15.75" customHeight="1">
      <c r="A167" s="9"/>
      <c r="B167" s="9"/>
      <c r="C167" s="9"/>
      <c r="D167" s="14"/>
      <c r="E167" s="14"/>
      <c r="F167" s="75"/>
      <c r="G167" s="75"/>
      <c r="H167" s="75"/>
      <c r="I167" s="14"/>
      <c r="J167" s="14"/>
      <c r="K167" s="76"/>
      <c r="L167" s="76"/>
      <c r="M167" s="76"/>
      <c r="N167" s="76"/>
      <c r="O167" s="76"/>
      <c r="P167" s="76"/>
      <c r="Q167" s="76"/>
      <c r="R167" s="14"/>
      <c r="S167" s="14"/>
      <c r="T167" s="14"/>
      <c r="U167" s="14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ht="15.75" customHeight="1">
      <c r="A168" s="9"/>
      <c r="B168" s="9"/>
      <c r="C168" s="9"/>
      <c r="D168" s="14"/>
      <c r="E168" s="14"/>
      <c r="F168" s="75"/>
      <c r="G168" s="75"/>
      <c r="H168" s="75"/>
      <c r="I168" s="14"/>
      <c r="J168" s="14"/>
      <c r="K168" s="76"/>
      <c r="L168" s="76"/>
      <c r="M168" s="76"/>
      <c r="N168" s="76"/>
      <c r="O168" s="76"/>
      <c r="P168" s="76"/>
      <c r="Q168" s="76"/>
      <c r="R168" s="14"/>
      <c r="S168" s="14"/>
      <c r="T168" s="14"/>
      <c r="U168" s="14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ht="15.75" customHeight="1">
      <c r="A169" s="9"/>
      <c r="B169" s="9"/>
      <c r="C169" s="9"/>
      <c r="D169" s="14"/>
      <c r="E169" s="14"/>
      <c r="F169" s="75"/>
      <c r="G169" s="75"/>
      <c r="H169" s="75"/>
      <c r="I169" s="14"/>
      <c r="J169" s="14"/>
      <c r="K169" s="76"/>
      <c r="L169" s="76"/>
      <c r="M169" s="76"/>
      <c r="N169" s="76"/>
      <c r="O169" s="76"/>
      <c r="P169" s="76"/>
      <c r="Q169" s="76"/>
      <c r="R169" s="14"/>
      <c r="S169" s="14"/>
      <c r="T169" s="14"/>
      <c r="U169" s="14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ht="15.75" customHeight="1">
      <c r="A170" s="9"/>
      <c r="B170" s="9"/>
      <c r="C170" s="9"/>
      <c r="D170" s="14"/>
      <c r="E170" s="14"/>
      <c r="F170" s="75"/>
      <c r="G170" s="75"/>
      <c r="H170" s="75"/>
      <c r="I170" s="14"/>
      <c r="J170" s="14"/>
      <c r="K170" s="76"/>
      <c r="L170" s="76"/>
      <c r="M170" s="76"/>
      <c r="N170" s="76"/>
      <c r="O170" s="76"/>
      <c r="P170" s="76"/>
      <c r="Q170" s="76"/>
      <c r="R170" s="14"/>
      <c r="S170" s="14"/>
      <c r="T170" s="14"/>
      <c r="U170" s="14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ht="15.75" customHeight="1">
      <c r="A171" s="9"/>
      <c r="B171" s="9"/>
      <c r="C171" s="9"/>
      <c r="D171" s="14"/>
      <c r="E171" s="14"/>
      <c r="F171" s="75"/>
      <c r="G171" s="75"/>
      <c r="H171" s="75"/>
      <c r="I171" s="14"/>
      <c r="J171" s="14"/>
      <c r="K171" s="76"/>
      <c r="L171" s="76"/>
      <c r="M171" s="76"/>
      <c r="N171" s="76"/>
      <c r="O171" s="76"/>
      <c r="P171" s="76"/>
      <c r="Q171" s="76"/>
      <c r="R171" s="14"/>
      <c r="S171" s="14"/>
      <c r="T171" s="14"/>
      <c r="U171" s="14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ht="15.75" customHeight="1">
      <c r="A172" s="9"/>
      <c r="B172" s="9"/>
      <c r="C172" s="9"/>
      <c r="D172" s="14"/>
      <c r="E172" s="14"/>
      <c r="F172" s="75"/>
      <c r="G172" s="75"/>
      <c r="H172" s="75"/>
      <c r="I172" s="14"/>
      <c r="J172" s="14"/>
      <c r="K172" s="76"/>
      <c r="L172" s="76"/>
      <c r="M172" s="76"/>
      <c r="N172" s="76"/>
      <c r="O172" s="76"/>
      <c r="P172" s="76"/>
      <c r="Q172" s="76"/>
      <c r="R172" s="14"/>
      <c r="S172" s="14"/>
      <c r="T172" s="14"/>
      <c r="U172" s="14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ht="15.75" customHeight="1">
      <c r="A173" s="9"/>
      <c r="B173" s="9"/>
      <c r="C173" s="9"/>
      <c r="D173" s="14"/>
      <c r="E173" s="14"/>
      <c r="F173" s="75"/>
      <c r="G173" s="75"/>
      <c r="H173" s="75"/>
      <c r="I173" s="14"/>
      <c r="J173" s="14"/>
      <c r="K173" s="76"/>
      <c r="L173" s="76"/>
      <c r="M173" s="76"/>
      <c r="N173" s="76"/>
      <c r="O173" s="76"/>
      <c r="P173" s="76"/>
      <c r="Q173" s="76"/>
      <c r="R173" s="14"/>
      <c r="S173" s="14"/>
      <c r="T173" s="14"/>
      <c r="U173" s="14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ht="15.75" customHeight="1">
      <c r="A174" s="9"/>
      <c r="B174" s="9"/>
      <c r="C174" s="9"/>
      <c r="D174" s="14"/>
      <c r="E174" s="14"/>
      <c r="F174" s="75"/>
      <c r="G174" s="75"/>
      <c r="H174" s="75"/>
      <c r="I174" s="14"/>
      <c r="J174" s="14"/>
      <c r="K174" s="76"/>
      <c r="L174" s="76"/>
      <c r="M174" s="76"/>
      <c r="N174" s="76"/>
      <c r="O174" s="76"/>
      <c r="P174" s="76"/>
      <c r="Q174" s="76"/>
      <c r="R174" s="14"/>
      <c r="S174" s="14"/>
      <c r="T174" s="14"/>
      <c r="U174" s="14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ht="15.75" customHeight="1">
      <c r="A175" s="9"/>
      <c r="B175" s="9"/>
      <c r="C175" s="9"/>
      <c r="D175" s="14"/>
      <c r="E175" s="14"/>
      <c r="F175" s="75"/>
      <c r="G175" s="75"/>
      <c r="H175" s="75"/>
      <c r="I175" s="14"/>
      <c r="J175" s="14"/>
      <c r="K175" s="76"/>
      <c r="L175" s="76"/>
      <c r="M175" s="76"/>
      <c r="N175" s="76"/>
      <c r="O175" s="76"/>
      <c r="P175" s="76"/>
      <c r="Q175" s="76"/>
      <c r="R175" s="14"/>
      <c r="S175" s="14"/>
      <c r="T175" s="14"/>
      <c r="U175" s="14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ht="15.75" customHeight="1">
      <c r="A176" s="9"/>
      <c r="B176" s="9"/>
      <c r="C176" s="9"/>
      <c r="D176" s="14"/>
      <c r="E176" s="14"/>
      <c r="F176" s="75"/>
      <c r="G176" s="75"/>
      <c r="H176" s="75"/>
      <c r="I176" s="14"/>
      <c r="J176" s="14"/>
      <c r="K176" s="76"/>
      <c r="L176" s="76"/>
      <c r="M176" s="76"/>
      <c r="N176" s="76"/>
      <c r="O176" s="76"/>
      <c r="P176" s="76"/>
      <c r="Q176" s="76"/>
      <c r="R176" s="14"/>
      <c r="S176" s="14"/>
      <c r="T176" s="14"/>
      <c r="U176" s="14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ht="15.75" customHeight="1">
      <c r="A177" s="9"/>
      <c r="B177" s="9"/>
      <c r="C177" s="9"/>
      <c r="D177" s="14"/>
      <c r="E177" s="14"/>
      <c r="F177" s="75"/>
      <c r="G177" s="75"/>
      <c r="H177" s="75"/>
      <c r="I177" s="14"/>
      <c r="J177" s="14"/>
      <c r="K177" s="76"/>
      <c r="L177" s="76"/>
      <c r="M177" s="76"/>
      <c r="N177" s="76"/>
      <c r="O177" s="76"/>
      <c r="P177" s="76"/>
      <c r="Q177" s="76"/>
      <c r="R177" s="14"/>
      <c r="S177" s="14"/>
      <c r="T177" s="14"/>
      <c r="U177" s="14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ht="15.75" customHeight="1">
      <c r="A178" s="9"/>
      <c r="B178" s="9"/>
      <c r="C178" s="9"/>
      <c r="D178" s="14"/>
      <c r="E178" s="14"/>
      <c r="F178" s="75"/>
      <c r="G178" s="75"/>
      <c r="H178" s="75"/>
      <c r="I178" s="14"/>
      <c r="J178" s="14"/>
      <c r="K178" s="76"/>
      <c r="L178" s="76"/>
      <c r="M178" s="76"/>
      <c r="N178" s="76"/>
      <c r="O178" s="76"/>
      <c r="P178" s="76"/>
      <c r="Q178" s="76"/>
      <c r="R178" s="14"/>
      <c r="S178" s="14"/>
      <c r="T178" s="14"/>
      <c r="U178" s="14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ht="15.75" customHeight="1">
      <c r="A179" s="9"/>
      <c r="B179" s="9"/>
      <c r="C179" s="9"/>
      <c r="D179" s="14"/>
      <c r="E179" s="14"/>
      <c r="F179" s="75"/>
      <c r="G179" s="75"/>
      <c r="H179" s="75"/>
      <c r="I179" s="14"/>
      <c r="J179" s="14"/>
      <c r="K179" s="76"/>
      <c r="L179" s="76"/>
      <c r="M179" s="76"/>
      <c r="N179" s="76"/>
      <c r="O179" s="76"/>
      <c r="P179" s="76"/>
      <c r="Q179" s="76"/>
      <c r="R179" s="14"/>
      <c r="S179" s="14"/>
      <c r="T179" s="14"/>
      <c r="U179" s="14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ht="15.75" customHeight="1">
      <c r="A180" s="9"/>
      <c r="B180" s="9"/>
      <c r="C180" s="9"/>
      <c r="D180" s="14"/>
      <c r="E180" s="14"/>
      <c r="F180" s="75"/>
      <c r="G180" s="75"/>
      <c r="H180" s="75"/>
      <c r="I180" s="14"/>
      <c r="J180" s="14"/>
      <c r="K180" s="76"/>
      <c r="L180" s="76"/>
      <c r="M180" s="76"/>
      <c r="N180" s="76"/>
      <c r="O180" s="76"/>
      <c r="P180" s="76"/>
      <c r="Q180" s="76"/>
      <c r="R180" s="14"/>
      <c r="S180" s="14"/>
      <c r="T180" s="14"/>
      <c r="U180" s="14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ht="15.75" customHeight="1">
      <c r="A181" s="9"/>
      <c r="B181" s="9"/>
      <c r="C181" s="9"/>
      <c r="D181" s="14"/>
      <c r="E181" s="14"/>
      <c r="F181" s="75"/>
      <c r="G181" s="75"/>
      <c r="H181" s="75"/>
      <c r="I181" s="14"/>
      <c r="J181" s="14"/>
      <c r="K181" s="76"/>
      <c r="L181" s="76"/>
      <c r="M181" s="76"/>
      <c r="N181" s="76"/>
      <c r="O181" s="76"/>
      <c r="P181" s="76"/>
      <c r="Q181" s="76"/>
      <c r="R181" s="14"/>
      <c r="S181" s="14"/>
      <c r="T181" s="14"/>
      <c r="U181" s="14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ht="15.75" customHeight="1">
      <c r="A182" s="9"/>
      <c r="B182" s="9"/>
      <c r="C182" s="9"/>
      <c r="D182" s="14"/>
      <c r="E182" s="14"/>
      <c r="F182" s="75"/>
      <c r="G182" s="75"/>
      <c r="H182" s="75"/>
      <c r="I182" s="14"/>
      <c r="J182" s="14"/>
      <c r="K182" s="76"/>
      <c r="L182" s="76"/>
      <c r="M182" s="76"/>
      <c r="N182" s="76"/>
      <c r="O182" s="76"/>
      <c r="P182" s="76"/>
      <c r="Q182" s="76"/>
      <c r="R182" s="14"/>
      <c r="S182" s="14"/>
      <c r="T182" s="14"/>
      <c r="U182" s="14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ht="15.75" customHeight="1">
      <c r="A183" s="9"/>
      <c r="B183" s="9"/>
      <c r="C183" s="9"/>
      <c r="D183" s="14"/>
      <c r="E183" s="14"/>
      <c r="F183" s="75"/>
      <c r="G183" s="75"/>
      <c r="H183" s="75"/>
      <c r="I183" s="14"/>
      <c r="J183" s="14"/>
      <c r="K183" s="76"/>
      <c r="L183" s="76"/>
      <c r="M183" s="76"/>
      <c r="N183" s="76"/>
      <c r="O183" s="76"/>
      <c r="P183" s="76"/>
      <c r="Q183" s="76"/>
      <c r="R183" s="14"/>
      <c r="S183" s="14"/>
      <c r="T183" s="14"/>
      <c r="U183" s="14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ht="15.75" customHeight="1">
      <c r="A184" s="9"/>
      <c r="B184" s="9"/>
      <c r="C184" s="9"/>
      <c r="D184" s="14"/>
      <c r="E184" s="14"/>
      <c r="F184" s="75"/>
      <c r="G184" s="75"/>
      <c r="H184" s="75"/>
      <c r="I184" s="14"/>
      <c r="J184" s="14"/>
      <c r="K184" s="76"/>
      <c r="L184" s="76"/>
      <c r="M184" s="76"/>
      <c r="N184" s="76"/>
      <c r="O184" s="76"/>
      <c r="P184" s="76"/>
      <c r="Q184" s="76"/>
      <c r="R184" s="14"/>
      <c r="S184" s="14"/>
      <c r="T184" s="14"/>
      <c r="U184" s="14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ht="15.75" customHeight="1">
      <c r="A185" s="9"/>
      <c r="B185" s="9"/>
      <c r="C185" s="9"/>
      <c r="D185" s="14"/>
      <c r="E185" s="14"/>
      <c r="F185" s="75"/>
      <c r="G185" s="75"/>
      <c r="H185" s="75"/>
      <c r="I185" s="14"/>
      <c r="J185" s="14"/>
      <c r="K185" s="76"/>
      <c r="L185" s="76"/>
      <c r="M185" s="76"/>
      <c r="N185" s="76"/>
      <c r="O185" s="76"/>
      <c r="P185" s="76"/>
      <c r="Q185" s="76"/>
      <c r="R185" s="14"/>
      <c r="S185" s="14"/>
      <c r="T185" s="14"/>
      <c r="U185" s="14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ht="15.75" customHeight="1">
      <c r="A186" s="9"/>
      <c r="B186" s="9"/>
      <c r="C186" s="9"/>
      <c r="D186" s="14"/>
      <c r="E186" s="14"/>
      <c r="F186" s="75"/>
      <c r="G186" s="75"/>
      <c r="H186" s="75"/>
      <c r="I186" s="14"/>
      <c r="J186" s="14"/>
      <c r="K186" s="76"/>
      <c r="L186" s="76"/>
      <c r="M186" s="76"/>
      <c r="N186" s="76"/>
      <c r="O186" s="76"/>
      <c r="P186" s="76"/>
      <c r="Q186" s="76"/>
      <c r="R186" s="14"/>
      <c r="S186" s="14"/>
      <c r="T186" s="14"/>
      <c r="U186" s="14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ht="15.75" customHeight="1">
      <c r="A187" s="9"/>
      <c r="B187" s="9"/>
      <c r="C187" s="9"/>
      <c r="D187" s="14"/>
      <c r="E187" s="14"/>
      <c r="F187" s="75"/>
      <c r="G187" s="75"/>
      <c r="H187" s="75"/>
      <c r="I187" s="14"/>
      <c r="J187" s="14"/>
      <c r="K187" s="76"/>
      <c r="L187" s="76"/>
      <c r="M187" s="76"/>
      <c r="N187" s="76"/>
      <c r="O187" s="76"/>
      <c r="P187" s="76"/>
      <c r="Q187" s="76"/>
      <c r="R187" s="14"/>
      <c r="S187" s="14"/>
      <c r="T187" s="14"/>
      <c r="U187" s="14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ht="15.75" customHeight="1">
      <c r="A188" s="9"/>
      <c r="B188" s="9"/>
      <c r="C188" s="9"/>
      <c r="D188" s="14"/>
      <c r="E188" s="14"/>
      <c r="F188" s="75"/>
      <c r="G188" s="75"/>
      <c r="H188" s="75"/>
      <c r="I188" s="14"/>
      <c r="J188" s="14"/>
      <c r="K188" s="76"/>
      <c r="L188" s="76"/>
      <c r="M188" s="76"/>
      <c r="N188" s="76"/>
      <c r="O188" s="76"/>
      <c r="P188" s="76"/>
      <c r="Q188" s="76"/>
      <c r="R188" s="14"/>
      <c r="S188" s="14"/>
      <c r="T188" s="14"/>
      <c r="U188" s="14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ht="15.75" customHeight="1">
      <c r="A189" s="9"/>
      <c r="B189" s="9"/>
      <c r="C189" s="9"/>
      <c r="D189" s="14"/>
      <c r="E189" s="14"/>
      <c r="F189" s="75"/>
      <c r="G189" s="75"/>
      <c r="H189" s="75"/>
      <c r="I189" s="14"/>
      <c r="J189" s="14"/>
      <c r="K189" s="76"/>
      <c r="L189" s="76"/>
      <c r="M189" s="76"/>
      <c r="N189" s="76"/>
      <c r="O189" s="76"/>
      <c r="P189" s="76"/>
      <c r="Q189" s="76"/>
      <c r="R189" s="14"/>
      <c r="S189" s="14"/>
      <c r="T189" s="14"/>
      <c r="U189" s="14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ht="15.75" customHeight="1">
      <c r="A190" s="9"/>
      <c r="B190" s="9"/>
      <c r="C190" s="9"/>
      <c r="D190" s="14"/>
      <c r="E190" s="14"/>
      <c r="F190" s="75"/>
      <c r="G190" s="75"/>
      <c r="H190" s="75"/>
      <c r="I190" s="14"/>
      <c r="J190" s="14"/>
      <c r="K190" s="76"/>
      <c r="L190" s="76"/>
      <c r="M190" s="76"/>
      <c r="N190" s="76"/>
      <c r="O190" s="76"/>
      <c r="P190" s="76"/>
      <c r="Q190" s="76"/>
      <c r="R190" s="14"/>
      <c r="S190" s="14"/>
      <c r="T190" s="14"/>
      <c r="U190" s="14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ht="15.75" customHeight="1">
      <c r="A191" s="9"/>
      <c r="B191" s="9"/>
      <c r="C191" s="9"/>
      <c r="D191" s="14"/>
      <c r="E191" s="14"/>
      <c r="F191" s="75"/>
      <c r="G191" s="75"/>
      <c r="H191" s="75"/>
      <c r="I191" s="14"/>
      <c r="J191" s="14"/>
      <c r="K191" s="76"/>
      <c r="L191" s="76"/>
      <c r="M191" s="76"/>
      <c r="N191" s="76"/>
      <c r="O191" s="76"/>
      <c r="P191" s="76"/>
      <c r="Q191" s="76"/>
      <c r="R191" s="14"/>
      <c r="S191" s="14"/>
      <c r="T191" s="14"/>
      <c r="U191" s="14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ht="15.75" customHeight="1">
      <c r="A192" s="9"/>
      <c r="B192" s="9"/>
      <c r="C192" s="9"/>
      <c r="D192" s="14"/>
      <c r="E192" s="14"/>
      <c r="F192" s="75"/>
      <c r="G192" s="75"/>
      <c r="H192" s="75"/>
      <c r="I192" s="14"/>
      <c r="J192" s="14"/>
      <c r="K192" s="76"/>
      <c r="L192" s="76"/>
      <c r="M192" s="76"/>
      <c r="N192" s="76"/>
      <c r="O192" s="76"/>
      <c r="P192" s="76"/>
      <c r="Q192" s="76"/>
      <c r="R192" s="14"/>
      <c r="S192" s="14"/>
      <c r="T192" s="14"/>
      <c r="U192" s="14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ht="15.75" customHeight="1">
      <c r="A193" s="9"/>
      <c r="B193" s="9"/>
      <c r="C193" s="9"/>
      <c r="D193" s="14"/>
      <c r="E193" s="14"/>
      <c r="F193" s="75"/>
      <c r="G193" s="75"/>
      <c r="H193" s="75"/>
      <c r="I193" s="14"/>
      <c r="J193" s="14"/>
      <c r="K193" s="76"/>
      <c r="L193" s="76"/>
      <c r="M193" s="76"/>
      <c r="N193" s="76"/>
      <c r="O193" s="76"/>
      <c r="P193" s="76"/>
      <c r="Q193" s="76"/>
      <c r="R193" s="14"/>
      <c r="S193" s="14"/>
      <c r="T193" s="14"/>
      <c r="U193" s="14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ht="15.75" customHeight="1">
      <c r="A194" s="9"/>
      <c r="B194" s="9"/>
      <c r="C194" s="9"/>
      <c r="D194" s="14"/>
      <c r="E194" s="14"/>
      <c r="F194" s="75"/>
      <c r="G194" s="75"/>
      <c r="H194" s="75"/>
      <c r="I194" s="14"/>
      <c r="J194" s="14"/>
      <c r="K194" s="76"/>
      <c r="L194" s="76"/>
      <c r="M194" s="76"/>
      <c r="N194" s="76"/>
      <c r="O194" s="76"/>
      <c r="P194" s="76"/>
      <c r="Q194" s="76"/>
      <c r="R194" s="14"/>
      <c r="S194" s="14"/>
      <c r="T194" s="14"/>
      <c r="U194" s="14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ht="15.75" customHeight="1">
      <c r="A195" s="9"/>
      <c r="B195" s="9"/>
      <c r="C195" s="9"/>
      <c r="D195" s="14"/>
      <c r="E195" s="14"/>
      <c r="F195" s="75"/>
      <c r="G195" s="75"/>
      <c r="H195" s="75"/>
      <c r="I195" s="14"/>
      <c r="J195" s="14"/>
      <c r="K195" s="76"/>
      <c r="L195" s="76"/>
      <c r="M195" s="76"/>
      <c r="N195" s="76"/>
      <c r="O195" s="76"/>
      <c r="P195" s="76"/>
      <c r="Q195" s="76"/>
      <c r="R195" s="14"/>
      <c r="S195" s="14"/>
      <c r="T195" s="14"/>
      <c r="U195" s="14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ht="15.75" customHeight="1">
      <c r="A196" s="9"/>
      <c r="B196" s="9"/>
      <c r="C196" s="9"/>
      <c r="D196" s="14"/>
      <c r="E196" s="14"/>
      <c r="F196" s="75"/>
      <c r="G196" s="75"/>
      <c r="H196" s="75"/>
      <c r="I196" s="14"/>
      <c r="J196" s="14"/>
      <c r="K196" s="76"/>
      <c r="L196" s="76"/>
      <c r="M196" s="76"/>
      <c r="N196" s="76"/>
      <c r="O196" s="76"/>
      <c r="P196" s="76"/>
      <c r="Q196" s="76"/>
      <c r="R196" s="14"/>
      <c r="S196" s="14"/>
      <c r="T196" s="14"/>
      <c r="U196" s="14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ht="15.75" customHeight="1">
      <c r="A197" s="9"/>
      <c r="B197" s="9"/>
      <c r="C197" s="9"/>
      <c r="D197" s="14"/>
      <c r="E197" s="14"/>
      <c r="F197" s="75"/>
      <c r="G197" s="75"/>
      <c r="H197" s="75"/>
      <c r="I197" s="14"/>
      <c r="J197" s="14"/>
      <c r="K197" s="76"/>
      <c r="L197" s="76"/>
      <c r="M197" s="76"/>
      <c r="N197" s="76"/>
      <c r="O197" s="76"/>
      <c r="P197" s="76"/>
      <c r="Q197" s="76"/>
      <c r="R197" s="14"/>
      <c r="S197" s="14"/>
      <c r="T197" s="14"/>
      <c r="U197" s="14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ht="15.75" customHeight="1">
      <c r="A198" s="9"/>
      <c r="B198" s="9"/>
      <c r="C198" s="9"/>
      <c r="D198" s="14"/>
      <c r="E198" s="14"/>
      <c r="F198" s="75"/>
      <c r="G198" s="75"/>
      <c r="H198" s="75"/>
      <c r="I198" s="14"/>
      <c r="J198" s="14"/>
      <c r="K198" s="76"/>
      <c r="L198" s="76"/>
      <c r="M198" s="76"/>
      <c r="N198" s="76"/>
      <c r="O198" s="76"/>
      <c r="P198" s="76"/>
      <c r="Q198" s="76"/>
      <c r="R198" s="14"/>
      <c r="S198" s="14"/>
      <c r="T198" s="14"/>
      <c r="U198" s="14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ht="15.75" customHeight="1">
      <c r="A199" s="9"/>
      <c r="B199" s="9"/>
      <c r="C199" s="9"/>
      <c r="D199" s="14"/>
      <c r="E199" s="14"/>
      <c r="F199" s="75"/>
      <c r="G199" s="75"/>
      <c r="H199" s="75"/>
      <c r="I199" s="14"/>
      <c r="J199" s="14"/>
      <c r="K199" s="76"/>
      <c r="L199" s="76"/>
      <c r="M199" s="76"/>
      <c r="N199" s="76"/>
      <c r="O199" s="76"/>
      <c r="P199" s="76"/>
      <c r="Q199" s="76"/>
      <c r="R199" s="14"/>
      <c r="S199" s="14"/>
      <c r="T199" s="14"/>
      <c r="U199" s="14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ht="15.75" customHeight="1">
      <c r="A200" s="9"/>
      <c r="B200" s="9"/>
      <c r="C200" s="9"/>
      <c r="D200" s="14"/>
      <c r="E200" s="14"/>
      <c r="F200" s="75"/>
      <c r="G200" s="75"/>
      <c r="H200" s="75"/>
      <c r="I200" s="14"/>
      <c r="J200" s="14"/>
      <c r="K200" s="76"/>
      <c r="L200" s="76"/>
      <c r="M200" s="76"/>
      <c r="N200" s="76"/>
      <c r="O200" s="76"/>
      <c r="P200" s="76"/>
      <c r="Q200" s="76"/>
      <c r="R200" s="14"/>
      <c r="S200" s="14"/>
      <c r="T200" s="14"/>
      <c r="U200" s="14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ht="15.75" customHeight="1">
      <c r="A201" s="9"/>
      <c r="B201" s="9"/>
      <c r="C201" s="9"/>
      <c r="D201" s="14"/>
      <c r="E201" s="14"/>
      <c r="F201" s="75"/>
      <c r="G201" s="75"/>
      <c r="H201" s="75"/>
      <c r="I201" s="14"/>
      <c r="J201" s="14"/>
      <c r="K201" s="76"/>
      <c r="L201" s="76"/>
      <c r="M201" s="76"/>
      <c r="N201" s="76"/>
      <c r="O201" s="76"/>
      <c r="P201" s="76"/>
      <c r="Q201" s="76"/>
      <c r="R201" s="14"/>
      <c r="S201" s="14"/>
      <c r="T201" s="14"/>
      <c r="U201" s="14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ht="15.75" customHeight="1">
      <c r="A202" s="9"/>
      <c r="B202" s="9"/>
      <c r="C202" s="9"/>
      <c r="D202" s="14"/>
      <c r="E202" s="14"/>
      <c r="F202" s="75"/>
      <c r="G202" s="75"/>
      <c r="H202" s="75"/>
      <c r="I202" s="14"/>
      <c r="J202" s="14"/>
      <c r="K202" s="76"/>
      <c r="L202" s="76"/>
      <c r="M202" s="76"/>
      <c r="N202" s="76"/>
      <c r="O202" s="76"/>
      <c r="P202" s="76"/>
      <c r="Q202" s="76"/>
      <c r="R202" s="14"/>
      <c r="S202" s="14"/>
      <c r="T202" s="14"/>
      <c r="U202" s="14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ht="15.75" customHeight="1">
      <c r="A203" s="9"/>
      <c r="B203" s="9"/>
      <c r="C203" s="9"/>
      <c r="D203" s="14"/>
      <c r="E203" s="14"/>
      <c r="F203" s="75"/>
      <c r="G203" s="75"/>
      <c r="H203" s="75"/>
      <c r="I203" s="14"/>
      <c r="J203" s="14"/>
      <c r="K203" s="76"/>
      <c r="L203" s="76"/>
      <c r="M203" s="76"/>
      <c r="N203" s="76"/>
      <c r="O203" s="76"/>
      <c r="P203" s="76"/>
      <c r="Q203" s="76"/>
      <c r="R203" s="14"/>
      <c r="S203" s="14"/>
      <c r="T203" s="14"/>
      <c r="U203" s="14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ht="15.75" customHeight="1">
      <c r="A204" s="9"/>
      <c r="B204" s="9"/>
      <c r="C204" s="9"/>
      <c r="D204" s="14"/>
      <c r="E204" s="14"/>
      <c r="F204" s="75"/>
      <c r="G204" s="75"/>
      <c r="H204" s="75"/>
      <c r="I204" s="14"/>
      <c r="J204" s="14"/>
      <c r="K204" s="76"/>
      <c r="L204" s="76"/>
      <c r="M204" s="76"/>
      <c r="N204" s="76"/>
      <c r="O204" s="76"/>
      <c r="P204" s="76"/>
      <c r="Q204" s="76"/>
      <c r="R204" s="14"/>
      <c r="S204" s="14"/>
      <c r="T204" s="14"/>
      <c r="U204" s="14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ht="15.75" customHeight="1">
      <c r="A205" s="9"/>
      <c r="B205" s="9"/>
      <c r="C205" s="9"/>
      <c r="D205" s="14"/>
      <c r="E205" s="14"/>
      <c r="F205" s="75"/>
      <c r="G205" s="75"/>
      <c r="H205" s="75"/>
      <c r="I205" s="14"/>
      <c r="J205" s="14"/>
      <c r="K205" s="76"/>
      <c r="L205" s="76"/>
      <c r="M205" s="76"/>
      <c r="N205" s="76"/>
      <c r="O205" s="76"/>
      <c r="P205" s="76"/>
      <c r="Q205" s="76"/>
      <c r="R205" s="14"/>
      <c r="S205" s="14"/>
      <c r="T205" s="14"/>
      <c r="U205" s="14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ht="15.75" customHeight="1">
      <c r="A206" s="9"/>
      <c r="B206" s="9"/>
      <c r="C206" s="9"/>
      <c r="D206" s="14"/>
      <c r="E206" s="14"/>
      <c r="F206" s="75"/>
      <c r="G206" s="75"/>
      <c r="H206" s="75"/>
      <c r="I206" s="14"/>
      <c r="J206" s="14"/>
      <c r="K206" s="76"/>
      <c r="L206" s="76"/>
      <c r="M206" s="76"/>
      <c r="N206" s="76"/>
      <c r="O206" s="76"/>
      <c r="P206" s="76"/>
      <c r="Q206" s="76"/>
      <c r="R206" s="14"/>
      <c r="S206" s="14"/>
      <c r="T206" s="14"/>
      <c r="U206" s="14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ht="15.75" customHeight="1">
      <c r="A207" s="9"/>
      <c r="B207" s="9"/>
      <c r="C207" s="9"/>
      <c r="D207" s="14"/>
      <c r="E207" s="14"/>
      <c r="F207" s="75"/>
      <c r="G207" s="75"/>
      <c r="H207" s="75"/>
      <c r="I207" s="14"/>
      <c r="J207" s="14"/>
      <c r="K207" s="76"/>
      <c r="L207" s="76"/>
      <c r="M207" s="76"/>
      <c r="N207" s="76"/>
      <c r="O207" s="76"/>
      <c r="P207" s="76"/>
      <c r="Q207" s="76"/>
      <c r="R207" s="14"/>
      <c r="S207" s="14"/>
      <c r="T207" s="14"/>
      <c r="U207" s="14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ht="15.75" customHeight="1">
      <c r="A208" s="9"/>
      <c r="B208" s="9"/>
      <c r="C208" s="9"/>
      <c r="D208" s="14"/>
      <c r="E208" s="14"/>
      <c r="F208" s="75"/>
      <c r="G208" s="75"/>
      <c r="H208" s="75"/>
      <c r="I208" s="14"/>
      <c r="J208" s="14"/>
      <c r="K208" s="76"/>
      <c r="L208" s="76"/>
      <c r="M208" s="76"/>
      <c r="N208" s="76"/>
      <c r="O208" s="76"/>
      <c r="P208" s="76"/>
      <c r="Q208" s="76"/>
      <c r="R208" s="14"/>
      <c r="S208" s="14"/>
      <c r="T208" s="14"/>
      <c r="U208" s="14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ht="15.75" customHeight="1">
      <c r="A209" s="9"/>
      <c r="B209" s="9"/>
      <c r="C209" s="9"/>
      <c r="D209" s="14"/>
      <c r="E209" s="14"/>
      <c r="F209" s="75"/>
      <c r="G209" s="75"/>
      <c r="H209" s="75"/>
      <c r="I209" s="14"/>
      <c r="J209" s="14"/>
      <c r="K209" s="76"/>
      <c r="L209" s="76"/>
      <c r="M209" s="76"/>
      <c r="N209" s="76"/>
      <c r="O209" s="76"/>
      <c r="P209" s="76"/>
      <c r="Q209" s="76"/>
      <c r="R209" s="14"/>
      <c r="S209" s="14"/>
      <c r="T209" s="14"/>
      <c r="U209" s="14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ht="15.75" customHeight="1">
      <c r="A210" s="9"/>
      <c r="B210" s="9"/>
      <c r="C210" s="9"/>
      <c r="D210" s="14"/>
      <c r="E210" s="14"/>
      <c r="F210" s="75"/>
      <c r="G210" s="75"/>
      <c r="H210" s="75"/>
      <c r="I210" s="14"/>
      <c r="J210" s="14"/>
      <c r="K210" s="76"/>
      <c r="L210" s="76"/>
      <c r="M210" s="76"/>
      <c r="N210" s="76"/>
      <c r="O210" s="76"/>
      <c r="P210" s="76"/>
      <c r="Q210" s="76"/>
      <c r="R210" s="14"/>
      <c r="S210" s="14"/>
      <c r="T210" s="14"/>
      <c r="U210" s="14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ht="15.75" customHeight="1">
      <c r="A211" s="9"/>
      <c r="B211" s="9"/>
      <c r="C211" s="9"/>
      <c r="D211" s="14"/>
      <c r="E211" s="14"/>
      <c r="F211" s="75"/>
      <c r="G211" s="75"/>
      <c r="H211" s="75"/>
      <c r="I211" s="14"/>
      <c r="J211" s="14"/>
      <c r="K211" s="76"/>
      <c r="L211" s="76"/>
      <c r="M211" s="76"/>
      <c r="N211" s="76"/>
      <c r="O211" s="76"/>
      <c r="P211" s="76"/>
      <c r="Q211" s="76"/>
      <c r="R211" s="14"/>
      <c r="S211" s="14"/>
      <c r="T211" s="14"/>
      <c r="U211" s="14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ht="15.75" customHeight="1">
      <c r="A212" s="9"/>
      <c r="B212" s="9"/>
      <c r="C212" s="9"/>
      <c r="D212" s="14"/>
      <c r="E212" s="14"/>
      <c r="F212" s="75"/>
      <c r="G212" s="75"/>
      <c r="H212" s="75"/>
      <c r="I212" s="14"/>
      <c r="J212" s="14"/>
      <c r="K212" s="76"/>
      <c r="L212" s="76"/>
      <c r="M212" s="76"/>
      <c r="N212" s="76"/>
      <c r="O212" s="76"/>
      <c r="P212" s="76"/>
      <c r="Q212" s="76"/>
      <c r="R212" s="14"/>
      <c r="S212" s="14"/>
      <c r="T212" s="14"/>
      <c r="U212" s="14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ht="15.75" customHeight="1">
      <c r="A213" s="9"/>
      <c r="B213" s="9"/>
      <c r="C213" s="9"/>
      <c r="D213" s="14"/>
      <c r="E213" s="14"/>
      <c r="F213" s="75"/>
      <c r="G213" s="75"/>
      <c r="H213" s="75"/>
      <c r="I213" s="14"/>
      <c r="J213" s="14"/>
      <c r="K213" s="76"/>
      <c r="L213" s="76"/>
      <c r="M213" s="76"/>
      <c r="N213" s="76"/>
      <c r="O213" s="76"/>
      <c r="P213" s="76"/>
      <c r="Q213" s="76"/>
      <c r="R213" s="14"/>
      <c r="S213" s="14"/>
      <c r="T213" s="14"/>
      <c r="U213" s="14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ht="15.75" customHeight="1">
      <c r="A214" s="9"/>
      <c r="B214" s="9"/>
      <c r="C214" s="9"/>
      <c r="D214" s="14"/>
      <c r="E214" s="14"/>
      <c r="F214" s="75"/>
      <c r="G214" s="75"/>
      <c r="H214" s="75"/>
      <c r="I214" s="14"/>
      <c r="J214" s="14"/>
      <c r="K214" s="76"/>
      <c r="L214" s="76"/>
      <c r="M214" s="76"/>
      <c r="N214" s="76"/>
      <c r="O214" s="76"/>
      <c r="P214" s="76"/>
      <c r="Q214" s="76"/>
      <c r="R214" s="14"/>
      <c r="S214" s="14"/>
      <c r="T214" s="14"/>
      <c r="U214" s="14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ht="15.75" customHeight="1">
      <c r="A215" s="9"/>
      <c r="B215" s="9"/>
      <c r="C215" s="9"/>
      <c r="D215" s="14"/>
      <c r="E215" s="14"/>
      <c r="F215" s="75"/>
      <c r="G215" s="75"/>
      <c r="H215" s="75"/>
      <c r="I215" s="14"/>
      <c r="J215" s="14"/>
      <c r="K215" s="76"/>
      <c r="L215" s="76"/>
      <c r="M215" s="76"/>
      <c r="N215" s="76"/>
      <c r="O215" s="76"/>
      <c r="P215" s="76"/>
      <c r="Q215" s="76"/>
      <c r="R215" s="14"/>
      <c r="S215" s="14"/>
      <c r="T215" s="14"/>
      <c r="U215" s="14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ht="15.75" customHeight="1">
      <c r="A216" s="9"/>
      <c r="B216" s="9"/>
      <c r="C216" s="9"/>
      <c r="D216" s="14"/>
      <c r="E216" s="14"/>
      <c r="F216" s="75"/>
      <c r="G216" s="75"/>
      <c r="H216" s="75"/>
      <c r="I216" s="14"/>
      <c r="J216" s="14"/>
      <c r="K216" s="76"/>
      <c r="L216" s="76"/>
      <c r="M216" s="76"/>
      <c r="N216" s="76"/>
      <c r="O216" s="76"/>
      <c r="P216" s="76"/>
      <c r="Q216" s="76"/>
      <c r="R216" s="14"/>
      <c r="S216" s="14"/>
      <c r="T216" s="14"/>
      <c r="U216" s="14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ht="15.75" customHeight="1">
      <c r="A217" s="9"/>
      <c r="B217" s="9"/>
      <c r="C217" s="9"/>
      <c r="D217" s="14"/>
      <c r="E217" s="14"/>
      <c r="F217" s="75"/>
      <c r="G217" s="75"/>
      <c r="H217" s="75"/>
      <c r="I217" s="14"/>
      <c r="J217" s="14"/>
      <c r="K217" s="76"/>
      <c r="L217" s="76"/>
      <c r="M217" s="76"/>
      <c r="N217" s="76"/>
      <c r="O217" s="76"/>
      <c r="P217" s="76"/>
      <c r="Q217" s="76"/>
      <c r="R217" s="14"/>
      <c r="S217" s="14"/>
      <c r="T217" s="14"/>
      <c r="U217" s="14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ht="15.75" customHeight="1">
      <c r="A218" s="9"/>
      <c r="B218" s="9"/>
      <c r="C218" s="9"/>
      <c r="D218" s="14"/>
      <c r="E218" s="14"/>
      <c r="F218" s="75"/>
      <c r="G218" s="75"/>
      <c r="H218" s="75"/>
      <c r="I218" s="14"/>
      <c r="J218" s="14"/>
      <c r="K218" s="76"/>
      <c r="L218" s="76"/>
      <c r="M218" s="76"/>
      <c r="N218" s="76"/>
      <c r="O218" s="76"/>
      <c r="P218" s="76"/>
      <c r="Q218" s="76"/>
      <c r="R218" s="14"/>
      <c r="S218" s="14"/>
      <c r="T218" s="14"/>
      <c r="U218" s="14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ht="15.75" customHeight="1">
      <c r="A219" s="9"/>
      <c r="B219" s="9"/>
      <c r="C219" s="9"/>
      <c r="D219" s="14"/>
      <c r="E219" s="14"/>
      <c r="F219" s="75"/>
      <c r="G219" s="75"/>
      <c r="H219" s="75"/>
      <c r="I219" s="14"/>
      <c r="J219" s="14"/>
      <c r="K219" s="76"/>
      <c r="L219" s="76"/>
      <c r="M219" s="76"/>
      <c r="N219" s="76"/>
      <c r="O219" s="76"/>
      <c r="P219" s="76"/>
      <c r="Q219" s="76"/>
      <c r="R219" s="14"/>
      <c r="S219" s="14"/>
      <c r="T219" s="14"/>
      <c r="U219" s="14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ht="15.75" customHeight="1">
      <c r="A220" s="9"/>
      <c r="B220" s="9"/>
      <c r="C220" s="9"/>
      <c r="D220" s="14"/>
      <c r="E220" s="14"/>
      <c r="F220" s="75"/>
      <c r="G220" s="75"/>
      <c r="H220" s="75"/>
      <c r="I220" s="14"/>
      <c r="J220" s="14"/>
      <c r="K220" s="76"/>
      <c r="L220" s="76"/>
      <c r="M220" s="76"/>
      <c r="N220" s="76"/>
      <c r="O220" s="76"/>
      <c r="P220" s="76"/>
      <c r="Q220" s="76"/>
      <c r="R220" s="14"/>
      <c r="S220" s="14"/>
      <c r="T220" s="14"/>
      <c r="U220" s="14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ht="15.75" customHeight="1">
      <c r="A221" s="9"/>
      <c r="B221" s="9"/>
      <c r="C221" s="9"/>
      <c r="D221" s="14"/>
      <c r="E221" s="14"/>
      <c r="F221" s="75"/>
      <c r="G221" s="75"/>
      <c r="H221" s="75"/>
      <c r="I221" s="14"/>
      <c r="J221" s="14"/>
      <c r="K221" s="76"/>
      <c r="L221" s="76"/>
      <c r="M221" s="76"/>
      <c r="N221" s="76"/>
      <c r="O221" s="76"/>
      <c r="P221" s="76"/>
      <c r="Q221" s="76"/>
      <c r="R221" s="14"/>
      <c r="S221" s="14"/>
      <c r="T221" s="14"/>
      <c r="U221" s="14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ht="15.75" customHeight="1">
      <c r="A222" s="9"/>
      <c r="B222" s="9"/>
      <c r="C222" s="9"/>
      <c r="D222" s="14"/>
      <c r="E222" s="14"/>
      <c r="F222" s="75"/>
      <c r="G222" s="75"/>
      <c r="H222" s="75"/>
      <c r="I222" s="14"/>
      <c r="J222" s="14"/>
      <c r="K222" s="76"/>
      <c r="L222" s="76"/>
      <c r="M222" s="76"/>
      <c r="N222" s="76"/>
      <c r="O222" s="76"/>
      <c r="P222" s="76"/>
      <c r="Q222" s="76"/>
      <c r="R222" s="14"/>
      <c r="S222" s="14"/>
      <c r="T222" s="14"/>
      <c r="U222" s="14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ht="15.75" customHeight="1">
      <c r="A223" s="9"/>
      <c r="B223" s="9"/>
      <c r="C223" s="9"/>
      <c r="D223" s="14"/>
      <c r="E223" s="14"/>
      <c r="F223" s="75"/>
      <c r="G223" s="75"/>
      <c r="H223" s="75"/>
      <c r="I223" s="14"/>
      <c r="J223" s="14"/>
      <c r="K223" s="76"/>
      <c r="L223" s="76"/>
      <c r="M223" s="76"/>
      <c r="N223" s="76"/>
      <c r="O223" s="76"/>
      <c r="P223" s="76"/>
      <c r="Q223" s="76"/>
      <c r="R223" s="14"/>
      <c r="S223" s="14"/>
      <c r="T223" s="14"/>
      <c r="U223" s="14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ht="15.75" customHeight="1">
      <c r="A224" s="9"/>
      <c r="B224" s="9"/>
      <c r="C224" s="9"/>
      <c r="D224" s="14"/>
      <c r="E224" s="14"/>
      <c r="F224" s="75"/>
      <c r="G224" s="75"/>
      <c r="H224" s="75"/>
      <c r="I224" s="14"/>
      <c r="J224" s="14"/>
      <c r="K224" s="76"/>
      <c r="L224" s="76"/>
      <c r="M224" s="76"/>
      <c r="N224" s="76"/>
      <c r="O224" s="76"/>
      <c r="P224" s="76"/>
      <c r="Q224" s="76"/>
      <c r="R224" s="14"/>
      <c r="S224" s="14"/>
      <c r="T224" s="14"/>
      <c r="U224" s="14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</row>
  </sheetData>
  <mergeCells count="6">
    <mergeCell ref="A1:C1"/>
    <mergeCell ref="E1:N1"/>
    <mergeCell ref="O1:X1"/>
    <mergeCell ref="Y1:AI1"/>
    <mergeCell ref="A71:AW74"/>
    <mergeCell ref="AJ1:AR1"/>
  </mergeCells>
  <conditionalFormatting sqref="O4:AJ70 AK4 AL4:AR70 O75:W133 X75:X84 Y75:Y133 Z75:Z84 AA75:AJ133 AK75 AL75:AO134 AP75:AR133">
    <cfRule type="cellIs" dxfId="0" priority="1" operator="equal">
      <formula>"P"</formula>
    </cfRule>
  </conditionalFormatting>
  <conditionalFormatting sqref="D4:AJ70 AK4 AL4:AR70 D75:D132 E75:G134 H75:W133 X75:X84 Y75:Y133 Z75:Z84 AA75:AJ133 AK75 AL75:AO134 AP75:AR133">
    <cfRule type="cellIs" dxfId="1" priority="2" operator="equal">
      <formula>"A"</formula>
    </cfRule>
  </conditionalFormatting>
  <printOptions/>
  <pageMargins bottom="0.75" footer="0.0" header="0.0" left="0.7" right="0.7" top="0.75"/>
  <pageSetup paperSize="9" orientation="portrait"/>
  <drawing r:id="rId1"/>
</worksheet>
</file>