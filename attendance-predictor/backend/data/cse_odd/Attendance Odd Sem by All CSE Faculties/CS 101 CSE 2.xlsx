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A22F480-F9EB-4DEC-9A28-D4EAB654447C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Lecture" sheetId="3" r:id="rId1"/>
    <sheet name="G1" sheetId="1" r:id="rId2"/>
    <sheet name="G2" sheetId="2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mepRunbMUoSUlfB65cL4S06tg2Nh80IQI/aCjjnXmtc="/>
    </ext>
  </extLst>
</workbook>
</file>

<file path=xl/calcChain.xml><?xml version="1.0" encoding="utf-8"?>
<calcChain xmlns="http://schemas.openxmlformats.org/spreadsheetml/2006/main">
  <c r="G32" i="4" l="1"/>
  <c r="G48" i="4"/>
  <c r="E54" i="4"/>
  <c r="E55" i="4"/>
  <c r="E56" i="4"/>
  <c r="F56" i="4" s="1"/>
  <c r="G56" i="4" s="1"/>
  <c r="E57" i="4"/>
  <c r="E58" i="4"/>
  <c r="E59" i="4"/>
  <c r="E60" i="4"/>
  <c r="E61" i="4"/>
  <c r="E62" i="4"/>
  <c r="E63" i="4"/>
  <c r="E64" i="4"/>
  <c r="F64" i="4" s="1"/>
  <c r="G64" i="4" s="1"/>
  <c r="E65" i="4"/>
  <c r="E66" i="4"/>
  <c r="E67" i="4"/>
  <c r="E68" i="4"/>
  <c r="E69" i="4"/>
  <c r="E70" i="4"/>
  <c r="E71" i="4"/>
  <c r="E72" i="4"/>
  <c r="F72" i="4" s="1"/>
  <c r="G72" i="4" s="1"/>
  <c r="E73" i="4"/>
  <c r="E74" i="4"/>
  <c r="E75" i="4"/>
  <c r="E76" i="4"/>
  <c r="E77" i="4"/>
  <c r="E78" i="4"/>
  <c r="E79" i="4"/>
  <c r="E80" i="4"/>
  <c r="F80" i="4" s="1"/>
  <c r="G80" i="4" s="1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53" i="4"/>
  <c r="E28" i="4"/>
  <c r="E29" i="4"/>
  <c r="E30" i="4"/>
  <c r="E31" i="4"/>
  <c r="E32" i="4"/>
  <c r="F32" i="4" s="1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F48" i="4" s="1"/>
  <c r="E49" i="4"/>
  <c r="E50" i="4"/>
  <c r="E51" i="4"/>
  <c r="E52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6" i="4"/>
  <c r="D6" i="4"/>
  <c r="D16" i="4"/>
  <c r="F16" i="4" s="1"/>
  <c r="G16" i="4" s="1"/>
  <c r="D99" i="4"/>
  <c r="D7" i="4"/>
  <c r="F7" i="4" s="1"/>
  <c r="G7" i="4" s="1"/>
  <c r="D8" i="4"/>
  <c r="F8" i="4" s="1"/>
  <c r="G8" i="4" s="1"/>
  <c r="D9" i="4"/>
  <c r="D10" i="4"/>
  <c r="D11" i="4"/>
  <c r="D12" i="4"/>
  <c r="F12" i="4" s="1"/>
  <c r="G12" i="4" s="1"/>
  <c r="D13" i="4"/>
  <c r="F13" i="4" s="1"/>
  <c r="G13" i="4" s="1"/>
  <c r="D14" i="4"/>
  <c r="F14" i="4" s="1"/>
  <c r="G14" i="4" s="1"/>
  <c r="D15" i="4"/>
  <c r="F15" i="4" s="1"/>
  <c r="G15" i="4" s="1"/>
  <c r="D17" i="4"/>
  <c r="F17" i="4" s="1"/>
  <c r="G17" i="4" s="1"/>
  <c r="D18" i="4"/>
  <c r="F18" i="4" s="1"/>
  <c r="G18" i="4" s="1"/>
  <c r="D19" i="4"/>
  <c r="D20" i="4"/>
  <c r="D21" i="4"/>
  <c r="F21" i="4" s="1"/>
  <c r="G21" i="4" s="1"/>
  <c r="D22" i="4"/>
  <c r="F22" i="4" s="1"/>
  <c r="G22" i="4" s="1"/>
  <c r="D23" i="4"/>
  <c r="F23" i="4" s="1"/>
  <c r="G23" i="4" s="1"/>
  <c r="D24" i="4"/>
  <c r="F24" i="4" s="1"/>
  <c r="G24" i="4" s="1"/>
  <c r="D25" i="4"/>
  <c r="F25" i="4" s="1"/>
  <c r="G25" i="4" s="1"/>
  <c r="D26" i="4"/>
  <c r="D27" i="4"/>
  <c r="D28" i="4"/>
  <c r="D29" i="4"/>
  <c r="D30" i="4"/>
  <c r="F30" i="4" s="1"/>
  <c r="G30" i="4" s="1"/>
  <c r="D31" i="4"/>
  <c r="F31" i="4" s="1"/>
  <c r="G31" i="4" s="1"/>
  <c r="D32" i="4"/>
  <c r="D33" i="4"/>
  <c r="D34" i="4"/>
  <c r="D35" i="4"/>
  <c r="D36" i="4"/>
  <c r="F36" i="4" s="1"/>
  <c r="G36" i="4" s="1"/>
  <c r="D37" i="4"/>
  <c r="F37" i="4" s="1"/>
  <c r="G37" i="4" s="1"/>
  <c r="D38" i="4"/>
  <c r="F38" i="4" s="1"/>
  <c r="G38" i="4" s="1"/>
  <c r="D39" i="4"/>
  <c r="F39" i="4" s="1"/>
  <c r="G39" i="4" s="1"/>
  <c r="D40" i="4"/>
  <c r="D41" i="4"/>
  <c r="D42" i="4"/>
  <c r="D43" i="4"/>
  <c r="D44" i="4"/>
  <c r="D45" i="4"/>
  <c r="F45" i="4" s="1"/>
  <c r="G45" i="4" s="1"/>
  <c r="D46" i="4"/>
  <c r="F46" i="4" s="1"/>
  <c r="G46" i="4" s="1"/>
  <c r="D47" i="4"/>
  <c r="F47" i="4" s="1"/>
  <c r="G47" i="4" s="1"/>
  <c r="D48" i="4"/>
  <c r="D49" i="4"/>
  <c r="D50" i="4"/>
  <c r="D51" i="4"/>
  <c r="D52" i="4"/>
  <c r="F52" i="4" s="1"/>
  <c r="G52" i="4" s="1"/>
  <c r="D53" i="4"/>
  <c r="D54" i="4"/>
  <c r="D55" i="4"/>
  <c r="D56" i="4"/>
  <c r="D57" i="4"/>
  <c r="D58" i="4"/>
  <c r="D59" i="4"/>
  <c r="F59" i="4" s="1"/>
  <c r="G59" i="4" s="1"/>
  <c r="D60" i="4"/>
  <c r="F60" i="4" s="1"/>
  <c r="G60" i="4" s="1"/>
  <c r="D61" i="4"/>
  <c r="F61" i="4" s="1"/>
  <c r="G61" i="4" s="1"/>
  <c r="D62" i="4"/>
  <c r="F62" i="4" s="1"/>
  <c r="G62" i="4" s="1"/>
  <c r="D63" i="4"/>
  <c r="D64" i="4"/>
  <c r="D65" i="4"/>
  <c r="F65" i="4" s="1"/>
  <c r="G65" i="4" s="1"/>
  <c r="D66" i="4"/>
  <c r="D67" i="4"/>
  <c r="F67" i="4" s="1"/>
  <c r="G67" i="4" s="1"/>
  <c r="D68" i="4"/>
  <c r="F68" i="4" s="1"/>
  <c r="G68" i="4" s="1"/>
  <c r="D69" i="4"/>
  <c r="F69" i="4" s="1"/>
  <c r="G69" i="4" s="1"/>
  <c r="D70" i="4"/>
  <c r="D71" i="4"/>
  <c r="D72" i="4"/>
  <c r="D73" i="4"/>
  <c r="D74" i="4"/>
  <c r="F74" i="4" s="1"/>
  <c r="G74" i="4" s="1"/>
  <c r="D75" i="4"/>
  <c r="F75" i="4" s="1"/>
  <c r="G75" i="4" s="1"/>
  <c r="D76" i="4"/>
  <c r="D77" i="4"/>
  <c r="D78" i="4"/>
  <c r="D79" i="4"/>
  <c r="D80" i="4"/>
  <c r="D81" i="4"/>
  <c r="F81" i="4" s="1"/>
  <c r="G81" i="4" s="1"/>
  <c r="D82" i="4"/>
  <c r="F82" i="4" s="1"/>
  <c r="G82" i="4" s="1"/>
  <c r="D83" i="4"/>
  <c r="F83" i="4" s="1"/>
  <c r="G83" i="4" s="1"/>
  <c r="D84" i="4"/>
  <c r="F84" i="4" s="1"/>
  <c r="G84" i="4" s="1"/>
  <c r="D85" i="4"/>
  <c r="D86" i="4"/>
  <c r="D87" i="4"/>
  <c r="F87" i="4" s="1"/>
  <c r="G87" i="4" s="1"/>
  <c r="D88" i="4"/>
  <c r="F88" i="4" s="1"/>
  <c r="G88" i="4" s="1"/>
  <c r="D89" i="4"/>
  <c r="F89" i="4" s="1"/>
  <c r="G89" i="4" s="1"/>
  <c r="D90" i="4"/>
  <c r="F90" i="4" s="1"/>
  <c r="G90" i="4" s="1"/>
  <c r="D91" i="4"/>
  <c r="F91" i="4" s="1"/>
  <c r="G91" i="4" s="1"/>
  <c r="D92" i="4"/>
  <c r="D93" i="4"/>
  <c r="D94" i="4"/>
  <c r="D95" i="4"/>
  <c r="D96" i="4"/>
  <c r="F96" i="4" s="1"/>
  <c r="G96" i="4" s="1"/>
  <c r="D97" i="4"/>
  <c r="F97" i="4" s="1"/>
  <c r="G97" i="4" s="1"/>
  <c r="D98" i="4"/>
  <c r="F53" i="4" l="1"/>
  <c r="G53" i="4" s="1"/>
  <c r="F95" i="4"/>
  <c r="G95" i="4" s="1"/>
  <c r="F51" i="4"/>
  <c r="G51" i="4" s="1"/>
  <c r="F99" i="4"/>
  <c r="G99" i="4" s="1"/>
  <c r="F28" i="4"/>
  <c r="G28" i="4" s="1"/>
  <c r="F93" i="4"/>
  <c r="G93" i="4" s="1"/>
  <c r="F71" i="4"/>
  <c r="G71" i="4" s="1"/>
  <c r="F49" i="4"/>
  <c r="G49" i="4" s="1"/>
  <c r="F27" i="4"/>
  <c r="G27" i="4" s="1"/>
  <c r="F6" i="4"/>
  <c r="G6" i="4" s="1"/>
  <c r="F73" i="4"/>
  <c r="G73" i="4" s="1"/>
  <c r="F29" i="4"/>
  <c r="G29" i="4" s="1"/>
  <c r="F94" i="4"/>
  <c r="G94" i="4" s="1"/>
  <c r="F50" i="4"/>
  <c r="G50" i="4" s="1"/>
  <c r="F92" i="4"/>
  <c r="G92" i="4" s="1"/>
  <c r="F70" i="4"/>
  <c r="G70" i="4" s="1"/>
  <c r="F26" i="4"/>
  <c r="G26" i="4" s="1"/>
  <c r="F66" i="4"/>
  <c r="G66" i="4" s="1"/>
  <c r="F44" i="4"/>
  <c r="G44" i="4" s="1"/>
  <c r="F43" i="4"/>
  <c r="G43" i="4" s="1"/>
  <c r="F86" i="4"/>
  <c r="G86" i="4" s="1"/>
  <c r="F42" i="4"/>
  <c r="G42" i="4" s="1"/>
  <c r="F20" i="4"/>
  <c r="G20" i="4" s="1"/>
  <c r="F85" i="4"/>
  <c r="G85" i="4" s="1"/>
  <c r="F63" i="4"/>
  <c r="G63" i="4" s="1"/>
  <c r="F41" i="4"/>
  <c r="G41" i="4" s="1"/>
  <c r="F19" i="4"/>
  <c r="G19" i="4" s="1"/>
  <c r="F58" i="4"/>
  <c r="G58" i="4" s="1"/>
  <c r="F40" i="4"/>
  <c r="G40" i="4" s="1"/>
  <c r="F79" i="4"/>
  <c r="G79" i="4" s="1"/>
  <c r="F57" i="4"/>
  <c r="G57" i="4" s="1"/>
  <c r="F35" i="4"/>
  <c r="G35" i="4" s="1"/>
  <c r="F78" i="4"/>
  <c r="G78" i="4" s="1"/>
  <c r="F34" i="4"/>
  <c r="G34" i="4" s="1"/>
  <c r="F11" i="4"/>
  <c r="G11" i="4" s="1"/>
  <c r="F77" i="4"/>
  <c r="G77" i="4" s="1"/>
  <c r="F55" i="4"/>
  <c r="G55" i="4" s="1"/>
  <c r="F33" i="4"/>
  <c r="G33" i="4" s="1"/>
  <c r="F10" i="4"/>
  <c r="G10" i="4" s="1"/>
  <c r="F98" i="4"/>
  <c r="G98" i="4" s="1"/>
  <c r="F76" i="4"/>
  <c r="G76" i="4" s="1"/>
  <c r="F54" i="4"/>
  <c r="G54" i="4" s="1"/>
  <c r="F9" i="4"/>
  <c r="G9" i="4" s="1"/>
  <c r="AB99" i="3"/>
  <c r="AA99" i="3"/>
  <c r="AB98" i="3"/>
  <c r="AA98" i="3"/>
  <c r="AB97" i="3"/>
  <c r="AA97" i="3"/>
  <c r="AB96" i="3"/>
  <c r="AA96" i="3"/>
  <c r="AB95" i="3"/>
  <c r="AA95" i="3"/>
  <c r="AB94" i="3"/>
  <c r="AA94" i="3"/>
  <c r="AB93" i="3"/>
  <c r="AA93" i="3"/>
  <c r="AB92" i="3"/>
  <c r="AA92" i="3"/>
  <c r="AB91" i="3"/>
  <c r="AA91" i="3"/>
  <c r="AB90" i="3"/>
  <c r="AA90" i="3"/>
  <c r="AB89" i="3"/>
  <c r="AA89" i="3"/>
  <c r="AB88" i="3"/>
  <c r="AA88" i="3"/>
  <c r="AB87" i="3"/>
  <c r="AA87" i="3"/>
  <c r="AB86" i="3"/>
  <c r="AA86" i="3"/>
  <c r="AB85" i="3"/>
  <c r="AA85" i="3"/>
  <c r="AB84" i="3"/>
  <c r="AA84" i="3"/>
  <c r="AB83" i="3"/>
  <c r="AA83" i="3"/>
  <c r="AB82" i="3"/>
  <c r="AA82" i="3"/>
  <c r="AB81" i="3"/>
  <c r="AA81" i="3"/>
  <c r="AB80" i="3"/>
  <c r="AA80" i="3"/>
  <c r="AB79" i="3"/>
  <c r="AA79" i="3"/>
  <c r="AB78" i="3"/>
  <c r="AA78" i="3"/>
  <c r="AB77" i="3"/>
  <c r="AA77" i="3"/>
  <c r="AB76" i="3"/>
  <c r="AA76" i="3"/>
  <c r="AB75" i="3"/>
  <c r="AA75" i="3"/>
  <c r="AB74" i="3"/>
  <c r="AA74" i="3"/>
  <c r="AB73" i="3"/>
  <c r="AA73" i="3"/>
  <c r="AB72" i="3"/>
  <c r="AA72" i="3"/>
  <c r="AB71" i="3"/>
  <c r="AA71" i="3"/>
  <c r="AB70" i="3"/>
  <c r="AA70" i="3"/>
  <c r="AB69" i="3"/>
  <c r="AA69" i="3"/>
  <c r="AB68" i="3"/>
  <c r="AA68" i="3"/>
  <c r="AB67" i="3"/>
  <c r="AA67" i="3"/>
  <c r="AB66" i="3"/>
  <c r="AA66" i="3"/>
  <c r="AB65" i="3"/>
  <c r="AA65" i="3"/>
  <c r="AB64" i="3"/>
  <c r="AA64" i="3"/>
  <c r="AB63" i="3"/>
  <c r="AA63" i="3"/>
  <c r="AB62" i="3"/>
  <c r="AA62" i="3"/>
  <c r="AB61" i="3"/>
  <c r="AA61" i="3"/>
  <c r="AB60" i="3"/>
  <c r="AA60" i="3"/>
  <c r="AB59" i="3"/>
  <c r="AA59" i="3"/>
  <c r="AB58" i="3"/>
  <c r="AA58" i="3"/>
  <c r="AB57" i="3"/>
  <c r="AA57" i="3"/>
  <c r="AB56" i="3"/>
  <c r="AA56" i="3"/>
  <c r="AB55" i="3"/>
  <c r="AA55" i="3"/>
  <c r="AB54" i="3"/>
  <c r="AA54" i="3"/>
  <c r="AB53" i="3"/>
  <c r="AA53" i="3"/>
  <c r="AB52" i="3"/>
  <c r="AA52" i="3"/>
  <c r="AB51" i="3"/>
  <c r="AA51" i="3"/>
  <c r="AB50" i="3"/>
  <c r="AA50" i="3"/>
  <c r="AB49" i="3"/>
  <c r="AA49" i="3"/>
  <c r="AB48" i="3"/>
  <c r="AA48" i="3"/>
  <c r="AB47" i="3"/>
  <c r="AA47" i="3"/>
  <c r="AB46" i="3"/>
  <c r="AA46" i="3"/>
  <c r="AB45" i="3"/>
  <c r="AA45" i="3"/>
  <c r="AB44" i="3"/>
  <c r="AA44" i="3"/>
  <c r="AB43" i="3"/>
  <c r="AA43" i="3"/>
  <c r="AB42" i="3"/>
  <c r="AA42" i="3"/>
  <c r="AB41" i="3"/>
  <c r="AA41" i="3"/>
  <c r="AB40" i="3"/>
  <c r="AA40" i="3"/>
  <c r="AB39" i="3"/>
  <c r="AA39" i="3"/>
  <c r="AB38" i="3"/>
  <c r="AA38" i="3"/>
  <c r="AB37" i="3"/>
  <c r="AA37" i="3"/>
  <c r="AB36" i="3"/>
  <c r="AA36" i="3"/>
  <c r="AB35" i="3"/>
  <c r="AA35" i="3"/>
  <c r="AB34" i="3"/>
  <c r="AA34" i="3"/>
  <c r="AB33" i="3"/>
  <c r="AA33" i="3"/>
  <c r="AB32" i="3"/>
  <c r="AA32" i="3"/>
  <c r="AB31" i="3"/>
  <c r="AA31" i="3"/>
  <c r="AB30" i="3"/>
  <c r="AA30" i="3"/>
  <c r="AB29" i="3"/>
  <c r="AA29" i="3"/>
  <c r="AB28" i="3"/>
  <c r="AA28" i="3"/>
  <c r="AB27" i="3"/>
  <c r="AA27" i="3"/>
  <c r="AB26" i="3"/>
  <c r="AA26" i="3"/>
  <c r="AB25" i="3"/>
  <c r="AA25" i="3"/>
  <c r="AB24" i="3"/>
  <c r="AA24" i="3"/>
  <c r="AB23" i="3"/>
  <c r="AA23" i="3"/>
  <c r="AB22" i="3"/>
  <c r="AA22" i="3"/>
  <c r="AB21" i="3"/>
  <c r="AA21" i="3"/>
  <c r="AB20" i="3"/>
  <c r="AA20" i="3"/>
  <c r="AB19" i="3"/>
  <c r="AA19" i="3"/>
  <c r="AB18" i="3"/>
  <c r="AA18" i="3"/>
  <c r="AB17" i="3"/>
  <c r="AA17" i="3"/>
  <c r="AB16" i="3"/>
  <c r="AA16" i="3"/>
  <c r="AB15" i="3"/>
  <c r="AA15" i="3"/>
  <c r="AB14" i="3"/>
  <c r="AA14" i="3"/>
  <c r="AB13" i="3"/>
  <c r="AA13" i="3"/>
  <c r="AB12" i="3"/>
  <c r="AA12" i="3"/>
  <c r="AB11" i="3"/>
  <c r="AA11" i="3"/>
  <c r="AB10" i="3"/>
  <c r="AA10" i="3"/>
  <c r="AB9" i="3"/>
  <c r="AA9" i="3"/>
  <c r="AB8" i="3"/>
  <c r="AA8" i="3"/>
  <c r="AB7" i="3"/>
  <c r="AA7" i="3"/>
  <c r="AB6" i="3"/>
  <c r="AA6" i="3"/>
  <c r="AD96" i="3" l="1"/>
  <c r="AD9" i="3"/>
  <c r="AD10" i="3"/>
  <c r="AD26" i="3"/>
  <c r="AD74" i="3"/>
  <c r="AD30" i="3"/>
  <c r="AD42" i="3"/>
  <c r="AD7" i="3"/>
  <c r="AD39" i="3"/>
  <c r="AD71" i="3"/>
  <c r="AC6" i="3"/>
  <c r="AD6" i="3" s="1"/>
  <c r="AC8" i="3"/>
  <c r="AD8" i="3" s="1"/>
  <c r="AC10" i="3"/>
  <c r="AC12" i="3"/>
  <c r="AD12" i="3" s="1"/>
  <c r="AC14" i="3"/>
  <c r="AD14" i="3" s="1"/>
  <c r="AC16" i="3"/>
  <c r="AD16" i="3" s="1"/>
  <c r="AC18" i="3"/>
  <c r="AD18" i="3" s="1"/>
  <c r="AC20" i="3"/>
  <c r="AD20" i="3" s="1"/>
  <c r="AC22" i="3"/>
  <c r="AD22" i="3" s="1"/>
  <c r="AC24" i="3"/>
  <c r="AD24" i="3" s="1"/>
  <c r="AC26" i="3"/>
  <c r="AC28" i="3"/>
  <c r="AD28" i="3" s="1"/>
  <c r="AC30" i="3"/>
  <c r="AC32" i="3"/>
  <c r="AD32" i="3" s="1"/>
  <c r="AC34" i="3"/>
  <c r="AD34" i="3" s="1"/>
  <c r="AC36" i="3"/>
  <c r="AD36" i="3" s="1"/>
  <c r="AC38" i="3"/>
  <c r="AD38" i="3" s="1"/>
  <c r="AC40" i="3"/>
  <c r="AD40" i="3" s="1"/>
  <c r="AC42" i="3"/>
  <c r="AC44" i="3"/>
  <c r="AD44" i="3" s="1"/>
  <c r="AC46" i="3"/>
  <c r="AD46" i="3" s="1"/>
  <c r="AC48" i="3"/>
  <c r="AD48" i="3" s="1"/>
  <c r="AC50" i="3"/>
  <c r="AD50" i="3" s="1"/>
  <c r="AC52" i="3"/>
  <c r="AD52" i="3" s="1"/>
  <c r="AC54" i="3"/>
  <c r="AD54" i="3" s="1"/>
  <c r="AC56" i="3"/>
  <c r="AD56" i="3" s="1"/>
  <c r="AC58" i="3"/>
  <c r="AD58" i="3" s="1"/>
  <c r="AC60" i="3"/>
  <c r="AD60" i="3" s="1"/>
  <c r="AC62" i="3"/>
  <c r="AD62" i="3" s="1"/>
  <c r="AC64" i="3"/>
  <c r="AD64" i="3" s="1"/>
  <c r="AC66" i="3"/>
  <c r="AD66" i="3" s="1"/>
  <c r="AC68" i="3"/>
  <c r="AD68" i="3" s="1"/>
  <c r="AC70" i="3"/>
  <c r="AD70" i="3" s="1"/>
  <c r="AC72" i="3"/>
  <c r="AD72" i="3" s="1"/>
  <c r="AC74" i="3"/>
  <c r="AC76" i="3"/>
  <c r="AD76" i="3" s="1"/>
  <c r="AC78" i="3"/>
  <c r="AD78" i="3" s="1"/>
  <c r="AC80" i="3"/>
  <c r="AD80" i="3" s="1"/>
  <c r="AC82" i="3"/>
  <c r="AD82" i="3" s="1"/>
  <c r="AC84" i="3"/>
  <c r="AD84" i="3" s="1"/>
  <c r="AC86" i="3"/>
  <c r="AD86" i="3" s="1"/>
  <c r="AC88" i="3"/>
  <c r="AD88" i="3" s="1"/>
  <c r="AC90" i="3"/>
  <c r="AD90" i="3" s="1"/>
  <c r="AC92" i="3"/>
  <c r="AD92" i="3" s="1"/>
  <c r="AC94" i="3"/>
  <c r="AD94" i="3" s="1"/>
  <c r="AC96" i="3"/>
  <c r="AC98" i="3"/>
  <c r="AD98" i="3" s="1"/>
  <c r="AC7" i="3"/>
  <c r="AC9" i="3"/>
  <c r="AC11" i="3"/>
  <c r="AD11" i="3" s="1"/>
  <c r="AC13" i="3"/>
  <c r="AD13" i="3" s="1"/>
  <c r="AC15" i="3"/>
  <c r="AD15" i="3" s="1"/>
  <c r="AC17" i="3"/>
  <c r="AD17" i="3" s="1"/>
  <c r="AC19" i="3"/>
  <c r="AD19" i="3" s="1"/>
  <c r="AC21" i="3"/>
  <c r="AD21" i="3" s="1"/>
  <c r="AC23" i="3"/>
  <c r="AD23" i="3" s="1"/>
  <c r="AC25" i="3"/>
  <c r="AD25" i="3" s="1"/>
  <c r="AC27" i="3"/>
  <c r="AD27" i="3" s="1"/>
  <c r="AC29" i="3"/>
  <c r="AD29" i="3" s="1"/>
  <c r="AC31" i="3"/>
  <c r="AD31" i="3" s="1"/>
  <c r="AC33" i="3"/>
  <c r="AD33" i="3" s="1"/>
  <c r="AC35" i="3"/>
  <c r="AD35" i="3" s="1"/>
  <c r="AC37" i="3"/>
  <c r="AD37" i="3" s="1"/>
  <c r="AC39" i="3"/>
  <c r="AC41" i="3"/>
  <c r="AD41" i="3" s="1"/>
  <c r="AC43" i="3"/>
  <c r="AD43" i="3" s="1"/>
  <c r="AC45" i="3"/>
  <c r="AD45" i="3" s="1"/>
  <c r="AC47" i="3"/>
  <c r="AD47" i="3" s="1"/>
  <c r="AC49" i="3"/>
  <c r="AD49" i="3" s="1"/>
  <c r="AC51" i="3"/>
  <c r="AD51" i="3" s="1"/>
  <c r="AC53" i="3"/>
  <c r="AD53" i="3" s="1"/>
  <c r="AC55" i="3"/>
  <c r="AD55" i="3" s="1"/>
  <c r="AC57" i="3"/>
  <c r="AD57" i="3" s="1"/>
  <c r="AC59" i="3"/>
  <c r="AD59" i="3" s="1"/>
  <c r="AC61" i="3"/>
  <c r="AD61" i="3" s="1"/>
  <c r="AC63" i="3"/>
  <c r="AD63" i="3" s="1"/>
  <c r="AC65" i="3"/>
  <c r="AD65" i="3" s="1"/>
  <c r="AC67" i="3"/>
  <c r="AD67" i="3" s="1"/>
  <c r="AC69" i="3"/>
  <c r="AD69" i="3" s="1"/>
  <c r="AC71" i="3"/>
  <c r="AC73" i="3"/>
  <c r="AD73" i="3" s="1"/>
  <c r="AC75" i="3"/>
  <c r="AD75" i="3" s="1"/>
  <c r="AC77" i="3"/>
  <c r="AD77" i="3" s="1"/>
  <c r="AC79" i="3"/>
  <c r="AD79" i="3" s="1"/>
  <c r="AC81" i="3"/>
  <c r="AD81" i="3" s="1"/>
  <c r="AC83" i="3"/>
  <c r="AD83" i="3" s="1"/>
  <c r="AC85" i="3"/>
  <c r="AD85" i="3" s="1"/>
  <c r="AC87" i="3"/>
  <c r="AD87" i="3" s="1"/>
  <c r="AC89" i="3"/>
  <c r="AD89" i="3" s="1"/>
  <c r="AC91" i="3"/>
  <c r="AD91" i="3" s="1"/>
  <c r="AC93" i="3"/>
  <c r="AD93" i="3" s="1"/>
  <c r="AC95" i="3"/>
  <c r="AD95" i="3" s="1"/>
  <c r="AC97" i="3"/>
  <c r="AD97" i="3" s="1"/>
  <c r="AC99" i="3"/>
  <c r="AD99" i="3" s="1"/>
  <c r="AB52" i="2"/>
  <c r="AA52" i="2"/>
  <c r="Z52" i="2"/>
  <c r="AA51" i="2"/>
  <c r="Z51" i="2"/>
  <c r="AB51" i="2" s="1"/>
  <c r="AC51" i="2" s="1"/>
  <c r="AA50" i="2"/>
  <c r="Z50" i="2"/>
  <c r="AA49" i="2"/>
  <c r="Z49" i="2"/>
  <c r="AA48" i="2"/>
  <c r="Z48" i="2"/>
  <c r="AB48" i="2" s="1"/>
  <c r="AA47" i="2"/>
  <c r="Z47" i="2"/>
  <c r="AA46" i="2"/>
  <c r="Z46" i="2"/>
  <c r="AB46" i="2" s="1"/>
  <c r="AA45" i="2"/>
  <c r="Z45" i="2"/>
  <c r="AA44" i="2"/>
  <c r="Z44" i="2"/>
  <c r="AA43" i="2"/>
  <c r="AB43" i="2" s="1"/>
  <c r="AC43" i="2" s="1"/>
  <c r="Z43" i="2"/>
  <c r="AA42" i="2"/>
  <c r="Z42" i="2"/>
  <c r="AA41" i="2"/>
  <c r="Z41" i="2"/>
  <c r="AB41" i="2" s="1"/>
  <c r="AC41" i="2" s="1"/>
  <c r="AA40" i="2"/>
  <c r="Z40" i="2"/>
  <c r="AA39" i="2"/>
  <c r="Z39" i="2"/>
  <c r="AB39" i="2" s="1"/>
  <c r="AC39" i="2" s="1"/>
  <c r="AA38" i="2"/>
  <c r="Z38" i="2"/>
  <c r="AA37" i="2"/>
  <c r="Z37" i="2"/>
  <c r="AA36" i="2"/>
  <c r="Z36" i="2"/>
  <c r="AB36" i="2" s="1"/>
  <c r="AA35" i="2"/>
  <c r="Z35" i="2"/>
  <c r="AB35" i="2" s="1"/>
  <c r="AC35" i="2" s="1"/>
  <c r="AA34" i="2"/>
  <c r="AB34" i="2" s="1"/>
  <c r="Z34" i="2"/>
  <c r="AA33" i="2"/>
  <c r="Z33" i="2"/>
  <c r="AA32" i="2"/>
  <c r="Z32" i="2"/>
  <c r="AB32" i="2" s="1"/>
  <c r="AA31" i="2"/>
  <c r="Z31" i="2"/>
  <c r="AA30" i="2"/>
  <c r="Z30" i="2"/>
  <c r="AB30" i="2" s="1"/>
  <c r="AA29" i="2"/>
  <c r="Z29" i="2"/>
  <c r="AA28" i="2"/>
  <c r="Z28" i="2"/>
  <c r="AA27" i="2"/>
  <c r="Z27" i="2"/>
  <c r="AB27" i="2" s="1"/>
  <c r="AC27" i="2" s="1"/>
  <c r="AA26" i="2"/>
  <c r="Z26" i="2"/>
  <c r="AB26" i="2" s="1"/>
  <c r="AA25" i="2"/>
  <c r="AB25" i="2" s="1"/>
  <c r="AC25" i="2" s="1"/>
  <c r="Z25" i="2"/>
  <c r="AA24" i="2"/>
  <c r="Z24" i="2"/>
  <c r="AA23" i="2"/>
  <c r="Z23" i="2"/>
  <c r="AB23" i="2" s="1"/>
  <c r="AC23" i="2" s="1"/>
  <c r="AA22" i="2"/>
  <c r="Z22" i="2"/>
  <c r="AA21" i="2"/>
  <c r="Z21" i="2"/>
  <c r="AA20" i="2"/>
  <c r="Z20" i="2"/>
  <c r="AB20" i="2" s="1"/>
  <c r="AA19" i="2"/>
  <c r="Z19" i="2"/>
  <c r="AB19" i="2" s="1"/>
  <c r="AC19" i="2" s="1"/>
  <c r="AA18" i="2"/>
  <c r="Z18" i="2"/>
  <c r="AB18" i="2" s="1"/>
  <c r="AA17" i="2"/>
  <c r="Z17" i="2"/>
  <c r="AA16" i="2"/>
  <c r="Z16" i="2"/>
  <c r="AB16" i="2" s="1"/>
  <c r="AA15" i="2"/>
  <c r="Z15" i="2"/>
  <c r="AA14" i="2"/>
  <c r="Z14" i="2"/>
  <c r="AB14" i="2" s="1"/>
  <c r="AA13" i="2"/>
  <c r="Z13" i="2"/>
  <c r="AA12" i="2"/>
  <c r="Z12" i="2"/>
  <c r="AA11" i="2"/>
  <c r="Z11" i="2"/>
  <c r="AB11" i="2" s="1"/>
  <c r="AA10" i="2"/>
  <c r="Z10" i="2"/>
  <c r="AB10" i="2" s="1"/>
  <c r="AA9" i="2"/>
  <c r="Z9" i="2"/>
  <c r="AB9" i="2" s="1"/>
  <c r="AC9" i="2" s="1"/>
  <c r="AA8" i="2"/>
  <c r="Z8" i="2"/>
  <c r="AA7" i="2"/>
  <c r="Z7" i="2"/>
  <c r="AB7" i="2" s="1"/>
  <c r="AC7" i="2" s="1"/>
  <c r="AA6" i="2"/>
  <c r="Z6" i="2"/>
  <c r="AA52" i="1"/>
  <c r="Z52" i="1"/>
  <c r="AB52" i="1" s="1"/>
  <c r="AA51" i="1"/>
  <c r="Z51" i="1"/>
  <c r="AB51" i="1" s="1"/>
  <c r="AA50" i="1"/>
  <c r="Z50" i="1"/>
  <c r="AB50" i="1" s="1"/>
  <c r="AD50" i="1" s="1"/>
  <c r="AA49" i="1"/>
  <c r="Z49" i="1"/>
  <c r="AB49" i="1" s="1"/>
  <c r="AA48" i="1"/>
  <c r="Z48" i="1"/>
  <c r="AA47" i="1"/>
  <c r="Z47" i="1"/>
  <c r="AB47" i="1" s="1"/>
  <c r="AA46" i="1"/>
  <c r="Z46" i="1"/>
  <c r="AA45" i="1"/>
  <c r="Z45" i="1"/>
  <c r="AB45" i="1" s="1"/>
  <c r="AA44" i="1"/>
  <c r="Z44" i="1"/>
  <c r="AA43" i="1"/>
  <c r="Z43" i="1"/>
  <c r="AA42" i="1"/>
  <c r="Z42" i="1"/>
  <c r="AB42" i="1" s="1"/>
  <c r="AA41" i="1"/>
  <c r="Z41" i="1"/>
  <c r="AB41" i="1" s="1"/>
  <c r="AA40" i="1"/>
  <c r="Z40" i="1"/>
  <c r="AB40" i="1" s="1"/>
  <c r="AD40" i="1" s="1"/>
  <c r="AA39" i="1"/>
  <c r="Z39" i="1"/>
  <c r="AA38" i="1"/>
  <c r="Z38" i="1"/>
  <c r="AB38" i="1" s="1"/>
  <c r="AD38" i="1" s="1"/>
  <c r="AA37" i="1"/>
  <c r="Z37" i="1"/>
  <c r="AA36" i="1"/>
  <c r="Z36" i="1"/>
  <c r="AA35" i="1"/>
  <c r="Z35" i="1"/>
  <c r="AB35" i="1" s="1"/>
  <c r="AA34" i="1"/>
  <c r="Z34" i="1"/>
  <c r="AB34" i="1" s="1"/>
  <c r="AD34" i="1" s="1"/>
  <c r="AA33" i="1"/>
  <c r="Z33" i="1"/>
  <c r="AB33" i="1" s="1"/>
  <c r="AA32" i="1"/>
  <c r="Z32" i="1"/>
  <c r="AA31" i="1"/>
  <c r="Z31" i="1"/>
  <c r="AB31" i="1" s="1"/>
  <c r="AA30" i="1"/>
  <c r="Z30" i="1"/>
  <c r="AB29" i="1"/>
  <c r="AA29" i="1"/>
  <c r="Z29" i="1"/>
  <c r="AA28" i="1"/>
  <c r="Z28" i="1"/>
  <c r="AA27" i="1"/>
  <c r="Z27" i="1"/>
  <c r="AA26" i="1"/>
  <c r="Z26" i="1"/>
  <c r="AB26" i="1" s="1"/>
  <c r="AA25" i="1"/>
  <c r="Z25" i="1"/>
  <c r="AA24" i="1"/>
  <c r="Z24" i="1"/>
  <c r="AB24" i="1" s="1"/>
  <c r="AD24" i="1" s="1"/>
  <c r="AA23" i="1"/>
  <c r="Z23" i="1"/>
  <c r="AA22" i="1"/>
  <c r="Z22" i="1"/>
  <c r="AB22" i="1" s="1"/>
  <c r="AD22" i="1" s="1"/>
  <c r="AA21" i="1"/>
  <c r="Z21" i="1"/>
  <c r="AB20" i="1"/>
  <c r="AA20" i="1"/>
  <c r="Z20" i="1"/>
  <c r="AA19" i="1"/>
  <c r="Z19" i="1"/>
  <c r="AB19" i="1" s="1"/>
  <c r="AA18" i="1"/>
  <c r="Z18" i="1"/>
  <c r="AA17" i="1"/>
  <c r="Z17" i="1"/>
  <c r="AB17" i="1" s="1"/>
  <c r="AA16" i="1"/>
  <c r="Z16" i="1"/>
  <c r="AB16" i="1" s="1"/>
  <c r="AA15" i="1"/>
  <c r="Z15" i="1"/>
  <c r="AB15" i="1" s="1"/>
  <c r="AA14" i="1"/>
  <c r="Z14" i="1"/>
  <c r="AA13" i="1"/>
  <c r="Z13" i="1"/>
  <c r="AB13" i="1" s="1"/>
  <c r="AD13" i="1" s="1"/>
  <c r="AA12" i="1"/>
  <c r="Z12" i="1"/>
  <c r="AA11" i="1"/>
  <c r="Z11" i="1"/>
  <c r="AB11" i="1" s="1"/>
  <c r="AD11" i="1" s="1"/>
  <c r="AA10" i="1"/>
  <c r="Z10" i="1"/>
  <c r="AA9" i="1"/>
  <c r="Z9" i="1"/>
  <c r="AB9" i="1" s="1"/>
  <c r="AD9" i="1" s="1"/>
  <c r="AA8" i="1"/>
  <c r="Z8" i="1"/>
  <c r="AA7" i="1"/>
  <c r="Z7" i="1"/>
  <c r="AA6" i="1"/>
  <c r="Z6" i="1"/>
  <c r="AC11" i="2" l="1"/>
  <c r="AD20" i="1"/>
  <c r="AD26" i="1"/>
  <c r="AB37" i="2"/>
  <c r="AC37" i="2" s="1"/>
  <c r="AB7" i="1"/>
  <c r="AD7" i="1" s="1"/>
  <c r="AB21" i="2"/>
  <c r="AC21" i="2" s="1"/>
  <c r="AD42" i="1"/>
  <c r="AD52" i="1"/>
  <c r="AB50" i="2"/>
  <c r="AC50" i="2" s="1"/>
  <c r="AB36" i="1"/>
  <c r="AD36" i="1" s="1"/>
  <c r="AC15" i="2"/>
  <c r="AC13" i="2"/>
  <c r="AC17" i="2"/>
  <c r="AD27" i="1"/>
  <c r="AB18" i="1"/>
  <c r="AD18" i="1" s="1"/>
  <c r="AB27" i="1"/>
  <c r="AD39" i="1"/>
  <c r="AB43" i="1"/>
  <c r="AD43" i="1" s="1"/>
  <c r="AB12" i="2"/>
  <c r="AC12" i="2" s="1"/>
  <c r="AB28" i="2"/>
  <c r="AC28" i="2" s="1"/>
  <c r="AB44" i="2"/>
  <c r="AC44" i="2" s="1"/>
  <c r="AB32" i="1"/>
  <c r="AD32" i="1" s="1"/>
  <c r="AB48" i="1"/>
  <c r="AD48" i="1" s="1"/>
  <c r="AB17" i="2"/>
  <c r="AB33" i="2"/>
  <c r="AC33" i="2" s="1"/>
  <c r="AB42" i="2"/>
  <c r="AC42" i="2" s="1"/>
  <c r="AB49" i="2"/>
  <c r="AC49" i="2" s="1"/>
  <c r="AC10" i="2"/>
  <c r="AB25" i="1"/>
  <c r="AD25" i="1" s="1"/>
  <c r="AB6" i="1"/>
  <c r="AD6" i="1" s="1"/>
  <c r="AB8" i="1"/>
  <c r="AD8" i="1" s="1"/>
  <c r="AB10" i="1"/>
  <c r="AD10" i="1" s="1"/>
  <c r="AB12" i="1"/>
  <c r="AD12" i="1" s="1"/>
  <c r="AB14" i="1"/>
  <c r="AD14" i="1" s="1"/>
  <c r="AD16" i="1"/>
  <c r="AB23" i="1"/>
  <c r="AD23" i="1" s="1"/>
  <c r="AB30" i="1"/>
  <c r="AD30" i="1" s="1"/>
  <c r="AD35" i="1"/>
  <c r="AB39" i="1"/>
  <c r="AB46" i="1"/>
  <c r="AD46" i="1" s="1"/>
  <c r="AD51" i="1"/>
  <c r="AB8" i="2"/>
  <c r="AC8" i="2" s="1"/>
  <c r="AB15" i="2"/>
  <c r="AC20" i="2"/>
  <c r="AB24" i="2"/>
  <c r="AC24" i="2" s="1"/>
  <c r="AB31" i="2"/>
  <c r="AC31" i="2" s="1"/>
  <c r="AC36" i="2"/>
  <c r="AB40" i="2"/>
  <c r="AC40" i="2" s="1"/>
  <c r="AB47" i="2"/>
  <c r="AC47" i="2" s="1"/>
  <c r="AC52" i="2"/>
  <c r="AD19" i="1"/>
  <c r="AD17" i="1"/>
  <c r="AB21" i="1"/>
  <c r="AD21" i="1" s="1"/>
  <c r="AB28" i="1"/>
  <c r="AD28" i="1" s="1"/>
  <c r="AD33" i="1"/>
  <c r="AB37" i="1"/>
  <c r="AD37" i="1" s="1"/>
  <c r="AB44" i="1"/>
  <c r="AD44" i="1" s="1"/>
  <c r="AD49" i="1"/>
  <c r="AB6" i="2"/>
  <c r="AC6" i="2" s="1"/>
  <c r="AB13" i="2"/>
  <c r="AC18" i="2"/>
  <c r="AB22" i="2"/>
  <c r="AC22" i="2" s="1"/>
  <c r="AB29" i="2"/>
  <c r="AC29" i="2" s="1"/>
  <c r="AC34" i="2"/>
  <c r="AB38" i="2"/>
  <c r="AC38" i="2" s="1"/>
  <c r="AB45" i="2"/>
  <c r="AC45" i="2" s="1"/>
  <c r="AD41" i="1"/>
  <c r="AC26" i="2"/>
  <c r="AD15" i="1"/>
  <c r="AD31" i="1"/>
  <c r="AD47" i="1"/>
  <c r="AC16" i="2"/>
  <c r="AC32" i="2"/>
  <c r="AC48" i="2"/>
  <c r="AD29" i="1"/>
  <c r="AD45" i="1"/>
  <c r="AC14" i="2"/>
  <c r="AC30" i="2"/>
  <c r="AC46" i="2"/>
</calcChain>
</file>

<file path=xl/sharedStrings.xml><?xml version="1.0" encoding="utf-8"?>
<sst xmlns="http://schemas.openxmlformats.org/spreadsheetml/2006/main" count="2867" uniqueCount="209">
  <si>
    <t>FCP(Fundamentals of Computer Programming) I -CSE2 Sem 1</t>
  </si>
  <si>
    <t>Sr. No.</t>
  </si>
  <si>
    <t xml:space="preserve">Months </t>
  </si>
  <si>
    <t>October</t>
  </si>
  <si>
    <t>November</t>
  </si>
  <si>
    <t>Total P</t>
  </si>
  <si>
    <t>Total A</t>
  </si>
  <si>
    <t>TOTAL LECTURE</t>
  </si>
  <si>
    <t>% Attendance</t>
  </si>
  <si>
    <t>Faculty</t>
  </si>
  <si>
    <t>Reg. No.</t>
  </si>
  <si>
    <t>Name of student</t>
  </si>
  <si>
    <t>UG25CCS001</t>
  </si>
  <si>
    <t>ABHISHEK RAJ</t>
  </si>
  <si>
    <t>P</t>
  </si>
  <si>
    <t>A</t>
  </si>
  <si>
    <t>UG25CCS002</t>
  </si>
  <si>
    <t>AKANKSHA KUMARI</t>
  </si>
  <si>
    <t>UG25CCS003</t>
  </si>
  <si>
    <t>AKASH AGRAWAL</t>
  </si>
  <si>
    <t>UG25CCS004</t>
  </si>
  <si>
    <t>AKULA HEMANTH</t>
  </si>
  <si>
    <t>UG25CCS005</t>
  </si>
  <si>
    <t>ALETI SRINU</t>
  </si>
  <si>
    <t>UG25CCS006</t>
  </si>
  <si>
    <t>ARYAN GUPTA</t>
  </si>
  <si>
    <t>UG25CCS007</t>
  </si>
  <si>
    <t>ARYAN PANCHOLI</t>
  </si>
  <si>
    <t>UG25CCS008</t>
  </si>
  <si>
    <t>ATHARVA GANESH POTE</t>
  </si>
  <si>
    <t>UG25CCS009</t>
  </si>
  <si>
    <t>AVANI SHUKLA</t>
  </si>
  <si>
    <t>UG25CCS010</t>
  </si>
  <si>
    <t>BAVISKAR KRUSHNA DHANRAJ</t>
  </si>
  <si>
    <t>UG25CCS011</t>
  </si>
  <si>
    <t>BHAVISHYA KHATNAL</t>
  </si>
  <si>
    <t>UG25CCS012</t>
  </si>
  <si>
    <t>DEEKSHANSH</t>
  </si>
  <si>
    <t>UG25CCS013</t>
  </si>
  <si>
    <t>DEEPAK KUMAR YADAV</t>
  </si>
  <si>
    <t>UG25CCS014</t>
  </si>
  <si>
    <t>DHIWYANSH KISHOR PARMAR</t>
  </si>
  <si>
    <t>UG25CCS015</t>
  </si>
  <si>
    <t>HARSH SEN</t>
  </si>
  <si>
    <t>UG25CCS016</t>
  </si>
  <si>
    <t>HARSHIT BANSAL</t>
  </si>
  <si>
    <t>UG25CCS017</t>
  </si>
  <si>
    <t>JOGENDAR SINGH</t>
  </si>
  <si>
    <t>UG25CCS018</t>
  </si>
  <si>
    <t>JOSHI RITHIK MRUNAL</t>
  </si>
  <si>
    <t>UG25CCS019</t>
  </si>
  <si>
    <t>K YUVRAJ</t>
  </si>
  <si>
    <t>UG25CCS020</t>
  </si>
  <si>
    <t>KRSIH VASAIYA</t>
  </si>
  <si>
    <t>UG25CCS021</t>
  </si>
  <si>
    <t>MAYANK PAHADI</t>
  </si>
  <si>
    <t>UG25CCS022</t>
  </si>
  <si>
    <t>MOHAMMAD BILAL</t>
  </si>
  <si>
    <t>UG25CCS023</t>
  </si>
  <si>
    <t>MOHIT SAINI</t>
  </si>
  <si>
    <t>UG25CCS024</t>
  </si>
  <si>
    <t>NARENDRA CHOUDHARY</t>
  </si>
  <si>
    <t>UG25CCS025</t>
  </si>
  <si>
    <t>NIHAL SOMANI</t>
  </si>
  <si>
    <t>UG25CCS026</t>
  </si>
  <si>
    <t>NILARGHA JANA</t>
  </si>
  <si>
    <t>UG25CCS027</t>
  </si>
  <si>
    <t>NISHCHAY</t>
  </si>
  <si>
    <t>UG25CCS028</t>
  </si>
  <si>
    <t>RAJAN SINGH</t>
  </si>
  <si>
    <t>UG25CCS029</t>
  </si>
  <si>
    <t>RASHMEET KAUR</t>
  </si>
  <si>
    <t>UG25CCS030</t>
  </si>
  <si>
    <t>SABAVAT ABHISHEK</t>
  </si>
  <si>
    <t>UG25CCS031</t>
  </si>
  <si>
    <t>SHALINI YADAV</t>
  </si>
  <si>
    <t>UG25CCS032</t>
  </si>
  <si>
    <t>SHIKARWAR SHUBHAM SURESHBHAI</t>
  </si>
  <si>
    <t>UG25CCS033</t>
  </si>
  <si>
    <t>SHIKHAR RAJ</t>
  </si>
  <si>
    <t>UG25CCS034</t>
  </si>
  <si>
    <t>SHRAVANI SOMNATH GHOLAP</t>
  </si>
  <si>
    <t>UG25CCS035</t>
  </si>
  <si>
    <t>VISHAL</t>
  </si>
  <si>
    <t>UG25CCS036</t>
  </si>
  <si>
    <t>VYSHNAVI K P</t>
  </si>
  <si>
    <t>UG25CAI001</t>
  </si>
  <si>
    <t>AAL SAGAR KANABHAI</t>
  </si>
  <si>
    <t>UG25CAI002</t>
  </si>
  <si>
    <t>ABHISHEK KIRAR</t>
  </si>
  <si>
    <t>UG25CAI003</t>
  </si>
  <si>
    <t>ADITYA ANGADI</t>
  </si>
  <si>
    <t>UG25CAI004</t>
  </si>
  <si>
    <t>AKSHIT VERMA</t>
  </si>
  <si>
    <t>UG25CAI005</t>
  </si>
  <si>
    <t>ANGHAN PRATIK SURESHBHAI</t>
  </si>
  <si>
    <t>UG25CAI006</t>
  </si>
  <si>
    <t>BHAGYASHREE PRAMOD BIRKULE</t>
  </si>
  <si>
    <t>UG25CAI007</t>
  </si>
  <si>
    <t>CHAUHAN SHIVAM KANCHAN SINGH</t>
  </si>
  <si>
    <t>UG25CAI008</t>
  </si>
  <si>
    <t>CHETAN GEHLOT</t>
  </si>
  <si>
    <t>UG25CAI009</t>
  </si>
  <si>
    <t>GADDAM SAI MANI DEEP</t>
  </si>
  <si>
    <t>UG25CAI010</t>
  </si>
  <si>
    <t>GOHIL DHAVAL MAYANKBHAI</t>
  </si>
  <si>
    <t>UG25CAI011</t>
  </si>
  <si>
    <t>GOHIL HIRENKUMAR VIPULBHAI</t>
  </si>
  <si>
    <t>UG25CAI012</t>
  </si>
  <si>
    <t>HARSHIT BHADU</t>
  </si>
  <si>
    <t>UG25CAI013</t>
  </si>
  <si>
    <t>ISHITA BRAWAD</t>
  </si>
  <si>
    <t>UG25CAI014</t>
  </si>
  <si>
    <t>JITENDRA LILAWAT</t>
  </si>
  <si>
    <t>UG25CAI015</t>
  </si>
  <si>
    <t>MALLICK MOULEEYA</t>
  </si>
  <si>
    <t>UG25CAI016</t>
  </si>
  <si>
    <t>MANUKONDA WINNIE ADONIA</t>
  </si>
  <si>
    <t>UG25CAI017</t>
  </si>
  <si>
    <t>MANVI</t>
  </si>
  <si>
    <t>UG25CAI018</t>
  </si>
  <si>
    <t>MEESALA PAVAN GOVINDRAO</t>
  </si>
  <si>
    <t>UG25CAI019</t>
  </si>
  <si>
    <t>MUDIT</t>
  </si>
  <si>
    <t>UG25CAI020</t>
  </si>
  <si>
    <t>N SHRAVAN KUMAR</t>
  </si>
  <si>
    <t>UG25CAI021</t>
  </si>
  <si>
    <t>NETA SNEH DHANSUKHBHAI</t>
  </si>
  <si>
    <t>UG25CAI022</t>
  </si>
  <si>
    <t>OM LAKSHMAN SHIDLANNAVAR</t>
  </si>
  <si>
    <t>UG25CAI023</t>
  </si>
  <si>
    <t>PARTH RAJ</t>
  </si>
  <si>
    <t>UG25CAI024</t>
  </si>
  <si>
    <t>PATEL DISHANK</t>
  </si>
  <si>
    <t>UG25CAI025</t>
  </si>
  <si>
    <t>PATEL MOX YOGESHKUMAR</t>
  </si>
  <si>
    <t>UG25CAI026</t>
  </si>
  <si>
    <t>PATEL PARV SANDIPKUMAR</t>
  </si>
  <si>
    <t>UG25CAI027</t>
  </si>
  <si>
    <t>PUSHPINDER KAUR</t>
  </si>
  <si>
    <t>UG25CAI028</t>
  </si>
  <si>
    <t>ROHAN KAUSHIK</t>
  </si>
  <si>
    <t>UG25CAI029</t>
  </si>
  <si>
    <t>RUDRA PRATAP SINGH</t>
  </si>
  <si>
    <t>UG25CAI030</t>
  </si>
  <si>
    <t>SANGANI NISHCHAY SANJAYBHAI</t>
  </si>
  <si>
    <t>UG25CAI031</t>
  </si>
  <si>
    <t>SANYAL PARLIN</t>
  </si>
  <si>
    <t>UG25CAI032</t>
  </si>
  <si>
    <t>SARDHARA PREET SANJAYBHAI</t>
  </si>
  <si>
    <t>UG25CAI033</t>
  </si>
  <si>
    <t>SHAH AKSH VIRALKUMAR</t>
  </si>
  <si>
    <t>UG25CAI034</t>
  </si>
  <si>
    <t>TANISH KUMAR</t>
  </si>
  <si>
    <t>UG25CAI035</t>
  </si>
  <si>
    <t>VEKARIYA NIHAR RAMESHBHAI</t>
  </si>
  <si>
    <t>UG25CSE095</t>
  </si>
  <si>
    <t>RATNANI NARENDRA VEDPRAKASH</t>
  </si>
  <si>
    <t>UG25CSE096</t>
  </si>
  <si>
    <t>RISHIVARMA M</t>
  </si>
  <si>
    <t>UG25CSE097</t>
  </si>
  <si>
    <t>RITU SUTHAR</t>
  </si>
  <si>
    <t>UG25CSE098</t>
  </si>
  <si>
    <t>RIYA HOODA</t>
  </si>
  <si>
    <t>UG25CSE099</t>
  </si>
  <si>
    <t>SAGAR BHARDWAJ</t>
  </si>
  <si>
    <t>UG25CSE100</t>
  </si>
  <si>
    <t>SAKSHAM MITTAL</t>
  </si>
  <si>
    <t>UG25CSE101</t>
  </si>
  <si>
    <t>SAKSHI GUPTA</t>
  </si>
  <si>
    <t>UG25CSE102</t>
  </si>
  <si>
    <t>SANJA ANSH RAJESHBHAI</t>
  </si>
  <si>
    <t>UG25CSE103</t>
  </si>
  <si>
    <t>SHAH PARTH JITENDRAKUMAR</t>
  </si>
  <si>
    <t>UG25CSE104</t>
  </si>
  <si>
    <t>SHANY KUMAR</t>
  </si>
  <si>
    <t>UG25CSE105</t>
  </si>
  <si>
    <t>SHYAM SOMANI</t>
  </si>
  <si>
    <t>UG25CSE106</t>
  </si>
  <si>
    <t>SIDDHARTH ADITYA K</t>
  </si>
  <si>
    <t>UG25CSE107</t>
  </si>
  <si>
    <t>SIMMA JASWANTH</t>
  </si>
  <si>
    <t>UG25CSE108</t>
  </si>
  <si>
    <t>SRIPERAMBUDURU VENKAT NIKHILESWAR</t>
  </si>
  <si>
    <t>UG25CSE109</t>
  </si>
  <si>
    <t>SUGAT KISHOR BAGDE</t>
  </si>
  <si>
    <t>UG25CSE110</t>
  </si>
  <si>
    <t>SURAJ BAIGA</t>
  </si>
  <si>
    <t>UG25CSE111</t>
  </si>
  <si>
    <t>TALAVIYA JAYMEENKUMAR KANTUBHAI</t>
  </si>
  <si>
    <t>UG25CSE112</t>
  </si>
  <si>
    <t>THUNAGAR ANJI</t>
  </si>
  <si>
    <t>UG25CSE113</t>
  </si>
  <si>
    <t>TUDIYA ARJUN KALPESHBHAI</t>
  </si>
  <si>
    <t>UG25CSE114</t>
  </si>
  <si>
    <t>VAIBHAV RAJ</t>
  </si>
  <si>
    <t>UG25CSE115</t>
  </si>
  <si>
    <t>VALU SAGAR KANTI</t>
  </si>
  <si>
    <t>UG25CSE116</t>
  </si>
  <si>
    <t>VORA SIDDHARTH KISHORBHAI</t>
  </si>
  <si>
    <t>UG25CSE117</t>
  </si>
  <si>
    <t>ZALA PRINCE RAJESHBHAI</t>
  </si>
  <si>
    <t>Total Lecture</t>
  </si>
  <si>
    <t>Total Lab</t>
  </si>
  <si>
    <t>%</t>
  </si>
  <si>
    <t>UG25CAI013G2</t>
  </si>
  <si>
    <t>TotaL</t>
  </si>
  <si>
    <t>Medical Reason</t>
  </si>
  <si>
    <t>Faculty : Trupti Gondaliya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</si>
</sst>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0"/>
      <color rgb="FF000000"/>
      <name val="Arial"/>
      <scheme val="minor"/>
    </font>
    <font>
      <b/>
      <sz val="18"/>
      <color theme="1"/>
      <name val="Arial"/>
    </font>
    <font>
      <sz val="10"/>
      <name val="Arial"/>
    </font>
    <font>
      <b/>
      <sz val="11"/>
      <color rgb="FFC00000"/>
      <name val="Calibri"/>
    </font>
    <font>
      <sz val="10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b/>
      <sz val="7"/>
      <color theme="1"/>
      <name val="Arial"/>
    </font>
    <font>
      <b/>
      <sz val="10"/>
      <color theme="1"/>
      <name val="Arial"/>
    </font>
    <font>
      <sz val="12"/>
      <color rgb="FF000000"/>
      <name val="&quot;Aptos Narrow&quot;"/>
    </font>
    <font>
      <sz val="12"/>
      <color rgb="FF000000"/>
      <name val="Arial"/>
    </font>
    <font>
      <sz val="10"/>
      <color rgb="FF0000FF"/>
      <name val="Arial"/>
    </font>
    <font>
      <sz val="10"/>
      <color rgb="FF000000"/>
      <name val="Arial"/>
      <scheme val="minor"/>
    </font>
    <font>
      <sz val="10"/>
      <color rgb="FFFF0000"/>
      <name val="Arial"/>
      <family val="2"/>
      <scheme val="minor"/>
    </font>
    <font>
      <b/>
      <sz val="14"/>
      <color theme="1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48">
    <xf numFmtId="0" fontId="0" fillId="0" borderId="0" xfId="0"/>
    <xf numFmtId="0" fontId="3" fillId="0" borderId="4" xfId="0" applyFont="1" applyBorder="1" applyAlignment="1">
      <alignment horizontal="center" wrapText="1"/>
    </xf>
    <xf numFmtId="0" fontId="4" fillId="0" borderId="0" xfId="0" applyFont="1"/>
    <xf numFmtId="0" fontId="5" fillId="3" borderId="5" xfId="0" applyFont="1" applyFill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8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10" xfId="0" applyFont="1" applyBorder="1"/>
    <xf numFmtId="0" fontId="3" fillId="0" borderId="4" xfId="0" applyFont="1" applyBorder="1" applyAlignment="1">
      <alignment wrapText="1"/>
    </xf>
    <xf numFmtId="0" fontId="4" fillId="0" borderId="5" xfId="0" applyFont="1" applyBorder="1"/>
    <xf numFmtId="0" fontId="9" fillId="5" borderId="5" xfId="0" applyFont="1" applyFill="1" applyBorder="1" applyAlignment="1">
      <alignment horizontal="center"/>
    </xf>
    <xf numFmtId="0" fontId="9" fillId="5" borderId="5" xfId="0" applyFont="1" applyFill="1" applyBorder="1"/>
    <xf numFmtId="0" fontId="4" fillId="5" borderId="5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4" fillId="5" borderId="5" xfId="0" applyNumberFormat="1" applyFont="1" applyFill="1" applyBorder="1" applyAlignment="1">
      <alignment horizontal="center"/>
    </xf>
    <xf numFmtId="0" fontId="9" fillId="5" borderId="5" xfId="0" applyFont="1" applyFill="1" applyBorder="1" applyAlignment="1">
      <alignment horizontal="left"/>
    </xf>
    <xf numFmtId="0" fontId="4" fillId="5" borderId="12" xfId="0" applyFont="1" applyFill="1" applyBorder="1"/>
    <xf numFmtId="0" fontId="4" fillId="5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wrapText="1"/>
    </xf>
    <xf numFmtId="164" fontId="4" fillId="5" borderId="5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9" fillId="5" borderId="9" xfId="0" applyFont="1" applyFill="1" applyBorder="1"/>
    <xf numFmtId="0" fontId="9" fillId="5" borderId="9" xfId="0" applyFont="1" applyFill="1" applyBorder="1" applyAlignment="1">
      <alignment horizontal="left"/>
    </xf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1" applyFont="1" applyBorder="1" applyAlignment="1">
      <alignment horizontal="center"/>
    </xf>
    <xf numFmtId="9" fontId="13" fillId="0" borderId="13" xfId="1" applyFont="1" applyBorder="1" applyAlignment="1">
      <alignment horizontal="center"/>
    </xf>
    <xf numFmtId="0" fontId="13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wrapText="1"/>
    </xf>
    <xf numFmtId="0" fontId="2" fillId="0" borderId="11" xfId="0" applyFont="1" applyBorder="1"/>
    <xf numFmtId="0" fontId="2" fillId="0" borderId="10" xfId="0" applyFont="1" applyBorder="1"/>
    <xf numFmtId="0" fontId="6" fillId="4" borderId="7" xfId="0" applyFont="1" applyFill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6" fillId="4" borderId="9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left" wrapText="1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6">
    <dxf>
      <font>
        <color rgb="FF98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98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9"/>
  <sheetViews>
    <sheetView topLeftCell="C1" workbookViewId="0">
      <selection sqref="A1:AD2"/>
    </sheetView>
  </sheetViews>
  <sheetFormatPr defaultRowHeight="12.75"/>
  <cols>
    <col min="2" max="2" width="22.59765625" customWidth="1"/>
    <col min="3" max="3" width="17.59765625" customWidth="1"/>
    <col min="4" max="26" width="4.265625" customWidth="1"/>
  </cols>
  <sheetData>
    <row r="1" spans="1:30" ht="46.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</row>
    <row r="2" spans="1:30" ht="14.65">
      <c r="A2" s="34" t="s">
        <v>208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6"/>
    </row>
    <row r="3" spans="1:30" ht="38.65">
      <c r="A3" s="37" t="s">
        <v>1</v>
      </c>
      <c r="B3" s="2"/>
      <c r="C3" s="3" t="s">
        <v>2</v>
      </c>
      <c r="D3" s="40" t="s">
        <v>3</v>
      </c>
      <c r="E3" s="41"/>
      <c r="F3" s="41"/>
      <c r="G3" s="41"/>
      <c r="H3" s="41"/>
      <c r="I3" s="41"/>
      <c r="J3" s="42"/>
      <c r="K3" s="43" t="s">
        <v>4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2"/>
      <c r="AA3" s="4" t="s">
        <v>5</v>
      </c>
      <c r="AB3" s="4" t="s">
        <v>6</v>
      </c>
      <c r="AC3" s="5" t="s">
        <v>7</v>
      </c>
      <c r="AD3" s="4" t="s">
        <v>8</v>
      </c>
    </row>
    <row r="4" spans="1:30" ht="15.4">
      <c r="A4" s="38"/>
      <c r="B4" s="6"/>
      <c r="C4" s="3" t="s">
        <v>9</v>
      </c>
      <c r="D4" s="7">
        <v>6</v>
      </c>
      <c r="E4" s="7">
        <v>7</v>
      </c>
      <c r="F4" s="7">
        <v>9</v>
      </c>
      <c r="G4" s="7">
        <v>11</v>
      </c>
      <c r="H4" s="7">
        <v>11</v>
      </c>
      <c r="I4" s="7">
        <v>28</v>
      </c>
      <c r="J4" s="7">
        <v>30</v>
      </c>
      <c r="K4" s="7">
        <v>1</v>
      </c>
      <c r="L4" s="7">
        <v>4</v>
      </c>
      <c r="M4" s="7">
        <v>6</v>
      </c>
      <c r="N4" s="7">
        <v>7</v>
      </c>
      <c r="O4" s="7">
        <v>11</v>
      </c>
      <c r="P4" s="7">
        <v>13</v>
      </c>
      <c r="Q4" s="8">
        <v>14</v>
      </c>
      <c r="R4" s="7">
        <v>18</v>
      </c>
      <c r="S4" s="7">
        <v>20</v>
      </c>
      <c r="T4" s="8">
        <v>21</v>
      </c>
      <c r="U4" s="7">
        <v>22</v>
      </c>
      <c r="V4" s="7">
        <v>22</v>
      </c>
      <c r="W4" s="7"/>
      <c r="X4" s="7"/>
      <c r="Y4" s="7"/>
      <c r="Z4" s="7"/>
      <c r="AA4" s="9"/>
      <c r="AB4" s="9"/>
      <c r="AC4" s="9"/>
      <c r="AD4" s="9"/>
    </row>
    <row r="5" spans="1:30" ht="14.25">
      <c r="A5" s="39"/>
      <c r="B5" s="1" t="s">
        <v>10</v>
      </c>
      <c r="C5" s="10" t="s">
        <v>11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7"/>
      <c r="S5" s="7"/>
      <c r="T5" s="8"/>
      <c r="U5" s="7"/>
      <c r="V5" s="7"/>
      <c r="W5" s="7"/>
      <c r="X5" s="7"/>
      <c r="Y5" s="7"/>
      <c r="Z5" s="7"/>
      <c r="AA5" s="11"/>
      <c r="AB5" s="11"/>
      <c r="AC5" s="11"/>
      <c r="AD5" s="11"/>
    </row>
    <row r="6" spans="1:30" ht="15">
      <c r="A6" s="12">
        <v>1</v>
      </c>
      <c r="B6" s="12" t="s">
        <v>12</v>
      </c>
      <c r="C6" s="13" t="s">
        <v>13</v>
      </c>
      <c r="D6" s="14" t="s">
        <v>14</v>
      </c>
      <c r="E6" s="14" t="s">
        <v>14</v>
      </c>
      <c r="F6" s="14" t="s">
        <v>14</v>
      </c>
      <c r="G6" s="14" t="s">
        <v>14</v>
      </c>
      <c r="H6" s="14" t="s">
        <v>14</v>
      </c>
      <c r="I6" s="14" t="s">
        <v>15</v>
      </c>
      <c r="J6" s="14" t="s">
        <v>15</v>
      </c>
      <c r="K6" s="14" t="s">
        <v>14</v>
      </c>
      <c r="L6" s="14" t="s">
        <v>14</v>
      </c>
      <c r="M6" s="14" t="s">
        <v>14</v>
      </c>
      <c r="N6" s="14" t="s">
        <v>14</v>
      </c>
      <c r="O6" s="14" t="s">
        <v>15</v>
      </c>
      <c r="P6" s="14" t="s">
        <v>15</v>
      </c>
      <c r="Q6" s="14" t="s">
        <v>15</v>
      </c>
      <c r="R6" s="14" t="s">
        <v>14</v>
      </c>
      <c r="S6" s="14" t="s">
        <v>14</v>
      </c>
      <c r="T6" s="14" t="s">
        <v>15</v>
      </c>
      <c r="U6" s="14" t="s">
        <v>14</v>
      </c>
      <c r="V6" s="14" t="s">
        <v>14</v>
      </c>
      <c r="W6" s="14"/>
      <c r="X6" s="14"/>
      <c r="Y6" s="14"/>
      <c r="Z6" s="14"/>
      <c r="AA6" s="16">
        <f t="shared" ref="AA6:AA99" si="0">COUNTIF(D6:Z6,"P") + COUNTIF(D6:Z6, "1")</f>
        <v>13</v>
      </c>
      <c r="AB6" s="16">
        <f t="shared" ref="AB6:AB99" si="1">COUNTIF(D6:Z6,"A") + COUNTIF(D6:Z6, "1")</f>
        <v>6</v>
      </c>
      <c r="AC6" s="16">
        <f t="shared" ref="AC6:AC99" si="2">SUM(AA6,AB6)</f>
        <v>19</v>
      </c>
      <c r="AD6" s="17">
        <f t="shared" ref="AD6:AD99" si="3">(AA6/AC6)*100</f>
        <v>68.421052631578945</v>
      </c>
    </row>
    <row r="7" spans="1:30" ht="15">
      <c r="A7" s="12">
        <v>2</v>
      </c>
      <c r="B7" s="12" t="s">
        <v>16</v>
      </c>
      <c r="C7" s="13" t="s">
        <v>17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14</v>
      </c>
      <c r="O7" s="14" t="s">
        <v>14</v>
      </c>
      <c r="P7" s="14" t="s">
        <v>14</v>
      </c>
      <c r="Q7" s="14" t="s">
        <v>14</v>
      </c>
      <c r="R7" s="14" t="s">
        <v>14</v>
      </c>
      <c r="S7" s="14" t="s">
        <v>14</v>
      </c>
      <c r="T7" s="14" t="s">
        <v>14</v>
      </c>
      <c r="U7" s="14" t="s">
        <v>15</v>
      </c>
      <c r="V7" s="14" t="s">
        <v>15</v>
      </c>
      <c r="W7" s="14"/>
      <c r="X7" s="14"/>
      <c r="Y7" s="14"/>
      <c r="Z7" s="14"/>
      <c r="AA7" s="16">
        <f t="shared" si="0"/>
        <v>17</v>
      </c>
      <c r="AB7" s="16">
        <f t="shared" si="1"/>
        <v>2</v>
      </c>
      <c r="AC7" s="16">
        <f t="shared" si="2"/>
        <v>19</v>
      </c>
      <c r="AD7" s="17">
        <f t="shared" si="3"/>
        <v>89.473684210526315</v>
      </c>
    </row>
    <row r="8" spans="1:30" ht="15">
      <c r="A8" s="12">
        <v>3</v>
      </c>
      <c r="B8" s="12" t="s">
        <v>18</v>
      </c>
      <c r="C8" s="13" t="s">
        <v>19</v>
      </c>
      <c r="D8" s="14" t="s">
        <v>14</v>
      </c>
      <c r="E8" s="14" t="s">
        <v>14</v>
      </c>
      <c r="F8" s="14" t="s">
        <v>14</v>
      </c>
      <c r="G8" s="14" t="s">
        <v>14</v>
      </c>
      <c r="H8" s="14" t="s">
        <v>14</v>
      </c>
      <c r="I8" s="14" t="s">
        <v>14</v>
      </c>
      <c r="J8" s="14" t="s">
        <v>15</v>
      </c>
      <c r="K8" s="14" t="s">
        <v>14</v>
      </c>
      <c r="L8" s="14" t="s">
        <v>14</v>
      </c>
      <c r="M8" s="14" t="s">
        <v>14</v>
      </c>
      <c r="N8" s="14" t="s">
        <v>14</v>
      </c>
      <c r="O8" s="14" t="s">
        <v>14</v>
      </c>
      <c r="P8" s="14" t="s">
        <v>15</v>
      </c>
      <c r="Q8" s="14" t="s">
        <v>15</v>
      </c>
      <c r="R8" s="14" t="s">
        <v>14</v>
      </c>
      <c r="S8" s="14" t="s">
        <v>14</v>
      </c>
      <c r="T8" s="14" t="s">
        <v>15</v>
      </c>
      <c r="U8" s="14" t="s">
        <v>14</v>
      </c>
      <c r="V8" s="14" t="s">
        <v>14</v>
      </c>
      <c r="W8" s="14"/>
      <c r="X8" s="14"/>
      <c r="Y8" s="14"/>
      <c r="Z8" s="14"/>
      <c r="AA8" s="16">
        <f t="shared" si="0"/>
        <v>15</v>
      </c>
      <c r="AB8" s="16">
        <f t="shared" si="1"/>
        <v>4</v>
      </c>
      <c r="AC8" s="16">
        <f t="shared" si="2"/>
        <v>19</v>
      </c>
      <c r="AD8" s="17">
        <f t="shared" si="3"/>
        <v>78.94736842105263</v>
      </c>
    </row>
    <row r="9" spans="1:30" ht="15">
      <c r="A9" s="12">
        <v>4</v>
      </c>
      <c r="B9" s="12" t="s">
        <v>20</v>
      </c>
      <c r="C9" s="13" t="s">
        <v>21</v>
      </c>
      <c r="D9" s="14" t="s">
        <v>14</v>
      </c>
      <c r="E9" s="14" t="s">
        <v>14</v>
      </c>
      <c r="F9" s="14" t="s">
        <v>14</v>
      </c>
      <c r="G9" s="14" t="s">
        <v>14</v>
      </c>
      <c r="H9" s="14" t="s">
        <v>14</v>
      </c>
      <c r="I9" s="14" t="s">
        <v>15</v>
      </c>
      <c r="J9" s="14" t="s">
        <v>15</v>
      </c>
      <c r="K9" s="14" t="s">
        <v>15</v>
      </c>
      <c r="L9" s="14" t="s">
        <v>14</v>
      </c>
      <c r="M9" s="14" t="s">
        <v>14</v>
      </c>
      <c r="N9" s="14" t="s">
        <v>14</v>
      </c>
      <c r="O9" s="14" t="s">
        <v>14</v>
      </c>
      <c r="P9" s="14" t="s">
        <v>14</v>
      </c>
      <c r="Q9" s="14" t="s">
        <v>14</v>
      </c>
      <c r="R9" s="14" t="s">
        <v>14</v>
      </c>
      <c r="S9" s="14" t="s">
        <v>14</v>
      </c>
      <c r="T9" s="14" t="s">
        <v>14</v>
      </c>
      <c r="U9" s="14" t="s">
        <v>14</v>
      </c>
      <c r="V9" s="14" t="s">
        <v>14</v>
      </c>
      <c r="W9" s="14"/>
      <c r="X9" s="14"/>
      <c r="Y9" s="14"/>
      <c r="Z9" s="14"/>
      <c r="AA9" s="16">
        <f t="shared" si="0"/>
        <v>16</v>
      </c>
      <c r="AB9" s="16">
        <f t="shared" si="1"/>
        <v>3</v>
      </c>
      <c r="AC9" s="16">
        <f t="shared" si="2"/>
        <v>19</v>
      </c>
      <c r="AD9" s="17">
        <f t="shared" si="3"/>
        <v>84.210526315789465</v>
      </c>
    </row>
    <row r="10" spans="1:30" ht="15">
      <c r="A10" s="12">
        <v>5</v>
      </c>
      <c r="B10" s="12" t="s">
        <v>22</v>
      </c>
      <c r="C10" s="13" t="s">
        <v>23</v>
      </c>
      <c r="D10" s="14" t="s">
        <v>14</v>
      </c>
      <c r="E10" s="14" t="s">
        <v>14</v>
      </c>
      <c r="F10" s="14" t="s">
        <v>14</v>
      </c>
      <c r="G10" s="14" t="s">
        <v>14</v>
      </c>
      <c r="H10" s="14" t="s">
        <v>14</v>
      </c>
      <c r="I10" s="14" t="s">
        <v>15</v>
      </c>
      <c r="J10" s="14" t="s">
        <v>14</v>
      </c>
      <c r="K10" s="14" t="s">
        <v>14</v>
      </c>
      <c r="L10" s="14" t="s">
        <v>14</v>
      </c>
      <c r="M10" s="14" t="s">
        <v>14</v>
      </c>
      <c r="N10" s="14" t="s">
        <v>14</v>
      </c>
      <c r="O10" s="14" t="s">
        <v>14</v>
      </c>
      <c r="P10" s="14" t="s">
        <v>14</v>
      </c>
      <c r="Q10" s="14" t="s">
        <v>14</v>
      </c>
      <c r="R10" s="14" t="s">
        <v>15</v>
      </c>
      <c r="S10" s="14" t="s">
        <v>14</v>
      </c>
      <c r="T10" s="14" t="s">
        <v>14</v>
      </c>
      <c r="U10" s="14" t="s">
        <v>14</v>
      </c>
      <c r="V10" s="14" t="s">
        <v>14</v>
      </c>
      <c r="W10" s="14"/>
      <c r="X10" s="14"/>
      <c r="Y10" s="14"/>
      <c r="Z10" s="14"/>
      <c r="AA10" s="16">
        <f t="shared" si="0"/>
        <v>17</v>
      </c>
      <c r="AB10" s="16">
        <f t="shared" si="1"/>
        <v>2</v>
      </c>
      <c r="AC10" s="16">
        <f t="shared" si="2"/>
        <v>19</v>
      </c>
      <c r="AD10" s="17">
        <f t="shared" si="3"/>
        <v>89.473684210526315</v>
      </c>
    </row>
    <row r="11" spans="1:30" ht="15">
      <c r="A11" s="12">
        <v>6</v>
      </c>
      <c r="B11" s="12" t="s">
        <v>24</v>
      </c>
      <c r="C11" s="13" t="s">
        <v>25</v>
      </c>
      <c r="D11" s="14" t="s">
        <v>14</v>
      </c>
      <c r="E11" s="14" t="s">
        <v>14</v>
      </c>
      <c r="F11" s="14" t="s">
        <v>14</v>
      </c>
      <c r="G11" s="14" t="s">
        <v>14</v>
      </c>
      <c r="H11" s="14" t="s">
        <v>14</v>
      </c>
      <c r="I11" s="14" t="s">
        <v>14</v>
      </c>
      <c r="J11" s="14" t="s">
        <v>14</v>
      </c>
      <c r="K11" s="14" t="s">
        <v>14</v>
      </c>
      <c r="L11" s="14" t="s">
        <v>14</v>
      </c>
      <c r="M11" s="14" t="s">
        <v>14</v>
      </c>
      <c r="N11" s="14" t="s">
        <v>14</v>
      </c>
      <c r="O11" s="14" t="s">
        <v>14</v>
      </c>
      <c r="P11" s="14" t="s">
        <v>14</v>
      </c>
      <c r="Q11" s="14" t="s">
        <v>14</v>
      </c>
      <c r="R11" s="14" t="s">
        <v>14</v>
      </c>
      <c r="S11" s="14" t="s">
        <v>14</v>
      </c>
      <c r="T11" s="14" t="s">
        <v>14</v>
      </c>
      <c r="U11" s="14" t="s">
        <v>14</v>
      </c>
      <c r="V11" s="14" t="s">
        <v>14</v>
      </c>
      <c r="W11" s="14"/>
      <c r="X11" s="14"/>
      <c r="Y11" s="14"/>
      <c r="Z11" s="14"/>
      <c r="AA11" s="16">
        <f t="shared" si="0"/>
        <v>19</v>
      </c>
      <c r="AB11" s="16">
        <f t="shared" si="1"/>
        <v>0</v>
      </c>
      <c r="AC11" s="16">
        <f t="shared" si="2"/>
        <v>19</v>
      </c>
      <c r="AD11" s="17">
        <f t="shared" si="3"/>
        <v>100</v>
      </c>
    </row>
    <row r="12" spans="1:30" ht="15">
      <c r="A12" s="12">
        <v>7</v>
      </c>
      <c r="B12" s="12" t="s">
        <v>26</v>
      </c>
      <c r="C12" s="13" t="s">
        <v>27</v>
      </c>
      <c r="D12" s="14" t="s">
        <v>14</v>
      </c>
      <c r="E12" s="14" t="s">
        <v>14</v>
      </c>
      <c r="F12" s="14" t="s">
        <v>14</v>
      </c>
      <c r="G12" s="14" t="s">
        <v>14</v>
      </c>
      <c r="H12" s="14" t="s">
        <v>14</v>
      </c>
      <c r="I12" s="14" t="s">
        <v>14</v>
      </c>
      <c r="J12" s="14" t="s">
        <v>15</v>
      </c>
      <c r="K12" s="14" t="s">
        <v>14</v>
      </c>
      <c r="L12" s="14" t="s">
        <v>14</v>
      </c>
      <c r="M12" s="14" t="s">
        <v>14</v>
      </c>
      <c r="N12" s="14" t="s">
        <v>14</v>
      </c>
      <c r="O12" s="14" t="s">
        <v>14</v>
      </c>
      <c r="P12" s="14" t="s">
        <v>14</v>
      </c>
      <c r="Q12" s="14" t="s">
        <v>15</v>
      </c>
      <c r="R12" s="14" t="s">
        <v>14</v>
      </c>
      <c r="S12" s="14" t="s">
        <v>14</v>
      </c>
      <c r="T12" s="14" t="s">
        <v>15</v>
      </c>
      <c r="U12" s="14" t="s">
        <v>14</v>
      </c>
      <c r="V12" s="14" t="s">
        <v>14</v>
      </c>
      <c r="W12" s="14"/>
      <c r="X12" s="14"/>
      <c r="Y12" s="14"/>
      <c r="Z12" s="14"/>
      <c r="AA12" s="16">
        <f t="shared" si="0"/>
        <v>16</v>
      </c>
      <c r="AB12" s="16">
        <f t="shared" si="1"/>
        <v>3</v>
      </c>
      <c r="AC12" s="16">
        <f t="shared" si="2"/>
        <v>19</v>
      </c>
      <c r="AD12" s="17">
        <f t="shared" si="3"/>
        <v>84.210526315789465</v>
      </c>
    </row>
    <row r="13" spans="1:30" ht="15">
      <c r="A13" s="12">
        <v>8</v>
      </c>
      <c r="B13" s="12" t="s">
        <v>28</v>
      </c>
      <c r="C13" s="13" t="s">
        <v>29</v>
      </c>
      <c r="D13" s="14" t="s">
        <v>14</v>
      </c>
      <c r="E13" s="14" t="s">
        <v>14</v>
      </c>
      <c r="F13" s="14" t="s">
        <v>14</v>
      </c>
      <c r="G13" s="14" t="s">
        <v>14</v>
      </c>
      <c r="H13" s="14" t="s">
        <v>14</v>
      </c>
      <c r="I13" s="14" t="s">
        <v>14</v>
      </c>
      <c r="J13" s="14" t="s">
        <v>14</v>
      </c>
      <c r="K13" s="14" t="s">
        <v>14</v>
      </c>
      <c r="L13" s="14" t="s">
        <v>14</v>
      </c>
      <c r="M13" s="14" t="s">
        <v>14</v>
      </c>
      <c r="N13" s="14" t="s">
        <v>14</v>
      </c>
      <c r="O13" s="14" t="s">
        <v>14</v>
      </c>
      <c r="P13" s="14" t="s">
        <v>14</v>
      </c>
      <c r="Q13" s="14" t="s">
        <v>14</v>
      </c>
      <c r="R13" s="14" t="s">
        <v>14</v>
      </c>
      <c r="S13" s="14" t="s">
        <v>14</v>
      </c>
      <c r="T13" s="14" t="s">
        <v>14</v>
      </c>
      <c r="U13" s="14" t="s">
        <v>15</v>
      </c>
      <c r="V13" s="14" t="s">
        <v>15</v>
      </c>
      <c r="W13" s="14"/>
      <c r="X13" s="14"/>
      <c r="Y13" s="14"/>
      <c r="Z13" s="14"/>
      <c r="AA13" s="16">
        <f t="shared" si="0"/>
        <v>17</v>
      </c>
      <c r="AB13" s="16">
        <f t="shared" si="1"/>
        <v>2</v>
      </c>
      <c r="AC13" s="16">
        <f t="shared" si="2"/>
        <v>19</v>
      </c>
      <c r="AD13" s="17">
        <f t="shared" si="3"/>
        <v>89.473684210526315</v>
      </c>
    </row>
    <row r="14" spans="1:30" ht="15">
      <c r="A14" s="12">
        <v>9</v>
      </c>
      <c r="B14" s="12" t="s">
        <v>30</v>
      </c>
      <c r="C14" s="13" t="s">
        <v>31</v>
      </c>
      <c r="D14" s="14" t="s">
        <v>14</v>
      </c>
      <c r="E14" s="14" t="s">
        <v>14</v>
      </c>
      <c r="F14" s="14" t="s">
        <v>14</v>
      </c>
      <c r="G14" s="14" t="s">
        <v>14</v>
      </c>
      <c r="H14" s="14" t="s">
        <v>14</v>
      </c>
      <c r="I14" s="14" t="s">
        <v>15</v>
      </c>
      <c r="J14" s="14" t="s">
        <v>14</v>
      </c>
      <c r="K14" s="14" t="s">
        <v>14</v>
      </c>
      <c r="L14" s="14" t="s">
        <v>14</v>
      </c>
      <c r="M14" s="14" t="s">
        <v>14</v>
      </c>
      <c r="N14" s="14" t="s">
        <v>14</v>
      </c>
      <c r="O14" s="14" t="s">
        <v>14</v>
      </c>
      <c r="P14" s="14" t="s">
        <v>15</v>
      </c>
      <c r="Q14" s="14" t="s">
        <v>14</v>
      </c>
      <c r="R14" s="14" t="s">
        <v>15</v>
      </c>
      <c r="S14" s="14" t="s">
        <v>14</v>
      </c>
      <c r="T14" s="14" t="s">
        <v>15</v>
      </c>
      <c r="U14" s="14" t="s">
        <v>14</v>
      </c>
      <c r="V14" s="14" t="s">
        <v>14</v>
      </c>
      <c r="W14" s="14"/>
      <c r="X14" s="14"/>
      <c r="Y14" s="14"/>
      <c r="Z14" s="14"/>
      <c r="AA14" s="16">
        <f t="shared" si="0"/>
        <v>15</v>
      </c>
      <c r="AB14" s="16">
        <f t="shared" si="1"/>
        <v>4</v>
      </c>
      <c r="AC14" s="16">
        <f t="shared" si="2"/>
        <v>19</v>
      </c>
      <c r="AD14" s="17">
        <f t="shared" si="3"/>
        <v>78.94736842105263</v>
      </c>
    </row>
    <row r="15" spans="1:30" ht="15">
      <c r="A15" s="12">
        <v>10</v>
      </c>
      <c r="B15" s="12" t="s">
        <v>32</v>
      </c>
      <c r="C15" s="13" t="s">
        <v>33</v>
      </c>
      <c r="D15" s="14" t="s">
        <v>14</v>
      </c>
      <c r="E15" s="14" t="s">
        <v>14</v>
      </c>
      <c r="F15" s="14" t="s">
        <v>14</v>
      </c>
      <c r="G15" s="14" t="s">
        <v>14</v>
      </c>
      <c r="H15" s="14" t="s">
        <v>14</v>
      </c>
      <c r="I15" s="14" t="s">
        <v>15</v>
      </c>
      <c r="J15" s="14" t="s">
        <v>14</v>
      </c>
      <c r="K15" s="14" t="s">
        <v>15</v>
      </c>
      <c r="L15" s="14" t="s">
        <v>14</v>
      </c>
      <c r="M15" s="14" t="s">
        <v>14</v>
      </c>
      <c r="N15" s="14" t="s">
        <v>15</v>
      </c>
      <c r="O15" s="14" t="s">
        <v>14</v>
      </c>
      <c r="P15" s="14" t="s">
        <v>14</v>
      </c>
      <c r="Q15" s="14" t="s">
        <v>14</v>
      </c>
      <c r="R15" s="14" t="s">
        <v>14</v>
      </c>
      <c r="S15" s="14" t="s">
        <v>14</v>
      </c>
      <c r="T15" s="14" t="s">
        <v>14</v>
      </c>
      <c r="U15" s="14" t="s">
        <v>14</v>
      </c>
      <c r="V15" s="14" t="s">
        <v>14</v>
      </c>
      <c r="W15" s="14"/>
      <c r="X15" s="14"/>
      <c r="Y15" s="14"/>
      <c r="Z15" s="14"/>
      <c r="AA15" s="16">
        <f t="shared" si="0"/>
        <v>16</v>
      </c>
      <c r="AB15" s="16">
        <f t="shared" si="1"/>
        <v>3</v>
      </c>
      <c r="AC15" s="16">
        <f t="shared" si="2"/>
        <v>19</v>
      </c>
      <c r="AD15" s="17">
        <f t="shared" si="3"/>
        <v>84.210526315789465</v>
      </c>
    </row>
    <row r="16" spans="1:30" ht="15">
      <c r="A16" s="12">
        <v>11</v>
      </c>
      <c r="B16" s="12" t="s">
        <v>34</v>
      </c>
      <c r="C16" s="13" t="s">
        <v>35</v>
      </c>
      <c r="D16" s="14" t="s">
        <v>14</v>
      </c>
      <c r="E16" s="14" t="s">
        <v>14</v>
      </c>
      <c r="F16" s="14" t="s">
        <v>14</v>
      </c>
      <c r="G16" s="14" t="s">
        <v>14</v>
      </c>
      <c r="H16" s="14" t="s">
        <v>14</v>
      </c>
      <c r="I16" s="14" t="s">
        <v>15</v>
      </c>
      <c r="J16" s="14" t="s">
        <v>14</v>
      </c>
      <c r="K16" s="14" t="s">
        <v>14</v>
      </c>
      <c r="L16" s="14" t="s">
        <v>14</v>
      </c>
      <c r="M16" s="14" t="s">
        <v>14</v>
      </c>
      <c r="N16" s="14" t="s">
        <v>14</v>
      </c>
      <c r="O16" s="14" t="s">
        <v>14</v>
      </c>
      <c r="P16" s="14" t="s">
        <v>15</v>
      </c>
      <c r="Q16" s="14" t="s">
        <v>14</v>
      </c>
      <c r="R16" s="14" t="s">
        <v>14</v>
      </c>
      <c r="S16" s="14" t="s">
        <v>14</v>
      </c>
      <c r="T16" s="14" t="s">
        <v>15</v>
      </c>
      <c r="U16" s="14" t="s">
        <v>14</v>
      </c>
      <c r="V16" s="14" t="s">
        <v>14</v>
      </c>
      <c r="W16" s="14"/>
      <c r="X16" s="14"/>
      <c r="Y16" s="14"/>
      <c r="Z16" s="14"/>
      <c r="AA16" s="16">
        <f t="shared" si="0"/>
        <v>16</v>
      </c>
      <c r="AB16" s="16">
        <f t="shared" si="1"/>
        <v>3</v>
      </c>
      <c r="AC16" s="16">
        <f t="shared" si="2"/>
        <v>19</v>
      </c>
      <c r="AD16" s="17">
        <f t="shared" si="3"/>
        <v>84.210526315789465</v>
      </c>
    </row>
    <row r="17" spans="1:30" ht="15">
      <c r="A17" s="12">
        <v>12</v>
      </c>
      <c r="B17" s="12" t="s">
        <v>36</v>
      </c>
      <c r="C17" s="13" t="s">
        <v>37</v>
      </c>
      <c r="D17" s="14" t="s">
        <v>14</v>
      </c>
      <c r="E17" s="14" t="s">
        <v>14</v>
      </c>
      <c r="F17" s="14" t="s">
        <v>14</v>
      </c>
      <c r="G17" s="14" t="s">
        <v>14</v>
      </c>
      <c r="H17" s="14" t="s">
        <v>14</v>
      </c>
      <c r="I17" s="14" t="s">
        <v>14</v>
      </c>
      <c r="J17" s="14" t="s">
        <v>15</v>
      </c>
      <c r="K17" s="14" t="s">
        <v>15</v>
      </c>
      <c r="L17" s="14" t="s">
        <v>14</v>
      </c>
      <c r="M17" s="14" t="s">
        <v>14</v>
      </c>
      <c r="N17" s="14" t="s">
        <v>14</v>
      </c>
      <c r="O17" s="14" t="s">
        <v>14</v>
      </c>
      <c r="P17" s="14" t="s">
        <v>14</v>
      </c>
      <c r="Q17" s="14" t="s">
        <v>14</v>
      </c>
      <c r="R17" s="14" t="s">
        <v>14</v>
      </c>
      <c r="S17" s="14" t="s">
        <v>14</v>
      </c>
      <c r="T17" s="14" t="s">
        <v>15</v>
      </c>
      <c r="U17" s="14" t="s">
        <v>14</v>
      </c>
      <c r="V17" s="14" t="s">
        <v>14</v>
      </c>
      <c r="W17" s="14"/>
      <c r="X17" s="14"/>
      <c r="Y17" s="14"/>
      <c r="Z17" s="14"/>
      <c r="AA17" s="16">
        <f t="shared" si="0"/>
        <v>16</v>
      </c>
      <c r="AB17" s="16">
        <f t="shared" si="1"/>
        <v>3</v>
      </c>
      <c r="AC17" s="16">
        <f t="shared" si="2"/>
        <v>19</v>
      </c>
      <c r="AD17" s="17">
        <f t="shared" si="3"/>
        <v>84.210526315789465</v>
      </c>
    </row>
    <row r="18" spans="1:30" ht="15">
      <c r="A18" s="12">
        <v>13</v>
      </c>
      <c r="B18" s="12" t="s">
        <v>38</v>
      </c>
      <c r="C18" s="13" t="s">
        <v>39</v>
      </c>
      <c r="D18" s="14" t="s">
        <v>14</v>
      </c>
      <c r="E18" s="14" t="s">
        <v>14</v>
      </c>
      <c r="F18" s="14" t="s">
        <v>14</v>
      </c>
      <c r="G18" s="14" t="s">
        <v>14</v>
      </c>
      <c r="H18" s="14" t="s">
        <v>14</v>
      </c>
      <c r="I18" s="14" t="s">
        <v>15</v>
      </c>
      <c r="J18" s="14" t="s">
        <v>15</v>
      </c>
      <c r="K18" s="14" t="s">
        <v>15</v>
      </c>
      <c r="L18" s="14" t="s">
        <v>14</v>
      </c>
      <c r="M18" s="14" t="s">
        <v>15</v>
      </c>
      <c r="N18" s="14" t="s">
        <v>15</v>
      </c>
      <c r="O18" s="14" t="s">
        <v>15</v>
      </c>
      <c r="P18" s="14" t="s">
        <v>14</v>
      </c>
      <c r="Q18" s="14" t="s">
        <v>15</v>
      </c>
      <c r="R18" s="14" t="s">
        <v>15</v>
      </c>
      <c r="S18" s="14" t="s">
        <v>15</v>
      </c>
      <c r="T18" s="14" t="s">
        <v>15</v>
      </c>
      <c r="U18" s="14" t="s">
        <v>15</v>
      </c>
      <c r="V18" s="14" t="s">
        <v>15</v>
      </c>
      <c r="W18" s="14"/>
      <c r="X18" s="14"/>
      <c r="Y18" s="14"/>
      <c r="Z18" s="14"/>
      <c r="AA18" s="16">
        <f t="shared" si="0"/>
        <v>7</v>
      </c>
      <c r="AB18" s="16">
        <f t="shared" si="1"/>
        <v>12</v>
      </c>
      <c r="AC18" s="16">
        <f t="shared" si="2"/>
        <v>19</v>
      </c>
      <c r="AD18" s="17">
        <f t="shared" si="3"/>
        <v>36.84210526315789</v>
      </c>
    </row>
    <row r="19" spans="1:30" ht="15">
      <c r="A19" s="12">
        <v>14</v>
      </c>
      <c r="B19" s="12" t="s">
        <v>40</v>
      </c>
      <c r="C19" s="13" t="s">
        <v>41</v>
      </c>
      <c r="D19" s="14" t="s">
        <v>14</v>
      </c>
      <c r="E19" s="14" t="s">
        <v>14</v>
      </c>
      <c r="F19" s="14" t="s">
        <v>14</v>
      </c>
      <c r="G19" s="14" t="s">
        <v>14</v>
      </c>
      <c r="H19" s="14" t="s">
        <v>14</v>
      </c>
      <c r="I19" s="14" t="s">
        <v>14</v>
      </c>
      <c r="J19" s="14" t="s">
        <v>14</v>
      </c>
      <c r="K19" s="14" t="s">
        <v>14</v>
      </c>
      <c r="L19" s="14" t="s">
        <v>14</v>
      </c>
      <c r="M19" s="14" t="s">
        <v>14</v>
      </c>
      <c r="N19" s="14" t="s">
        <v>14</v>
      </c>
      <c r="O19" s="14" t="s">
        <v>14</v>
      </c>
      <c r="P19" s="14" t="s">
        <v>14</v>
      </c>
      <c r="Q19" s="14" t="s">
        <v>14</v>
      </c>
      <c r="R19" s="14" t="s">
        <v>14</v>
      </c>
      <c r="S19" s="14" t="s">
        <v>14</v>
      </c>
      <c r="T19" s="14" t="s">
        <v>14</v>
      </c>
      <c r="U19" s="14" t="s">
        <v>15</v>
      </c>
      <c r="V19" s="14" t="s">
        <v>15</v>
      </c>
      <c r="W19" s="14"/>
      <c r="X19" s="14"/>
      <c r="Y19" s="14"/>
      <c r="Z19" s="14"/>
      <c r="AA19" s="16">
        <f t="shared" si="0"/>
        <v>17</v>
      </c>
      <c r="AB19" s="16">
        <f t="shared" si="1"/>
        <v>2</v>
      </c>
      <c r="AC19" s="16">
        <f t="shared" si="2"/>
        <v>19</v>
      </c>
      <c r="AD19" s="17">
        <f t="shared" si="3"/>
        <v>89.473684210526315</v>
      </c>
    </row>
    <row r="20" spans="1:30" ht="15">
      <c r="A20" s="12">
        <v>15</v>
      </c>
      <c r="B20" s="12" t="s">
        <v>42</v>
      </c>
      <c r="C20" s="13" t="s">
        <v>43</v>
      </c>
      <c r="D20" s="14" t="s">
        <v>14</v>
      </c>
      <c r="E20" s="14" t="s">
        <v>14</v>
      </c>
      <c r="F20" s="14" t="s">
        <v>14</v>
      </c>
      <c r="G20" s="14" t="s">
        <v>14</v>
      </c>
      <c r="H20" s="14" t="s">
        <v>14</v>
      </c>
      <c r="I20" s="14" t="s">
        <v>14</v>
      </c>
      <c r="J20" s="14" t="s">
        <v>15</v>
      </c>
      <c r="K20" s="14" t="s">
        <v>14</v>
      </c>
      <c r="L20" s="14" t="s">
        <v>15</v>
      </c>
      <c r="M20" s="14" t="s">
        <v>14</v>
      </c>
      <c r="N20" s="14" t="s">
        <v>14</v>
      </c>
      <c r="O20" s="14" t="s">
        <v>14</v>
      </c>
      <c r="P20" s="14" t="s">
        <v>14</v>
      </c>
      <c r="Q20" s="14" t="s">
        <v>14</v>
      </c>
      <c r="R20" s="14" t="s">
        <v>14</v>
      </c>
      <c r="S20" s="14" t="s">
        <v>14</v>
      </c>
      <c r="T20" s="14" t="s">
        <v>14</v>
      </c>
      <c r="U20" s="14" t="s">
        <v>14</v>
      </c>
      <c r="V20" s="14" t="s">
        <v>14</v>
      </c>
      <c r="W20" s="14"/>
      <c r="X20" s="14"/>
      <c r="Y20" s="14"/>
      <c r="Z20" s="14"/>
      <c r="AA20" s="16">
        <f t="shared" si="0"/>
        <v>17</v>
      </c>
      <c r="AB20" s="16">
        <f t="shared" si="1"/>
        <v>2</v>
      </c>
      <c r="AC20" s="16">
        <f t="shared" si="2"/>
        <v>19</v>
      </c>
      <c r="AD20" s="17">
        <f t="shared" si="3"/>
        <v>89.473684210526315</v>
      </c>
    </row>
    <row r="21" spans="1:30" ht="15">
      <c r="A21" s="12">
        <v>16</v>
      </c>
      <c r="B21" s="12" t="s">
        <v>44</v>
      </c>
      <c r="C21" s="13" t="s">
        <v>45</v>
      </c>
      <c r="D21" s="14" t="s">
        <v>14</v>
      </c>
      <c r="E21" s="14" t="s">
        <v>14</v>
      </c>
      <c r="F21" s="14" t="s">
        <v>14</v>
      </c>
      <c r="G21" s="14" t="s">
        <v>14</v>
      </c>
      <c r="H21" s="14" t="s">
        <v>14</v>
      </c>
      <c r="I21" s="14" t="s">
        <v>14</v>
      </c>
      <c r="J21" s="14" t="s">
        <v>15</v>
      </c>
      <c r="K21" s="14" t="s">
        <v>15</v>
      </c>
      <c r="L21" s="14" t="s">
        <v>14</v>
      </c>
      <c r="M21" s="14" t="s">
        <v>14</v>
      </c>
      <c r="N21" s="14" t="s">
        <v>15</v>
      </c>
      <c r="O21" s="14" t="s">
        <v>14</v>
      </c>
      <c r="P21" s="14" t="s">
        <v>14</v>
      </c>
      <c r="Q21" s="14" t="s">
        <v>14</v>
      </c>
      <c r="R21" s="14" t="s">
        <v>14</v>
      </c>
      <c r="S21" s="14" t="s">
        <v>14</v>
      </c>
      <c r="T21" s="14" t="s">
        <v>14</v>
      </c>
      <c r="U21" s="14" t="s">
        <v>14</v>
      </c>
      <c r="V21" s="14" t="s">
        <v>14</v>
      </c>
      <c r="W21" s="14"/>
      <c r="X21" s="14"/>
      <c r="Y21" s="14"/>
      <c r="Z21" s="14"/>
      <c r="AA21" s="16">
        <f t="shared" si="0"/>
        <v>16</v>
      </c>
      <c r="AB21" s="16">
        <f t="shared" si="1"/>
        <v>3</v>
      </c>
      <c r="AC21" s="16">
        <f t="shared" si="2"/>
        <v>19</v>
      </c>
      <c r="AD21" s="17">
        <f t="shared" si="3"/>
        <v>84.210526315789465</v>
      </c>
    </row>
    <row r="22" spans="1:30" ht="15">
      <c r="A22" s="12">
        <v>17</v>
      </c>
      <c r="B22" s="12" t="s">
        <v>46</v>
      </c>
      <c r="C22" s="13" t="s">
        <v>47</v>
      </c>
      <c r="D22" s="14" t="s">
        <v>14</v>
      </c>
      <c r="E22" s="14" t="s">
        <v>14</v>
      </c>
      <c r="F22" s="14" t="s">
        <v>14</v>
      </c>
      <c r="G22" s="14" t="s">
        <v>14</v>
      </c>
      <c r="H22" s="14" t="s">
        <v>14</v>
      </c>
      <c r="I22" s="14" t="s">
        <v>14</v>
      </c>
      <c r="J22" s="14" t="s">
        <v>14</v>
      </c>
      <c r="K22" s="14" t="s">
        <v>14</v>
      </c>
      <c r="L22" s="14" t="s">
        <v>14</v>
      </c>
      <c r="M22" s="14" t="s">
        <v>14</v>
      </c>
      <c r="N22" s="14" t="s">
        <v>15</v>
      </c>
      <c r="O22" s="14" t="s">
        <v>14</v>
      </c>
      <c r="P22" s="14" t="s">
        <v>14</v>
      </c>
      <c r="Q22" s="14" t="s">
        <v>14</v>
      </c>
      <c r="R22" s="14" t="s">
        <v>14</v>
      </c>
      <c r="S22" s="14" t="s">
        <v>14</v>
      </c>
      <c r="T22" s="14" t="s">
        <v>14</v>
      </c>
      <c r="U22" s="14" t="s">
        <v>15</v>
      </c>
      <c r="V22" s="14" t="s">
        <v>15</v>
      </c>
      <c r="W22" s="14"/>
      <c r="X22" s="14"/>
      <c r="Y22" s="14"/>
      <c r="Z22" s="14"/>
      <c r="AA22" s="16">
        <f t="shared" si="0"/>
        <v>16</v>
      </c>
      <c r="AB22" s="16">
        <f t="shared" si="1"/>
        <v>3</v>
      </c>
      <c r="AC22" s="16">
        <f t="shared" si="2"/>
        <v>19</v>
      </c>
      <c r="AD22" s="17">
        <f t="shared" si="3"/>
        <v>84.210526315789465</v>
      </c>
    </row>
    <row r="23" spans="1:30" ht="15">
      <c r="A23" s="12">
        <v>18</v>
      </c>
      <c r="B23" s="12" t="s">
        <v>48</v>
      </c>
      <c r="C23" s="13" t="s">
        <v>49</v>
      </c>
      <c r="D23" s="14" t="s">
        <v>14</v>
      </c>
      <c r="E23" s="14" t="s">
        <v>14</v>
      </c>
      <c r="F23" s="14" t="s">
        <v>14</v>
      </c>
      <c r="G23" s="14" t="s">
        <v>14</v>
      </c>
      <c r="H23" s="14" t="s">
        <v>14</v>
      </c>
      <c r="I23" s="14" t="s">
        <v>14</v>
      </c>
      <c r="J23" s="14" t="s">
        <v>14</v>
      </c>
      <c r="K23" s="14" t="s">
        <v>14</v>
      </c>
      <c r="L23" s="14" t="s">
        <v>14</v>
      </c>
      <c r="M23" s="14" t="s">
        <v>14</v>
      </c>
      <c r="N23" s="14" t="s">
        <v>14</v>
      </c>
      <c r="O23" s="14" t="s">
        <v>15</v>
      </c>
      <c r="P23" s="14" t="s">
        <v>14</v>
      </c>
      <c r="Q23" s="14" t="s">
        <v>14</v>
      </c>
      <c r="R23" s="14" t="s">
        <v>14</v>
      </c>
      <c r="S23" s="14" t="s">
        <v>14</v>
      </c>
      <c r="T23" s="14" t="s">
        <v>14</v>
      </c>
      <c r="U23" s="14" t="s">
        <v>14</v>
      </c>
      <c r="V23" s="14" t="s">
        <v>14</v>
      </c>
      <c r="W23" s="14"/>
      <c r="X23" s="14"/>
      <c r="Y23" s="14"/>
      <c r="Z23" s="14"/>
      <c r="AA23" s="16">
        <f t="shared" si="0"/>
        <v>18</v>
      </c>
      <c r="AB23" s="16">
        <f t="shared" si="1"/>
        <v>1</v>
      </c>
      <c r="AC23" s="16">
        <f t="shared" si="2"/>
        <v>19</v>
      </c>
      <c r="AD23" s="17">
        <f t="shared" si="3"/>
        <v>94.73684210526315</v>
      </c>
    </row>
    <row r="24" spans="1:30" ht="15">
      <c r="A24" s="12">
        <v>19</v>
      </c>
      <c r="B24" s="12" t="s">
        <v>50</v>
      </c>
      <c r="C24" s="13" t="s">
        <v>51</v>
      </c>
      <c r="D24" s="14" t="s">
        <v>14</v>
      </c>
      <c r="E24" s="14" t="s">
        <v>14</v>
      </c>
      <c r="F24" s="14" t="s">
        <v>14</v>
      </c>
      <c r="G24" s="14" t="s">
        <v>14</v>
      </c>
      <c r="H24" s="14" t="s">
        <v>14</v>
      </c>
      <c r="I24" s="14" t="s">
        <v>15</v>
      </c>
      <c r="J24" s="14" t="s">
        <v>14</v>
      </c>
      <c r="K24" s="14" t="s">
        <v>14</v>
      </c>
      <c r="L24" s="14" t="s">
        <v>14</v>
      </c>
      <c r="M24" s="14" t="s">
        <v>14</v>
      </c>
      <c r="N24" s="14" t="s">
        <v>14</v>
      </c>
      <c r="O24" s="14" t="s">
        <v>14</v>
      </c>
      <c r="P24" s="14" t="s">
        <v>14</v>
      </c>
      <c r="Q24" s="14" t="s">
        <v>14</v>
      </c>
      <c r="R24" s="14" t="s">
        <v>14</v>
      </c>
      <c r="S24" s="14" t="s">
        <v>14</v>
      </c>
      <c r="T24" s="14" t="s">
        <v>14</v>
      </c>
      <c r="U24" s="14" t="s">
        <v>14</v>
      </c>
      <c r="V24" s="14" t="s">
        <v>14</v>
      </c>
      <c r="W24" s="14"/>
      <c r="X24" s="14"/>
      <c r="Y24" s="14"/>
      <c r="Z24" s="14"/>
      <c r="AA24" s="16">
        <f t="shared" si="0"/>
        <v>18</v>
      </c>
      <c r="AB24" s="16">
        <f t="shared" si="1"/>
        <v>1</v>
      </c>
      <c r="AC24" s="16">
        <f t="shared" si="2"/>
        <v>19</v>
      </c>
      <c r="AD24" s="17">
        <f t="shared" si="3"/>
        <v>94.73684210526315</v>
      </c>
    </row>
    <row r="25" spans="1:30" ht="15">
      <c r="A25" s="12">
        <v>20</v>
      </c>
      <c r="B25" s="12" t="s">
        <v>52</v>
      </c>
      <c r="C25" s="13" t="s">
        <v>53</v>
      </c>
      <c r="D25" s="14" t="s">
        <v>14</v>
      </c>
      <c r="E25" s="14" t="s">
        <v>14</v>
      </c>
      <c r="F25" s="14" t="s">
        <v>14</v>
      </c>
      <c r="G25" s="14" t="s">
        <v>14</v>
      </c>
      <c r="H25" s="14" t="s">
        <v>14</v>
      </c>
      <c r="I25" s="14" t="s">
        <v>15</v>
      </c>
      <c r="J25" s="14" t="s">
        <v>14</v>
      </c>
      <c r="K25" s="14" t="s">
        <v>15</v>
      </c>
      <c r="L25" s="14" t="s">
        <v>14</v>
      </c>
      <c r="M25" s="14" t="s">
        <v>14</v>
      </c>
      <c r="N25" s="14" t="s">
        <v>14</v>
      </c>
      <c r="O25" s="14" t="s">
        <v>14</v>
      </c>
      <c r="P25" s="14" t="s">
        <v>14</v>
      </c>
      <c r="Q25" s="14" t="s">
        <v>14</v>
      </c>
      <c r="R25" s="14" t="s">
        <v>14</v>
      </c>
      <c r="S25" s="14" t="s">
        <v>14</v>
      </c>
      <c r="T25" s="14" t="s">
        <v>14</v>
      </c>
      <c r="U25" s="14" t="s">
        <v>15</v>
      </c>
      <c r="V25" s="14" t="s">
        <v>15</v>
      </c>
      <c r="W25" s="14"/>
      <c r="X25" s="14"/>
      <c r="Y25" s="14"/>
      <c r="Z25" s="14"/>
      <c r="AA25" s="16">
        <f t="shared" si="0"/>
        <v>15</v>
      </c>
      <c r="AB25" s="16">
        <f t="shared" si="1"/>
        <v>4</v>
      </c>
      <c r="AC25" s="16">
        <f t="shared" si="2"/>
        <v>19</v>
      </c>
      <c r="AD25" s="17">
        <f t="shared" si="3"/>
        <v>78.94736842105263</v>
      </c>
    </row>
    <row r="26" spans="1:30" ht="15">
      <c r="A26" s="12">
        <v>21</v>
      </c>
      <c r="B26" s="12" t="s">
        <v>54</v>
      </c>
      <c r="C26" s="13" t="s">
        <v>55</v>
      </c>
      <c r="D26" s="14" t="s">
        <v>14</v>
      </c>
      <c r="E26" s="14" t="s">
        <v>14</v>
      </c>
      <c r="F26" s="14" t="s">
        <v>14</v>
      </c>
      <c r="G26" s="14" t="s">
        <v>14</v>
      </c>
      <c r="H26" s="14" t="s">
        <v>14</v>
      </c>
      <c r="I26" s="14" t="s">
        <v>14</v>
      </c>
      <c r="J26" s="14" t="s">
        <v>14</v>
      </c>
      <c r="K26" s="14" t="s">
        <v>15</v>
      </c>
      <c r="L26" s="14" t="s">
        <v>14</v>
      </c>
      <c r="M26" s="14" t="s">
        <v>14</v>
      </c>
      <c r="N26" s="14" t="s">
        <v>14</v>
      </c>
      <c r="O26" s="14" t="s">
        <v>14</v>
      </c>
      <c r="P26" s="14" t="s">
        <v>14</v>
      </c>
      <c r="Q26" s="14" t="s">
        <v>14</v>
      </c>
      <c r="R26" s="14" t="s">
        <v>14</v>
      </c>
      <c r="S26" s="14" t="s">
        <v>14</v>
      </c>
      <c r="T26" s="14" t="s">
        <v>14</v>
      </c>
      <c r="U26" s="14" t="s">
        <v>14</v>
      </c>
      <c r="V26" s="14" t="s">
        <v>14</v>
      </c>
      <c r="W26" s="14"/>
      <c r="X26" s="14"/>
      <c r="Y26" s="14"/>
      <c r="Z26" s="14"/>
      <c r="AA26" s="16">
        <f t="shared" si="0"/>
        <v>18</v>
      </c>
      <c r="AB26" s="16">
        <f t="shared" si="1"/>
        <v>1</v>
      </c>
      <c r="AC26" s="16">
        <f t="shared" si="2"/>
        <v>19</v>
      </c>
      <c r="AD26" s="17">
        <f t="shared" si="3"/>
        <v>94.73684210526315</v>
      </c>
    </row>
    <row r="27" spans="1:30" ht="15">
      <c r="A27" s="12">
        <v>22</v>
      </c>
      <c r="B27" s="12" t="s">
        <v>56</v>
      </c>
      <c r="C27" s="13" t="s">
        <v>57</v>
      </c>
      <c r="D27" s="14" t="s">
        <v>14</v>
      </c>
      <c r="E27" s="14" t="s">
        <v>14</v>
      </c>
      <c r="F27" s="14" t="s">
        <v>14</v>
      </c>
      <c r="G27" s="14" t="s">
        <v>14</v>
      </c>
      <c r="H27" s="14" t="s">
        <v>14</v>
      </c>
      <c r="I27" s="14" t="s">
        <v>14</v>
      </c>
      <c r="J27" s="14" t="s">
        <v>14</v>
      </c>
      <c r="K27" s="14" t="s">
        <v>14</v>
      </c>
      <c r="L27" s="14" t="s">
        <v>14</v>
      </c>
      <c r="M27" s="14" t="s">
        <v>14</v>
      </c>
      <c r="N27" s="14" t="s">
        <v>14</v>
      </c>
      <c r="O27" s="14" t="s">
        <v>14</v>
      </c>
      <c r="P27" s="14" t="s">
        <v>14</v>
      </c>
      <c r="Q27" s="14" t="s">
        <v>14</v>
      </c>
      <c r="R27" s="14" t="s">
        <v>14</v>
      </c>
      <c r="S27" s="14" t="s">
        <v>14</v>
      </c>
      <c r="T27" s="14" t="s">
        <v>14</v>
      </c>
      <c r="U27" s="14" t="s">
        <v>14</v>
      </c>
      <c r="V27" s="14" t="s">
        <v>14</v>
      </c>
      <c r="W27" s="14"/>
      <c r="X27" s="14"/>
      <c r="Y27" s="14"/>
      <c r="Z27" s="14"/>
      <c r="AA27" s="16">
        <f t="shared" si="0"/>
        <v>19</v>
      </c>
      <c r="AB27" s="16">
        <f t="shared" si="1"/>
        <v>0</v>
      </c>
      <c r="AC27" s="16">
        <f t="shared" si="2"/>
        <v>19</v>
      </c>
      <c r="AD27" s="17">
        <f t="shared" si="3"/>
        <v>100</v>
      </c>
    </row>
    <row r="28" spans="1:30" ht="15">
      <c r="A28" s="12">
        <v>23</v>
      </c>
      <c r="B28" s="12" t="s">
        <v>58</v>
      </c>
      <c r="C28" s="13" t="s">
        <v>59</v>
      </c>
      <c r="D28" s="14" t="s">
        <v>14</v>
      </c>
      <c r="E28" s="14" t="s">
        <v>14</v>
      </c>
      <c r="F28" s="14" t="s">
        <v>14</v>
      </c>
      <c r="G28" s="14" t="s">
        <v>14</v>
      </c>
      <c r="H28" s="14" t="s">
        <v>14</v>
      </c>
      <c r="I28" s="14" t="s">
        <v>15</v>
      </c>
      <c r="J28" s="14" t="s">
        <v>15</v>
      </c>
      <c r="K28" s="14" t="s">
        <v>15</v>
      </c>
      <c r="L28" s="14" t="s">
        <v>15</v>
      </c>
      <c r="M28" s="14" t="s">
        <v>15</v>
      </c>
      <c r="N28" s="14" t="s">
        <v>15</v>
      </c>
      <c r="O28" s="14" t="s">
        <v>15</v>
      </c>
      <c r="P28" s="14" t="s">
        <v>15</v>
      </c>
      <c r="Q28" s="14" t="s">
        <v>15</v>
      </c>
      <c r="R28" s="14" t="s">
        <v>15</v>
      </c>
      <c r="S28" s="14" t="s">
        <v>15</v>
      </c>
      <c r="T28" s="14" t="s">
        <v>15</v>
      </c>
      <c r="U28" s="14" t="s">
        <v>15</v>
      </c>
      <c r="V28" s="14" t="s">
        <v>15</v>
      </c>
      <c r="W28" s="14"/>
      <c r="X28" s="14"/>
      <c r="Y28" s="14"/>
      <c r="Z28" s="14"/>
      <c r="AA28" s="16">
        <f t="shared" si="0"/>
        <v>5</v>
      </c>
      <c r="AB28" s="16">
        <f t="shared" si="1"/>
        <v>14</v>
      </c>
      <c r="AC28" s="16">
        <f t="shared" si="2"/>
        <v>19</v>
      </c>
      <c r="AD28" s="17">
        <f t="shared" si="3"/>
        <v>26.315789473684209</v>
      </c>
    </row>
    <row r="29" spans="1:30" ht="15">
      <c r="A29" s="12">
        <v>24</v>
      </c>
      <c r="B29" s="12" t="s">
        <v>60</v>
      </c>
      <c r="C29" s="13" t="s">
        <v>61</v>
      </c>
      <c r="D29" s="14" t="s">
        <v>14</v>
      </c>
      <c r="E29" s="14" t="s">
        <v>14</v>
      </c>
      <c r="F29" s="14" t="s">
        <v>14</v>
      </c>
      <c r="G29" s="14" t="s">
        <v>14</v>
      </c>
      <c r="H29" s="14" t="s">
        <v>14</v>
      </c>
      <c r="I29" s="14" t="s">
        <v>14</v>
      </c>
      <c r="J29" s="14" t="s">
        <v>14</v>
      </c>
      <c r="K29" s="14" t="s">
        <v>14</v>
      </c>
      <c r="L29" s="14" t="s">
        <v>15</v>
      </c>
      <c r="M29" s="14" t="s">
        <v>15</v>
      </c>
      <c r="N29" s="14" t="s">
        <v>15</v>
      </c>
      <c r="O29" s="14" t="s">
        <v>14</v>
      </c>
      <c r="P29" s="14" t="s">
        <v>14</v>
      </c>
      <c r="Q29" s="14" t="s">
        <v>14</v>
      </c>
      <c r="R29" s="14" t="s">
        <v>14</v>
      </c>
      <c r="S29" s="14" t="s">
        <v>14</v>
      </c>
      <c r="T29" s="14" t="s">
        <v>14</v>
      </c>
      <c r="U29" s="14" t="s">
        <v>15</v>
      </c>
      <c r="V29" s="14" t="s">
        <v>15</v>
      </c>
      <c r="W29" s="14"/>
      <c r="X29" s="14"/>
      <c r="Y29" s="14"/>
      <c r="Z29" s="14"/>
      <c r="AA29" s="16">
        <f t="shared" si="0"/>
        <v>14</v>
      </c>
      <c r="AB29" s="16">
        <f t="shared" si="1"/>
        <v>5</v>
      </c>
      <c r="AC29" s="16">
        <f t="shared" si="2"/>
        <v>19</v>
      </c>
      <c r="AD29" s="17">
        <f t="shared" si="3"/>
        <v>73.68421052631578</v>
      </c>
    </row>
    <row r="30" spans="1:30" ht="15">
      <c r="A30" s="12">
        <v>25</v>
      </c>
      <c r="B30" s="12" t="s">
        <v>62</v>
      </c>
      <c r="C30" s="13" t="s">
        <v>63</v>
      </c>
      <c r="D30" s="14" t="s">
        <v>14</v>
      </c>
      <c r="E30" s="14" t="s">
        <v>14</v>
      </c>
      <c r="F30" s="14" t="s">
        <v>14</v>
      </c>
      <c r="G30" s="14" t="s">
        <v>14</v>
      </c>
      <c r="H30" s="14" t="s">
        <v>14</v>
      </c>
      <c r="I30" s="14" t="s">
        <v>14</v>
      </c>
      <c r="J30" s="14" t="s">
        <v>14</v>
      </c>
      <c r="K30" s="14" t="s">
        <v>14</v>
      </c>
      <c r="L30" s="14" t="s">
        <v>14</v>
      </c>
      <c r="M30" s="14" t="s">
        <v>14</v>
      </c>
      <c r="N30" s="14" t="s">
        <v>14</v>
      </c>
      <c r="O30" s="14" t="s">
        <v>14</v>
      </c>
      <c r="P30" s="14" t="s">
        <v>14</v>
      </c>
      <c r="Q30" s="14" t="s">
        <v>14</v>
      </c>
      <c r="R30" s="14" t="s">
        <v>14</v>
      </c>
      <c r="S30" s="14" t="s">
        <v>14</v>
      </c>
      <c r="T30" s="14" t="s">
        <v>14</v>
      </c>
      <c r="U30" s="14" t="s">
        <v>14</v>
      </c>
      <c r="V30" s="14" t="s">
        <v>14</v>
      </c>
      <c r="W30" s="14"/>
      <c r="X30" s="14"/>
      <c r="Y30" s="14"/>
      <c r="Z30" s="14"/>
      <c r="AA30" s="16">
        <f t="shared" si="0"/>
        <v>19</v>
      </c>
      <c r="AB30" s="16">
        <f t="shared" si="1"/>
        <v>0</v>
      </c>
      <c r="AC30" s="16">
        <f t="shared" si="2"/>
        <v>19</v>
      </c>
      <c r="AD30" s="17">
        <f t="shared" si="3"/>
        <v>100</v>
      </c>
    </row>
    <row r="31" spans="1:30" ht="15">
      <c r="A31" s="12">
        <v>26</v>
      </c>
      <c r="B31" s="12" t="s">
        <v>64</v>
      </c>
      <c r="C31" s="13" t="s">
        <v>65</v>
      </c>
      <c r="D31" s="14" t="s">
        <v>14</v>
      </c>
      <c r="E31" s="14" t="s">
        <v>14</v>
      </c>
      <c r="F31" s="14" t="s">
        <v>14</v>
      </c>
      <c r="G31" s="14" t="s">
        <v>14</v>
      </c>
      <c r="H31" s="14" t="s">
        <v>14</v>
      </c>
      <c r="I31" s="14" t="s">
        <v>15</v>
      </c>
      <c r="J31" s="14" t="s">
        <v>14</v>
      </c>
      <c r="K31" s="14" t="s">
        <v>14</v>
      </c>
      <c r="L31" s="14" t="s">
        <v>15</v>
      </c>
      <c r="M31" s="14" t="s">
        <v>14</v>
      </c>
      <c r="N31" s="14" t="s">
        <v>14</v>
      </c>
      <c r="O31" s="14" t="s">
        <v>14</v>
      </c>
      <c r="P31" s="14" t="s">
        <v>15</v>
      </c>
      <c r="Q31" s="14" t="s">
        <v>14</v>
      </c>
      <c r="R31" s="14" t="s">
        <v>14</v>
      </c>
      <c r="S31" s="14" t="s">
        <v>14</v>
      </c>
      <c r="T31" s="14" t="s">
        <v>14</v>
      </c>
      <c r="U31" s="14" t="s">
        <v>14</v>
      </c>
      <c r="V31" s="14" t="s">
        <v>14</v>
      </c>
      <c r="W31" s="14"/>
      <c r="X31" s="14"/>
      <c r="Y31" s="14"/>
      <c r="Z31" s="14"/>
      <c r="AA31" s="16">
        <f t="shared" si="0"/>
        <v>16</v>
      </c>
      <c r="AB31" s="16">
        <f t="shared" si="1"/>
        <v>3</v>
      </c>
      <c r="AC31" s="16">
        <f t="shared" si="2"/>
        <v>19</v>
      </c>
      <c r="AD31" s="17">
        <f t="shared" si="3"/>
        <v>84.210526315789465</v>
      </c>
    </row>
    <row r="32" spans="1:30" ht="15">
      <c r="A32" s="12">
        <v>27</v>
      </c>
      <c r="B32" s="12" t="s">
        <v>66</v>
      </c>
      <c r="C32" s="13" t="s">
        <v>67</v>
      </c>
      <c r="D32" s="14" t="s">
        <v>14</v>
      </c>
      <c r="E32" s="14" t="s">
        <v>14</v>
      </c>
      <c r="F32" s="14" t="s">
        <v>14</v>
      </c>
      <c r="G32" s="14" t="s">
        <v>14</v>
      </c>
      <c r="H32" s="14" t="s">
        <v>14</v>
      </c>
      <c r="I32" s="14" t="s">
        <v>15</v>
      </c>
      <c r="J32" s="14" t="s">
        <v>14</v>
      </c>
      <c r="K32" s="14" t="s">
        <v>14</v>
      </c>
      <c r="L32" s="14" t="s">
        <v>14</v>
      </c>
      <c r="M32" s="14" t="s">
        <v>14</v>
      </c>
      <c r="N32" s="14" t="s">
        <v>14</v>
      </c>
      <c r="O32" s="14" t="s">
        <v>14</v>
      </c>
      <c r="P32" s="14" t="s">
        <v>14</v>
      </c>
      <c r="Q32" s="14" t="s">
        <v>14</v>
      </c>
      <c r="R32" s="14" t="s">
        <v>14</v>
      </c>
      <c r="S32" s="14" t="s">
        <v>14</v>
      </c>
      <c r="T32" s="14" t="s">
        <v>14</v>
      </c>
      <c r="U32" s="14" t="s">
        <v>14</v>
      </c>
      <c r="V32" s="14" t="s">
        <v>14</v>
      </c>
      <c r="W32" s="14"/>
      <c r="X32" s="14"/>
      <c r="Y32" s="14"/>
      <c r="Z32" s="14"/>
      <c r="AA32" s="16">
        <f t="shared" si="0"/>
        <v>18</v>
      </c>
      <c r="AB32" s="16">
        <f t="shared" si="1"/>
        <v>1</v>
      </c>
      <c r="AC32" s="16">
        <f t="shared" si="2"/>
        <v>19</v>
      </c>
      <c r="AD32" s="17">
        <f t="shared" si="3"/>
        <v>94.73684210526315</v>
      </c>
    </row>
    <row r="33" spans="1:30" ht="15">
      <c r="A33" s="12">
        <v>28</v>
      </c>
      <c r="B33" s="12" t="s">
        <v>68</v>
      </c>
      <c r="C33" s="13" t="s">
        <v>69</v>
      </c>
      <c r="D33" s="14" t="s">
        <v>14</v>
      </c>
      <c r="E33" s="14" t="s">
        <v>14</v>
      </c>
      <c r="F33" s="14" t="s">
        <v>14</v>
      </c>
      <c r="G33" s="14" t="s">
        <v>14</v>
      </c>
      <c r="H33" s="14" t="s">
        <v>14</v>
      </c>
      <c r="I33" s="14" t="s">
        <v>15</v>
      </c>
      <c r="J33" s="14" t="s">
        <v>15</v>
      </c>
      <c r="K33" s="14" t="s">
        <v>14</v>
      </c>
      <c r="L33" s="14" t="s">
        <v>14</v>
      </c>
      <c r="M33" s="14" t="s">
        <v>14</v>
      </c>
      <c r="N33" s="14" t="s">
        <v>14</v>
      </c>
      <c r="O33" s="14" t="s">
        <v>14</v>
      </c>
      <c r="P33" s="14" t="s">
        <v>14</v>
      </c>
      <c r="Q33" s="14" t="s">
        <v>14</v>
      </c>
      <c r="R33" s="14" t="s">
        <v>14</v>
      </c>
      <c r="S33" s="14" t="s">
        <v>14</v>
      </c>
      <c r="T33" s="14" t="s">
        <v>14</v>
      </c>
      <c r="U33" s="14" t="s">
        <v>14</v>
      </c>
      <c r="V33" s="14" t="s">
        <v>14</v>
      </c>
      <c r="W33" s="14"/>
      <c r="X33" s="14"/>
      <c r="Y33" s="14"/>
      <c r="Z33" s="14"/>
      <c r="AA33" s="16">
        <f t="shared" si="0"/>
        <v>17</v>
      </c>
      <c r="AB33" s="16">
        <f t="shared" si="1"/>
        <v>2</v>
      </c>
      <c r="AC33" s="16">
        <f t="shared" si="2"/>
        <v>19</v>
      </c>
      <c r="AD33" s="17">
        <f t="shared" si="3"/>
        <v>89.473684210526315</v>
      </c>
    </row>
    <row r="34" spans="1:30" ht="15">
      <c r="A34" s="12">
        <v>29</v>
      </c>
      <c r="B34" s="12" t="s">
        <v>70</v>
      </c>
      <c r="C34" s="13" t="s">
        <v>71</v>
      </c>
      <c r="D34" s="14" t="s">
        <v>14</v>
      </c>
      <c r="E34" s="14" t="s">
        <v>14</v>
      </c>
      <c r="F34" s="14" t="s">
        <v>14</v>
      </c>
      <c r="G34" s="14" t="s">
        <v>14</v>
      </c>
      <c r="H34" s="14" t="s">
        <v>14</v>
      </c>
      <c r="I34" s="14" t="s">
        <v>14</v>
      </c>
      <c r="J34" s="14" t="s">
        <v>14</v>
      </c>
      <c r="K34" s="14" t="s">
        <v>14</v>
      </c>
      <c r="L34" s="14" t="s">
        <v>14</v>
      </c>
      <c r="M34" s="14" t="s">
        <v>14</v>
      </c>
      <c r="N34" s="14" t="s">
        <v>14</v>
      </c>
      <c r="O34" s="14" t="s">
        <v>14</v>
      </c>
      <c r="P34" s="14" t="s">
        <v>14</v>
      </c>
      <c r="Q34" s="14" t="s">
        <v>14</v>
      </c>
      <c r="R34" s="14" t="s">
        <v>14</v>
      </c>
      <c r="S34" s="14" t="s">
        <v>14</v>
      </c>
      <c r="T34" s="14" t="s">
        <v>14</v>
      </c>
      <c r="U34" s="14" t="s">
        <v>14</v>
      </c>
      <c r="V34" s="14" t="s">
        <v>14</v>
      </c>
      <c r="W34" s="14"/>
      <c r="X34" s="14"/>
      <c r="Y34" s="14"/>
      <c r="Z34" s="14"/>
      <c r="AA34" s="16">
        <f t="shared" si="0"/>
        <v>19</v>
      </c>
      <c r="AB34" s="16">
        <f t="shared" si="1"/>
        <v>0</v>
      </c>
      <c r="AC34" s="16">
        <f t="shared" si="2"/>
        <v>19</v>
      </c>
      <c r="AD34" s="17">
        <f t="shared" si="3"/>
        <v>100</v>
      </c>
    </row>
    <row r="35" spans="1:30" ht="15">
      <c r="A35" s="12">
        <v>30</v>
      </c>
      <c r="B35" s="12" t="s">
        <v>72</v>
      </c>
      <c r="C35" s="13" t="s">
        <v>73</v>
      </c>
      <c r="D35" s="14" t="s">
        <v>14</v>
      </c>
      <c r="E35" s="14" t="s">
        <v>14</v>
      </c>
      <c r="F35" s="14" t="s">
        <v>14</v>
      </c>
      <c r="G35" s="14" t="s">
        <v>14</v>
      </c>
      <c r="H35" s="14" t="s">
        <v>14</v>
      </c>
      <c r="I35" s="14" t="s">
        <v>15</v>
      </c>
      <c r="J35" s="14" t="s">
        <v>15</v>
      </c>
      <c r="K35" s="14" t="s">
        <v>14</v>
      </c>
      <c r="L35" s="14" t="s">
        <v>14</v>
      </c>
      <c r="M35" s="14" t="s">
        <v>14</v>
      </c>
      <c r="N35" s="14" t="s">
        <v>14</v>
      </c>
      <c r="O35" s="14" t="s">
        <v>14</v>
      </c>
      <c r="P35" s="14" t="s">
        <v>15</v>
      </c>
      <c r="Q35" s="14" t="s">
        <v>15</v>
      </c>
      <c r="R35" s="14" t="s">
        <v>14</v>
      </c>
      <c r="S35" s="14" t="s">
        <v>14</v>
      </c>
      <c r="T35" s="14" t="s">
        <v>14</v>
      </c>
      <c r="U35" s="14" t="s">
        <v>14</v>
      </c>
      <c r="V35" s="14" t="s">
        <v>14</v>
      </c>
      <c r="W35" s="14"/>
      <c r="X35" s="14"/>
      <c r="Y35" s="14"/>
      <c r="Z35" s="14"/>
      <c r="AA35" s="16">
        <f t="shared" si="0"/>
        <v>15</v>
      </c>
      <c r="AB35" s="16">
        <f t="shared" si="1"/>
        <v>4</v>
      </c>
      <c r="AC35" s="16">
        <f t="shared" si="2"/>
        <v>19</v>
      </c>
      <c r="AD35" s="17">
        <f t="shared" si="3"/>
        <v>78.94736842105263</v>
      </c>
    </row>
    <row r="36" spans="1:30" ht="15">
      <c r="A36" s="12">
        <v>31</v>
      </c>
      <c r="B36" s="12" t="s">
        <v>74</v>
      </c>
      <c r="C36" s="13" t="s">
        <v>75</v>
      </c>
      <c r="D36" s="14" t="s">
        <v>14</v>
      </c>
      <c r="E36" s="14" t="s">
        <v>14</v>
      </c>
      <c r="F36" s="14" t="s">
        <v>14</v>
      </c>
      <c r="G36" s="14" t="s">
        <v>14</v>
      </c>
      <c r="H36" s="14" t="s">
        <v>14</v>
      </c>
      <c r="I36" s="14" t="s">
        <v>14</v>
      </c>
      <c r="J36" s="14" t="s">
        <v>14</v>
      </c>
      <c r="K36" s="14" t="s">
        <v>14</v>
      </c>
      <c r="L36" s="14" t="s">
        <v>14</v>
      </c>
      <c r="M36" s="14" t="s">
        <v>14</v>
      </c>
      <c r="N36" s="14" t="s">
        <v>14</v>
      </c>
      <c r="O36" s="14" t="s">
        <v>14</v>
      </c>
      <c r="P36" s="14" t="s">
        <v>14</v>
      </c>
      <c r="Q36" s="14" t="s">
        <v>14</v>
      </c>
      <c r="R36" s="14" t="s">
        <v>14</v>
      </c>
      <c r="S36" s="14" t="s">
        <v>14</v>
      </c>
      <c r="T36" s="14" t="s">
        <v>14</v>
      </c>
      <c r="U36" s="14" t="s">
        <v>14</v>
      </c>
      <c r="V36" s="14" t="s">
        <v>14</v>
      </c>
      <c r="W36" s="14"/>
      <c r="X36" s="14"/>
      <c r="Y36" s="14"/>
      <c r="Z36" s="14"/>
      <c r="AA36" s="16">
        <f t="shared" si="0"/>
        <v>19</v>
      </c>
      <c r="AB36" s="16">
        <f t="shared" si="1"/>
        <v>0</v>
      </c>
      <c r="AC36" s="16">
        <f t="shared" si="2"/>
        <v>19</v>
      </c>
      <c r="AD36" s="17">
        <f t="shared" si="3"/>
        <v>100</v>
      </c>
    </row>
    <row r="37" spans="1:30" ht="15">
      <c r="A37" s="12">
        <v>32</v>
      </c>
      <c r="B37" s="12" t="s">
        <v>76</v>
      </c>
      <c r="C37" s="13" t="s">
        <v>77</v>
      </c>
      <c r="D37" s="14" t="s">
        <v>14</v>
      </c>
      <c r="E37" s="14" t="s">
        <v>14</v>
      </c>
      <c r="F37" s="14" t="s">
        <v>14</v>
      </c>
      <c r="G37" s="14" t="s">
        <v>14</v>
      </c>
      <c r="H37" s="14" t="s">
        <v>14</v>
      </c>
      <c r="I37" s="14" t="s">
        <v>14</v>
      </c>
      <c r="J37" s="14" t="s">
        <v>14</v>
      </c>
      <c r="K37" s="14" t="s">
        <v>14</v>
      </c>
      <c r="L37" s="14" t="s">
        <v>14</v>
      </c>
      <c r="M37" s="14" t="s">
        <v>14</v>
      </c>
      <c r="N37" s="14" t="s">
        <v>14</v>
      </c>
      <c r="O37" s="14" t="s">
        <v>14</v>
      </c>
      <c r="P37" s="14" t="s">
        <v>14</v>
      </c>
      <c r="Q37" s="14" t="s">
        <v>14</v>
      </c>
      <c r="R37" s="14" t="s">
        <v>14</v>
      </c>
      <c r="S37" s="14" t="s">
        <v>14</v>
      </c>
      <c r="T37" s="14" t="s">
        <v>15</v>
      </c>
      <c r="U37" s="14" t="s">
        <v>14</v>
      </c>
      <c r="V37" s="14" t="s">
        <v>14</v>
      </c>
      <c r="W37" s="14"/>
      <c r="X37" s="14"/>
      <c r="Y37" s="14"/>
      <c r="Z37" s="14"/>
      <c r="AA37" s="16">
        <f t="shared" si="0"/>
        <v>18</v>
      </c>
      <c r="AB37" s="16">
        <f t="shared" si="1"/>
        <v>1</v>
      </c>
      <c r="AC37" s="16">
        <f t="shared" si="2"/>
        <v>19</v>
      </c>
      <c r="AD37" s="17">
        <f t="shared" si="3"/>
        <v>94.73684210526315</v>
      </c>
    </row>
    <row r="38" spans="1:30" ht="15">
      <c r="A38" s="12">
        <v>33</v>
      </c>
      <c r="B38" s="12" t="s">
        <v>78</v>
      </c>
      <c r="C38" s="13" t="s">
        <v>79</v>
      </c>
      <c r="D38" s="14" t="s">
        <v>14</v>
      </c>
      <c r="E38" s="14" t="s">
        <v>14</v>
      </c>
      <c r="F38" s="14" t="s">
        <v>14</v>
      </c>
      <c r="G38" s="14" t="s">
        <v>14</v>
      </c>
      <c r="H38" s="14" t="s">
        <v>14</v>
      </c>
      <c r="I38" s="14" t="s">
        <v>15</v>
      </c>
      <c r="J38" s="14" t="s">
        <v>14</v>
      </c>
      <c r="K38" s="14" t="s">
        <v>14</v>
      </c>
      <c r="L38" s="14" t="s">
        <v>14</v>
      </c>
      <c r="M38" s="14" t="s">
        <v>14</v>
      </c>
      <c r="N38" s="14" t="s">
        <v>14</v>
      </c>
      <c r="O38" s="14" t="s">
        <v>14</v>
      </c>
      <c r="P38" s="14" t="s">
        <v>14</v>
      </c>
      <c r="Q38" s="14" t="s">
        <v>14</v>
      </c>
      <c r="R38" s="14" t="s">
        <v>14</v>
      </c>
      <c r="S38" s="14" t="s">
        <v>14</v>
      </c>
      <c r="T38" s="14" t="s">
        <v>14</v>
      </c>
      <c r="U38" s="14" t="s">
        <v>15</v>
      </c>
      <c r="V38" s="14" t="s">
        <v>15</v>
      </c>
      <c r="W38" s="14"/>
      <c r="X38" s="14"/>
      <c r="Y38" s="14"/>
      <c r="Z38" s="14"/>
      <c r="AA38" s="16">
        <f t="shared" si="0"/>
        <v>16</v>
      </c>
      <c r="AB38" s="16">
        <f t="shared" si="1"/>
        <v>3</v>
      </c>
      <c r="AC38" s="16">
        <f t="shared" si="2"/>
        <v>19</v>
      </c>
      <c r="AD38" s="17">
        <f t="shared" si="3"/>
        <v>84.210526315789465</v>
      </c>
    </row>
    <row r="39" spans="1:30" ht="15">
      <c r="A39" s="12">
        <v>34</v>
      </c>
      <c r="B39" s="12" t="s">
        <v>80</v>
      </c>
      <c r="C39" s="13" t="s">
        <v>81</v>
      </c>
      <c r="D39" s="14" t="s">
        <v>14</v>
      </c>
      <c r="E39" s="14" t="s">
        <v>14</v>
      </c>
      <c r="F39" s="14" t="s">
        <v>14</v>
      </c>
      <c r="G39" s="14" t="s">
        <v>14</v>
      </c>
      <c r="H39" s="14" t="s">
        <v>14</v>
      </c>
      <c r="I39" s="14" t="s">
        <v>14</v>
      </c>
      <c r="J39" s="14" t="s">
        <v>14</v>
      </c>
      <c r="K39" s="14" t="s">
        <v>14</v>
      </c>
      <c r="L39" s="14" t="s">
        <v>14</v>
      </c>
      <c r="M39" s="14" t="s">
        <v>14</v>
      </c>
      <c r="N39" s="14" t="s">
        <v>14</v>
      </c>
      <c r="O39" s="14" t="s">
        <v>14</v>
      </c>
      <c r="P39" s="14" t="s">
        <v>15</v>
      </c>
      <c r="Q39" s="14" t="s">
        <v>14</v>
      </c>
      <c r="R39" s="14" t="s">
        <v>14</v>
      </c>
      <c r="S39" s="14" t="s">
        <v>14</v>
      </c>
      <c r="T39" s="14" t="s">
        <v>14</v>
      </c>
      <c r="U39" s="14" t="s">
        <v>14</v>
      </c>
      <c r="V39" s="14" t="s">
        <v>14</v>
      </c>
      <c r="W39" s="14"/>
      <c r="X39" s="14"/>
      <c r="Y39" s="14"/>
      <c r="Z39" s="14"/>
      <c r="AA39" s="16">
        <f t="shared" si="0"/>
        <v>18</v>
      </c>
      <c r="AB39" s="16">
        <f t="shared" si="1"/>
        <v>1</v>
      </c>
      <c r="AC39" s="16">
        <f t="shared" si="2"/>
        <v>19</v>
      </c>
      <c r="AD39" s="17">
        <f t="shared" si="3"/>
        <v>94.73684210526315</v>
      </c>
    </row>
    <row r="40" spans="1:30" ht="15">
      <c r="A40" s="12">
        <v>35</v>
      </c>
      <c r="B40" s="12" t="s">
        <v>82</v>
      </c>
      <c r="C40" s="13" t="s">
        <v>83</v>
      </c>
      <c r="D40" s="14" t="s">
        <v>14</v>
      </c>
      <c r="E40" s="14" t="s">
        <v>14</v>
      </c>
      <c r="F40" s="14" t="s">
        <v>14</v>
      </c>
      <c r="G40" s="14" t="s">
        <v>14</v>
      </c>
      <c r="H40" s="14" t="s">
        <v>14</v>
      </c>
      <c r="I40" s="14" t="s">
        <v>15</v>
      </c>
      <c r="J40" s="14" t="s">
        <v>14</v>
      </c>
      <c r="K40" s="14" t="s">
        <v>14</v>
      </c>
      <c r="L40" s="14" t="s">
        <v>14</v>
      </c>
      <c r="M40" s="14" t="s">
        <v>14</v>
      </c>
      <c r="N40" s="14" t="s">
        <v>14</v>
      </c>
      <c r="O40" s="14" t="s">
        <v>14</v>
      </c>
      <c r="P40" s="14" t="s">
        <v>14</v>
      </c>
      <c r="Q40" s="14" t="s">
        <v>14</v>
      </c>
      <c r="R40" s="14" t="s">
        <v>14</v>
      </c>
      <c r="S40" s="14" t="s">
        <v>14</v>
      </c>
      <c r="T40" s="14" t="s">
        <v>14</v>
      </c>
      <c r="U40" s="14" t="s">
        <v>14</v>
      </c>
      <c r="V40" s="14" t="s">
        <v>14</v>
      </c>
      <c r="W40" s="14"/>
      <c r="X40" s="14"/>
      <c r="Y40" s="14"/>
      <c r="Z40" s="14"/>
      <c r="AA40" s="16">
        <f t="shared" si="0"/>
        <v>18</v>
      </c>
      <c r="AB40" s="16">
        <f t="shared" si="1"/>
        <v>1</v>
      </c>
      <c r="AC40" s="16">
        <f t="shared" si="2"/>
        <v>19</v>
      </c>
      <c r="AD40" s="17">
        <f t="shared" si="3"/>
        <v>94.73684210526315</v>
      </c>
    </row>
    <row r="41" spans="1:30" ht="15">
      <c r="A41" s="12">
        <v>36</v>
      </c>
      <c r="B41" s="12" t="s">
        <v>84</v>
      </c>
      <c r="C41" s="13" t="s">
        <v>85</v>
      </c>
      <c r="D41" s="14" t="s">
        <v>14</v>
      </c>
      <c r="E41" s="14" t="s">
        <v>14</v>
      </c>
      <c r="F41" s="14" t="s">
        <v>14</v>
      </c>
      <c r="G41" s="14" t="s">
        <v>14</v>
      </c>
      <c r="H41" s="14" t="s">
        <v>14</v>
      </c>
      <c r="I41" s="14" t="s">
        <v>15</v>
      </c>
      <c r="J41" s="14" t="s">
        <v>14</v>
      </c>
      <c r="K41" s="14" t="s">
        <v>14</v>
      </c>
      <c r="L41" s="14" t="s">
        <v>14</v>
      </c>
      <c r="M41" s="14" t="s">
        <v>14</v>
      </c>
      <c r="N41" s="14" t="s">
        <v>14</v>
      </c>
      <c r="O41" s="14" t="s">
        <v>14</v>
      </c>
      <c r="P41" s="14" t="s">
        <v>15</v>
      </c>
      <c r="Q41" s="14" t="s">
        <v>15</v>
      </c>
      <c r="R41" s="14" t="s">
        <v>14</v>
      </c>
      <c r="S41" s="14" t="s">
        <v>14</v>
      </c>
      <c r="T41" s="14" t="s">
        <v>14</v>
      </c>
      <c r="U41" s="14" t="s">
        <v>14</v>
      </c>
      <c r="V41" s="14" t="s">
        <v>14</v>
      </c>
      <c r="W41" s="14"/>
      <c r="X41" s="14"/>
      <c r="Y41" s="14"/>
      <c r="Z41" s="14"/>
      <c r="AA41" s="16">
        <f t="shared" si="0"/>
        <v>16</v>
      </c>
      <c r="AB41" s="16">
        <f t="shared" si="1"/>
        <v>3</v>
      </c>
      <c r="AC41" s="16">
        <f t="shared" si="2"/>
        <v>19</v>
      </c>
      <c r="AD41" s="17">
        <f t="shared" si="3"/>
        <v>84.210526315789465</v>
      </c>
    </row>
    <row r="42" spans="1:30" ht="15">
      <c r="A42" s="12">
        <v>1</v>
      </c>
      <c r="B42" s="12" t="s">
        <v>86</v>
      </c>
      <c r="C42" s="18" t="s">
        <v>87</v>
      </c>
      <c r="D42" s="14" t="s">
        <v>14</v>
      </c>
      <c r="E42" s="14" t="s">
        <v>14</v>
      </c>
      <c r="F42" s="14" t="s">
        <v>14</v>
      </c>
      <c r="G42" s="14" t="s">
        <v>14</v>
      </c>
      <c r="H42" s="14" t="s">
        <v>14</v>
      </c>
      <c r="I42" s="14" t="s">
        <v>15</v>
      </c>
      <c r="J42" s="14" t="s">
        <v>15</v>
      </c>
      <c r="K42" s="14" t="s">
        <v>15</v>
      </c>
      <c r="L42" s="14" t="s">
        <v>14</v>
      </c>
      <c r="M42" s="14" t="s">
        <v>14</v>
      </c>
      <c r="N42" s="14" t="s">
        <v>14</v>
      </c>
      <c r="O42" s="14" t="s">
        <v>14</v>
      </c>
      <c r="P42" s="14" t="s">
        <v>14</v>
      </c>
      <c r="Q42" s="14" t="s">
        <v>14</v>
      </c>
      <c r="R42" s="14" t="s">
        <v>14</v>
      </c>
      <c r="S42" s="14" t="s">
        <v>14</v>
      </c>
      <c r="T42" s="14" t="s">
        <v>14</v>
      </c>
      <c r="U42" s="14" t="s">
        <v>14</v>
      </c>
      <c r="V42" s="14" t="s">
        <v>14</v>
      </c>
      <c r="W42" s="14"/>
      <c r="X42" s="14"/>
      <c r="Y42" s="14"/>
      <c r="Z42" s="14"/>
      <c r="AA42" s="16">
        <f t="shared" si="0"/>
        <v>16</v>
      </c>
      <c r="AB42" s="16">
        <f t="shared" si="1"/>
        <v>3</v>
      </c>
      <c r="AC42" s="16">
        <f t="shared" si="2"/>
        <v>19</v>
      </c>
      <c r="AD42" s="17">
        <f t="shared" si="3"/>
        <v>84.210526315789465</v>
      </c>
    </row>
    <row r="43" spans="1:30" ht="15">
      <c r="A43" s="12">
        <v>2</v>
      </c>
      <c r="B43" s="12" t="s">
        <v>88</v>
      </c>
      <c r="C43" s="18" t="s">
        <v>89</v>
      </c>
      <c r="D43" s="14" t="s">
        <v>14</v>
      </c>
      <c r="E43" s="14" t="s">
        <v>14</v>
      </c>
      <c r="F43" s="14" t="s">
        <v>14</v>
      </c>
      <c r="G43" s="14" t="s">
        <v>14</v>
      </c>
      <c r="H43" s="14" t="s">
        <v>14</v>
      </c>
      <c r="I43" s="14" t="s">
        <v>14</v>
      </c>
      <c r="J43" s="14" t="s">
        <v>14</v>
      </c>
      <c r="K43" s="14" t="s">
        <v>14</v>
      </c>
      <c r="L43" s="14" t="s">
        <v>14</v>
      </c>
      <c r="M43" s="14" t="s">
        <v>14</v>
      </c>
      <c r="N43" s="14" t="s">
        <v>14</v>
      </c>
      <c r="O43" s="14" t="s">
        <v>14</v>
      </c>
      <c r="P43" s="14" t="s">
        <v>14</v>
      </c>
      <c r="Q43" s="14" t="s">
        <v>15</v>
      </c>
      <c r="R43" s="14" t="s">
        <v>14</v>
      </c>
      <c r="S43" s="14" t="s">
        <v>14</v>
      </c>
      <c r="T43" s="14" t="s">
        <v>14</v>
      </c>
      <c r="U43" s="14" t="s">
        <v>15</v>
      </c>
      <c r="V43" s="14" t="s">
        <v>15</v>
      </c>
      <c r="W43" s="14"/>
      <c r="X43" s="14"/>
      <c r="Y43" s="14"/>
      <c r="Z43" s="14"/>
      <c r="AA43" s="16">
        <f t="shared" si="0"/>
        <v>16</v>
      </c>
      <c r="AB43" s="16">
        <f t="shared" si="1"/>
        <v>3</v>
      </c>
      <c r="AC43" s="16">
        <f t="shared" si="2"/>
        <v>19</v>
      </c>
      <c r="AD43" s="17">
        <f t="shared" si="3"/>
        <v>84.210526315789465</v>
      </c>
    </row>
    <row r="44" spans="1:30" ht="15">
      <c r="A44" s="12">
        <v>3</v>
      </c>
      <c r="B44" s="12" t="s">
        <v>90</v>
      </c>
      <c r="C44" s="18" t="s">
        <v>91</v>
      </c>
      <c r="D44" s="14" t="s">
        <v>14</v>
      </c>
      <c r="E44" s="14" t="s">
        <v>14</v>
      </c>
      <c r="F44" s="14" t="s">
        <v>14</v>
      </c>
      <c r="G44" s="14" t="s">
        <v>14</v>
      </c>
      <c r="H44" s="14" t="s">
        <v>14</v>
      </c>
      <c r="I44" s="14" t="s">
        <v>14</v>
      </c>
      <c r="J44" s="14" t="s">
        <v>14</v>
      </c>
      <c r="K44" s="14" t="s">
        <v>14</v>
      </c>
      <c r="L44" s="14" t="s">
        <v>14</v>
      </c>
      <c r="M44" s="14" t="s">
        <v>14</v>
      </c>
      <c r="N44" s="14" t="s">
        <v>14</v>
      </c>
      <c r="O44" s="14" t="s">
        <v>14</v>
      </c>
      <c r="P44" s="14" t="s">
        <v>14</v>
      </c>
      <c r="Q44" s="14" t="s">
        <v>15</v>
      </c>
      <c r="R44" s="14" t="s">
        <v>14</v>
      </c>
      <c r="S44" s="14" t="s">
        <v>14</v>
      </c>
      <c r="T44" s="14" t="s">
        <v>14</v>
      </c>
      <c r="U44" s="14" t="s">
        <v>14</v>
      </c>
      <c r="V44" s="14" t="s">
        <v>14</v>
      </c>
      <c r="W44" s="14"/>
      <c r="X44" s="14"/>
      <c r="Y44" s="14"/>
      <c r="Z44" s="14"/>
      <c r="AA44" s="16">
        <f t="shared" si="0"/>
        <v>18</v>
      </c>
      <c r="AB44" s="16">
        <f t="shared" si="1"/>
        <v>1</v>
      </c>
      <c r="AC44" s="16">
        <f t="shared" si="2"/>
        <v>19</v>
      </c>
      <c r="AD44" s="17">
        <f t="shared" si="3"/>
        <v>94.73684210526315</v>
      </c>
    </row>
    <row r="45" spans="1:30" ht="15">
      <c r="A45" s="12">
        <v>4</v>
      </c>
      <c r="B45" s="12" t="s">
        <v>92</v>
      </c>
      <c r="C45" s="18" t="s">
        <v>93</v>
      </c>
      <c r="D45" s="14" t="s">
        <v>14</v>
      </c>
      <c r="E45" s="14" t="s">
        <v>14</v>
      </c>
      <c r="F45" s="14" t="s">
        <v>14</v>
      </c>
      <c r="G45" s="14" t="s">
        <v>14</v>
      </c>
      <c r="H45" s="14" t="s">
        <v>14</v>
      </c>
      <c r="I45" s="14" t="s">
        <v>15</v>
      </c>
      <c r="J45" s="14" t="s">
        <v>15</v>
      </c>
      <c r="K45" s="14" t="s">
        <v>15</v>
      </c>
      <c r="L45" s="14" t="s">
        <v>14</v>
      </c>
      <c r="M45" s="14" t="s">
        <v>14</v>
      </c>
      <c r="N45" s="14" t="s">
        <v>14</v>
      </c>
      <c r="O45" s="14" t="s">
        <v>14</v>
      </c>
      <c r="P45" s="14" t="s">
        <v>14</v>
      </c>
      <c r="Q45" s="14" t="s">
        <v>15</v>
      </c>
      <c r="R45" s="14" t="s">
        <v>14</v>
      </c>
      <c r="S45" s="14" t="s">
        <v>14</v>
      </c>
      <c r="T45" s="14" t="s">
        <v>14</v>
      </c>
      <c r="U45" s="14" t="s">
        <v>14</v>
      </c>
      <c r="V45" s="14" t="s">
        <v>14</v>
      </c>
      <c r="W45" s="14"/>
      <c r="X45" s="14"/>
      <c r="Y45" s="14"/>
      <c r="Z45" s="14"/>
      <c r="AA45" s="16">
        <f t="shared" si="0"/>
        <v>15</v>
      </c>
      <c r="AB45" s="16">
        <f t="shared" si="1"/>
        <v>4</v>
      </c>
      <c r="AC45" s="16">
        <f t="shared" si="2"/>
        <v>19</v>
      </c>
      <c r="AD45" s="17">
        <f t="shared" si="3"/>
        <v>78.94736842105263</v>
      </c>
    </row>
    <row r="46" spans="1:30" ht="15">
      <c r="A46" s="12">
        <v>5</v>
      </c>
      <c r="B46" s="12" t="s">
        <v>94</v>
      </c>
      <c r="C46" s="18" t="s">
        <v>95</v>
      </c>
      <c r="D46" s="14" t="s">
        <v>14</v>
      </c>
      <c r="E46" s="14" t="s">
        <v>14</v>
      </c>
      <c r="F46" s="14" t="s">
        <v>14</v>
      </c>
      <c r="G46" s="14" t="s">
        <v>14</v>
      </c>
      <c r="H46" s="14" t="s">
        <v>14</v>
      </c>
      <c r="I46" s="14" t="s">
        <v>14</v>
      </c>
      <c r="J46" s="14" t="s">
        <v>14</v>
      </c>
      <c r="K46" s="14" t="s">
        <v>14</v>
      </c>
      <c r="L46" s="14" t="s">
        <v>14</v>
      </c>
      <c r="M46" s="14" t="s">
        <v>14</v>
      </c>
      <c r="N46" s="14" t="s">
        <v>14</v>
      </c>
      <c r="O46" s="14" t="s">
        <v>14</v>
      </c>
      <c r="P46" s="14" t="s">
        <v>14</v>
      </c>
      <c r="Q46" s="14" t="s">
        <v>14</v>
      </c>
      <c r="R46" s="14" t="s">
        <v>14</v>
      </c>
      <c r="S46" s="14" t="s">
        <v>14</v>
      </c>
      <c r="T46" s="14" t="s">
        <v>14</v>
      </c>
      <c r="U46" s="14" t="s">
        <v>15</v>
      </c>
      <c r="V46" s="14" t="s">
        <v>15</v>
      </c>
      <c r="W46" s="14"/>
      <c r="X46" s="14"/>
      <c r="Y46" s="14"/>
      <c r="Z46" s="14"/>
      <c r="AA46" s="16">
        <f t="shared" si="0"/>
        <v>17</v>
      </c>
      <c r="AB46" s="16">
        <f t="shared" si="1"/>
        <v>2</v>
      </c>
      <c r="AC46" s="16">
        <f t="shared" si="2"/>
        <v>19</v>
      </c>
      <c r="AD46" s="17">
        <f t="shared" si="3"/>
        <v>89.473684210526315</v>
      </c>
    </row>
    <row r="47" spans="1:30" ht="15">
      <c r="A47" s="12">
        <v>6</v>
      </c>
      <c r="B47" s="12" t="s">
        <v>96</v>
      </c>
      <c r="C47" s="18" t="s">
        <v>97</v>
      </c>
      <c r="D47" s="14" t="s">
        <v>14</v>
      </c>
      <c r="E47" s="14" t="s">
        <v>14</v>
      </c>
      <c r="F47" s="14" t="s">
        <v>14</v>
      </c>
      <c r="G47" s="14" t="s">
        <v>14</v>
      </c>
      <c r="H47" s="14" t="s">
        <v>14</v>
      </c>
      <c r="I47" s="14" t="s">
        <v>14</v>
      </c>
      <c r="J47" s="14" t="s">
        <v>14</v>
      </c>
      <c r="K47" s="14" t="s">
        <v>14</v>
      </c>
      <c r="L47" s="14" t="s">
        <v>14</v>
      </c>
      <c r="M47" s="14" t="s">
        <v>14</v>
      </c>
      <c r="N47" s="14" t="s">
        <v>14</v>
      </c>
      <c r="O47" s="14" t="s">
        <v>14</v>
      </c>
      <c r="P47" s="14" t="s">
        <v>14</v>
      </c>
      <c r="Q47" s="14" t="s">
        <v>14</v>
      </c>
      <c r="R47" s="14" t="s">
        <v>14</v>
      </c>
      <c r="S47" s="14" t="s">
        <v>14</v>
      </c>
      <c r="T47" s="14" t="s">
        <v>15</v>
      </c>
      <c r="U47" s="14" t="s">
        <v>14</v>
      </c>
      <c r="V47" s="14" t="s">
        <v>14</v>
      </c>
      <c r="W47" s="14"/>
      <c r="X47" s="14"/>
      <c r="Y47" s="14"/>
      <c r="Z47" s="14"/>
      <c r="AA47" s="16">
        <f t="shared" si="0"/>
        <v>18</v>
      </c>
      <c r="AB47" s="16">
        <f t="shared" si="1"/>
        <v>1</v>
      </c>
      <c r="AC47" s="16">
        <f t="shared" si="2"/>
        <v>19</v>
      </c>
      <c r="AD47" s="17">
        <f t="shared" si="3"/>
        <v>94.73684210526315</v>
      </c>
    </row>
    <row r="48" spans="1:30" ht="15">
      <c r="A48" s="12">
        <v>7</v>
      </c>
      <c r="B48" s="12" t="s">
        <v>98</v>
      </c>
      <c r="C48" s="18" t="s">
        <v>99</v>
      </c>
      <c r="D48" s="14" t="s">
        <v>14</v>
      </c>
      <c r="E48" s="14" t="s">
        <v>14</v>
      </c>
      <c r="F48" s="14" t="s">
        <v>14</v>
      </c>
      <c r="G48" s="14" t="s">
        <v>14</v>
      </c>
      <c r="H48" s="14" t="s">
        <v>14</v>
      </c>
      <c r="I48" s="14" t="s">
        <v>15</v>
      </c>
      <c r="J48" s="14" t="s">
        <v>14</v>
      </c>
      <c r="K48" s="14" t="s">
        <v>14</v>
      </c>
      <c r="L48" s="14" t="s">
        <v>14</v>
      </c>
      <c r="M48" s="14" t="s">
        <v>14</v>
      </c>
      <c r="N48" s="14" t="s">
        <v>14</v>
      </c>
      <c r="O48" s="14" t="s">
        <v>14</v>
      </c>
      <c r="P48" s="14" t="s">
        <v>14</v>
      </c>
      <c r="Q48" s="14" t="s">
        <v>14</v>
      </c>
      <c r="R48" s="14" t="s">
        <v>14</v>
      </c>
      <c r="S48" s="14" t="s">
        <v>14</v>
      </c>
      <c r="T48" s="14" t="s">
        <v>14</v>
      </c>
      <c r="U48" s="14" t="s">
        <v>14</v>
      </c>
      <c r="V48" s="14" t="s">
        <v>14</v>
      </c>
      <c r="W48" s="14"/>
      <c r="X48" s="14"/>
      <c r="Y48" s="14"/>
      <c r="Z48" s="14"/>
      <c r="AA48" s="16">
        <f t="shared" si="0"/>
        <v>18</v>
      </c>
      <c r="AB48" s="16">
        <f t="shared" si="1"/>
        <v>1</v>
      </c>
      <c r="AC48" s="16">
        <f t="shared" si="2"/>
        <v>19</v>
      </c>
      <c r="AD48" s="17">
        <f t="shared" si="3"/>
        <v>94.73684210526315</v>
      </c>
    </row>
    <row r="49" spans="1:30" ht="15">
      <c r="A49" s="12">
        <v>8</v>
      </c>
      <c r="B49" s="12" t="s">
        <v>100</v>
      </c>
      <c r="C49" s="18" t="s">
        <v>101</v>
      </c>
      <c r="D49" s="14" t="s">
        <v>14</v>
      </c>
      <c r="E49" s="14" t="s">
        <v>14</v>
      </c>
      <c r="F49" s="14" t="s">
        <v>14</v>
      </c>
      <c r="G49" s="14" t="s">
        <v>14</v>
      </c>
      <c r="H49" s="14" t="s">
        <v>14</v>
      </c>
      <c r="I49" s="14" t="s">
        <v>15</v>
      </c>
      <c r="J49" s="14" t="s">
        <v>14</v>
      </c>
      <c r="K49" s="14" t="s">
        <v>14</v>
      </c>
      <c r="L49" s="14" t="s">
        <v>14</v>
      </c>
      <c r="M49" s="14" t="s">
        <v>14</v>
      </c>
      <c r="N49" s="14" t="s">
        <v>14</v>
      </c>
      <c r="O49" s="14" t="s">
        <v>14</v>
      </c>
      <c r="P49" s="14" t="s">
        <v>14</v>
      </c>
      <c r="Q49" s="14" t="s">
        <v>14</v>
      </c>
      <c r="R49" s="14" t="s">
        <v>14</v>
      </c>
      <c r="S49" s="14" t="s">
        <v>14</v>
      </c>
      <c r="T49" s="14" t="s">
        <v>14</v>
      </c>
      <c r="U49" s="14" t="s">
        <v>14</v>
      </c>
      <c r="V49" s="14" t="s">
        <v>14</v>
      </c>
      <c r="W49" s="14"/>
      <c r="X49" s="14"/>
      <c r="Y49" s="14"/>
      <c r="Z49" s="14"/>
      <c r="AA49" s="16">
        <f t="shared" si="0"/>
        <v>18</v>
      </c>
      <c r="AB49" s="16">
        <f t="shared" si="1"/>
        <v>1</v>
      </c>
      <c r="AC49" s="16">
        <f t="shared" si="2"/>
        <v>19</v>
      </c>
      <c r="AD49" s="17">
        <f t="shared" si="3"/>
        <v>94.73684210526315</v>
      </c>
    </row>
    <row r="50" spans="1:30" ht="15">
      <c r="A50" s="12">
        <v>9</v>
      </c>
      <c r="B50" s="12" t="s">
        <v>102</v>
      </c>
      <c r="C50" s="18" t="s">
        <v>103</v>
      </c>
      <c r="D50" s="14" t="s">
        <v>14</v>
      </c>
      <c r="E50" s="14" t="s">
        <v>14</v>
      </c>
      <c r="F50" s="14" t="s">
        <v>14</v>
      </c>
      <c r="G50" s="14" t="s">
        <v>14</v>
      </c>
      <c r="H50" s="14" t="s">
        <v>14</v>
      </c>
      <c r="I50" s="14" t="s">
        <v>14</v>
      </c>
      <c r="J50" s="14" t="s">
        <v>14</v>
      </c>
      <c r="K50" s="14" t="s">
        <v>14</v>
      </c>
      <c r="L50" s="14" t="s">
        <v>14</v>
      </c>
      <c r="M50" s="14" t="s">
        <v>14</v>
      </c>
      <c r="N50" s="14" t="s">
        <v>14</v>
      </c>
      <c r="O50" s="14" t="s">
        <v>14</v>
      </c>
      <c r="P50" s="14" t="s">
        <v>14</v>
      </c>
      <c r="Q50" s="14" t="s">
        <v>15</v>
      </c>
      <c r="R50" s="14" t="s">
        <v>14</v>
      </c>
      <c r="S50" s="14" t="s">
        <v>14</v>
      </c>
      <c r="T50" s="14" t="s">
        <v>14</v>
      </c>
      <c r="U50" s="14" t="s">
        <v>14</v>
      </c>
      <c r="V50" s="14" t="s">
        <v>14</v>
      </c>
      <c r="W50" s="14"/>
      <c r="X50" s="14"/>
      <c r="Y50" s="14"/>
      <c r="Z50" s="14"/>
      <c r="AA50" s="16">
        <f t="shared" si="0"/>
        <v>18</v>
      </c>
      <c r="AB50" s="16">
        <f t="shared" si="1"/>
        <v>1</v>
      </c>
      <c r="AC50" s="16">
        <f t="shared" si="2"/>
        <v>19</v>
      </c>
      <c r="AD50" s="17">
        <f t="shared" si="3"/>
        <v>94.73684210526315</v>
      </c>
    </row>
    <row r="51" spans="1:30" ht="15">
      <c r="A51" s="12">
        <v>10</v>
      </c>
      <c r="B51" s="12" t="s">
        <v>104</v>
      </c>
      <c r="C51" s="18" t="s">
        <v>105</v>
      </c>
      <c r="D51" s="14" t="s">
        <v>14</v>
      </c>
      <c r="E51" s="14" t="s">
        <v>14</v>
      </c>
      <c r="F51" s="14" t="s">
        <v>14</v>
      </c>
      <c r="G51" s="14" t="s">
        <v>14</v>
      </c>
      <c r="H51" s="14" t="s">
        <v>14</v>
      </c>
      <c r="I51" s="14" t="s">
        <v>15</v>
      </c>
      <c r="J51" s="14" t="s">
        <v>14</v>
      </c>
      <c r="K51" s="14" t="s">
        <v>14</v>
      </c>
      <c r="L51" s="14" t="s">
        <v>14</v>
      </c>
      <c r="M51" s="14" t="s">
        <v>14</v>
      </c>
      <c r="N51" s="14" t="s">
        <v>14</v>
      </c>
      <c r="O51" s="14" t="s">
        <v>14</v>
      </c>
      <c r="P51" s="14" t="s">
        <v>14</v>
      </c>
      <c r="Q51" s="14" t="s">
        <v>14</v>
      </c>
      <c r="R51" s="14" t="s">
        <v>15</v>
      </c>
      <c r="S51" s="14" t="s">
        <v>14</v>
      </c>
      <c r="T51" s="14" t="s">
        <v>14</v>
      </c>
      <c r="U51" s="14" t="s">
        <v>14</v>
      </c>
      <c r="V51" s="14" t="s">
        <v>14</v>
      </c>
      <c r="W51" s="14"/>
      <c r="X51" s="14"/>
      <c r="Y51" s="14"/>
      <c r="Z51" s="14"/>
      <c r="AA51" s="16">
        <f t="shared" si="0"/>
        <v>17</v>
      </c>
      <c r="AB51" s="16">
        <f t="shared" si="1"/>
        <v>2</v>
      </c>
      <c r="AC51" s="16">
        <f t="shared" si="2"/>
        <v>19</v>
      </c>
      <c r="AD51" s="17">
        <f t="shared" si="3"/>
        <v>89.473684210526315</v>
      </c>
    </row>
    <row r="52" spans="1:30" ht="15">
      <c r="A52" s="12">
        <v>11</v>
      </c>
      <c r="B52" s="12" t="s">
        <v>106</v>
      </c>
      <c r="C52" s="18" t="s">
        <v>107</v>
      </c>
      <c r="D52" s="14" t="s">
        <v>14</v>
      </c>
      <c r="E52" s="14" t="s">
        <v>14</v>
      </c>
      <c r="F52" s="14" t="s">
        <v>14</v>
      </c>
      <c r="G52" s="14" t="s">
        <v>14</v>
      </c>
      <c r="H52" s="14" t="s">
        <v>14</v>
      </c>
      <c r="I52" s="14" t="s">
        <v>14</v>
      </c>
      <c r="J52" s="14" t="s">
        <v>15</v>
      </c>
      <c r="K52" s="14" t="s">
        <v>14</v>
      </c>
      <c r="L52" s="14" t="s">
        <v>14</v>
      </c>
      <c r="M52" s="14" t="s">
        <v>14</v>
      </c>
      <c r="N52" s="14" t="s">
        <v>14</v>
      </c>
      <c r="O52" s="14" t="s">
        <v>15</v>
      </c>
      <c r="P52" s="14" t="s">
        <v>15</v>
      </c>
      <c r="Q52" s="14" t="s">
        <v>14</v>
      </c>
      <c r="R52" s="14" t="s">
        <v>15</v>
      </c>
      <c r="S52" s="14" t="s">
        <v>14</v>
      </c>
      <c r="T52" s="14" t="s">
        <v>14</v>
      </c>
      <c r="U52" s="14" t="s">
        <v>14</v>
      </c>
      <c r="V52" s="14" t="s">
        <v>14</v>
      </c>
      <c r="W52" s="14"/>
      <c r="X52" s="14"/>
      <c r="Y52" s="14"/>
      <c r="Z52" s="14"/>
      <c r="AA52" s="16">
        <f t="shared" si="0"/>
        <v>15</v>
      </c>
      <c r="AB52" s="16">
        <f t="shared" si="1"/>
        <v>4</v>
      </c>
      <c r="AC52" s="16">
        <f t="shared" si="2"/>
        <v>19</v>
      </c>
      <c r="AD52" s="17">
        <f t="shared" si="3"/>
        <v>78.94736842105263</v>
      </c>
    </row>
    <row r="53" spans="1:30" ht="15">
      <c r="A53" s="12">
        <v>12</v>
      </c>
      <c r="B53" s="12" t="s">
        <v>108</v>
      </c>
      <c r="C53" s="18" t="s">
        <v>109</v>
      </c>
      <c r="D53" s="14" t="s">
        <v>14</v>
      </c>
      <c r="E53" s="14" t="s">
        <v>14</v>
      </c>
      <c r="F53" s="14" t="s">
        <v>14</v>
      </c>
      <c r="G53" s="14" t="s">
        <v>14</v>
      </c>
      <c r="H53" s="14" t="s">
        <v>14</v>
      </c>
      <c r="I53" s="14" t="s">
        <v>14</v>
      </c>
      <c r="J53" s="14" t="s">
        <v>14</v>
      </c>
      <c r="K53" s="14" t="s">
        <v>14</v>
      </c>
      <c r="L53" s="14" t="s">
        <v>14</v>
      </c>
      <c r="M53" s="14" t="s">
        <v>14</v>
      </c>
      <c r="N53" s="14" t="s">
        <v>14</v>
      </c>
      <c r="O53" s="14" t="s">
        <v>14</v>
      </c>
      <c r="P53" s="14" t="s">
        <v>14</v>
      </c>
      <c r="Q53" s="14" t="s">
        <v>14</v>
      </c>
      <c r="R53" s="14" t="s">
        <v>14</v>
      </c>
      <c r="S53" s="14" t="s">
        <v>14</v>
      </c>
      <c r="T53" s="14" t="s">
        <v>14</v>
      </c>
      <c r="U53" s="14" t="s">
        <v>14</v>
      </c>
      <c r="V53" s="14" t="s">
        <v>14</v>
      </c>
      <c r="W53" s="14"/>
      <c r="X53" s="14"/>
      <c r="Y53" s="14"/>
      <c r="Z53" s="14"/>
      <c r="AA53" s="16">
        <f t="shared" si="0"/>
        <v>19</v>
      </c>
      <c r="AB53" s="16">
        <f t="shared" si="1"/>
        <v>0</v>
      </c>
      <c r="AC53" s="16">
        <f t="shared" si="2"/>
        <v>19</v>
      </c>
      <c r="AD53" s="17">
        <f t="shared" si="3"/>
        <v>100</v>
      </c>
    </row>
    <row r="54" spans="1:30" ht="15">
      <c r="A54" s="12">
        <v>13</v>
      </c>
      <c r="B54" s="12" t="s">
        <v>110</v>
      </c>
      <c r="C54" s="18" t="s">
        <v>111</v>
      </c>
      <c r="D54" s="14" t="s">
        <v>14</v>
      </c>
      <c r="E54" s="14" t="s">
        <v>14</v>
      </c>
      <c r="F54" s="14" t="s">
        <v>14</v>
      </c>
      <c r="G54" s="14" t="s">
        <v>14</v>
      </c>
      <c r="H54" s="14" t="s">
        <v>14</v>
      </c>
      <c r="I54" s="14" t="s">
        <v>14</v>
      </c>
      <c r="J54" s="14" t="s">
        <v>14</v>
      </c>
      <c r="K54" s="14" t="s">
        <v>14</v>
      </c>
      <c r="L54" s="14" t="s">
        <v>14</v>
      </c>
      <c r="M54" s="14" t="s">
        <v>14</v>
      </c>
      <c r="N54" s="14" t="s">
        <v>14</v>
      </c>
      <c r="O54" s="14" t="s">
        <v>14</v>
      </c>
      <c r="P54" s="14" t="s">
        <v>14</v>
      </c>
      <c r="Q54" s="14" t="s">
        <v>14</v>
      </c>
      <c r="R54" s="14" t="s">
        <v>14</v>
      </c>
      <c r="S54" s="14" t="s">
        <v>14</v>
      </c>
      <c r="T54" s="14" t="s">
        <v>14</v>
      </c>
      <c r="U54" s="14" t="s">
        <v>14</v>
      </c>
      <c r="V54" s="14" t="s">
        <v>14</v>
      </c>
      <c r="W54" s="14"/>
      <c r="X54" s="14"/>
      <c r="Y54" s="14"/>
      <c r="Z54" s="14"/>
      <c r="AA54" s="16">
        <f t="shared" si="0"/>
        <v>19</v>
      </c>
      <c r="AB54" s="16">
        <f t="shared" si="1"/>
        <v>0</v>
      </c>
      <c r="AC54" s="16">
        <f t="shared" si="2"/>
        <v>19</v>
      </c>
      <c r="AD54" s="17">
        <f t="shared" si="3"/>
        <v>100</v>
      </c>
    </row>
    <row r="55" spans="1:30" ht="15">
      <c r="A55" s="12">
        <v>14</v>
      </c>
      <c r="B55" s="12" t="s">
        <v>112</v>
      </c>
      <c r="C55" s="18" t="s">
        <v>113</v>
      </c>
      <c r="D55" s="14" t="s">
        <v>14</v>
      </c>
      <c r="E55" s="14" t="s">
        <v>14</v>
      </c>
      <c r="F55" s="14" t="s">
        <v>14</v>
      </c>
      <c r="G55" s="14" t="s">
        <v>14</v>
      </c>
      <c r="H55" s="14" t="s">
        <v>14</v>
      </c>
      <c r="I55" s="14" t="s">
        <v>14</v>
      </c>
      <c r="J55" s="14" t="s">
        <v>14</v>
      </c>
      <c r="K55" s="14" t="s">
        <v>14</v>
      </c>
      <c r="L55" s="14" t="s">
        <v>14</v>
      </c>
      <c r="M55" s="14" t="s">
        <v>14</v>
      </c>
      <c r="N55" s="14" t="s">
        <v>15</v>
      </c>
      <c r="O55" s="14" t="s">
        <v>14</v>
      </c>
      <c r="P55" s="14" t="s">
        <v>14</v>
      </c>
      <c r="Q55" s="14" t="s">
        <v>14</v>
      </c>
      <c r="R55" s="14" t="s">
        <v>14</v>
      </c>
      <c r="S55" s="14" t="s">
        <v>14</v>
      </c>
      <c r="T55" s="14" t="s">
        <v>14</v>
      </c>
      <c r="U55" s="14" t="s">
        <v>14</v>
      </c>
      <c r="V55" s="14" t="s">
        <v>14</v>
      </c>
      <c r="W55" s="14"/>
      <c r="X55" s="14"/>
      <c r="Y55" s="14"/>
      <c r="Z55" s="14"/>
      <c r="AA55" s="16">
        <f t="shared" si="0"/>
        <v>18</v>
      </c>
      <c r="AB55" s="16">
        <f t="shared" si="1"/>
        <v>1</v>
      </c>
      <c r="AC55" s="16">
        <f t="shared" si="2"/>
        <v>19</v>
      </c>
      <c r="AD55" s="17">
        <f t="shared" si="3"/>
        <v>94.73684210526315</v>
      </c>
    </row>
    <row r="56" spans="1:30" ht="15">
      <c r="A56" s="12">
        <v>15</v>
      </c>
      <c r="B56" s="12" t="s">
        <v>114</v>
      </c>
      <c r="C56" s="18" t="s">
        <v>115</v>
      </c>
      <c r="D56" s="14" t="s">
        <v>14</v>
      </c>
      <c r="E56" s="14" t="s">
        <v>14</v>
      </c>
      <c r="F56" s="14" t="s">
        <v>14</v>
      </c>
      <c r="G56" s="14" t="s">
        <v>14</v>
      </c>
      <c r="H56" s="14" t="s">
        <v>14</v>
      </c>
      <c r="I56" s="14" t="s">
        <v>14</v>
      </c>
      <c r="J56" s="14" t="s">
        <v>14</v>
      </c>
      <c r="K56" s="14" t="s">
        <v>14</v>
      </c>
      <c r="L56" s="14" t="s">
        <v>14</v>
      </c>
      <c r="M56" s="14" t="s">
        <v>14</v>
      </c>
      <c r="N56" s="14" t="s">
        <v>14</v>
      </c>
      <c r="O56" s="14" t="s">
        <v>14</v>
      </c>
      <c r="P56" s="14" t="s">
        <v>14</v>
      </c>
      <c r="Q56" s="14" t="s">
        <v>14</v>
      </c>
      <c r="R56" s="14" t="s">
        <v>15</v>
      </c>
      <c r="S56" s="14" t="s">
        <v>14</v>
      </c>
      <c r="T56" s="14" t="s">
        <v>14</v>
      </c>
      <c r="U56" s="14" t="s">
        <v>15</v>
      </c>
      <c r="V56" s="14" t="s">
        <v>15</v>
      </c>
      <c r="W56" s="14"/>
      <c r="X56" s="14"/>
      <c r="Y56" s="14"/>
      <c r="Z56" s="14"/>
      <c r="AA56" s="16">
        <f t="shared" si="0"/>
        <v>16</v>
      </c>
      <c r="AB56" s="16">
        <f t="shared" si="1"/>
        <v>3</v>
      </c>
      <c r="AC56" s="16">
        <f t="shared" si="2"/>
        <v>19</v>
      </c>
      <c r="AD56" s="17">
        <f t="shared" si="3"/>
        <v>84.210526315789465</v>
      </c>
    </row>
    <row r="57" spans="1:30" ht="15">
      <c r="A57" s="12">
        <v>16</v>
      </c>
      <c r="B57" s="12" t="s">
        <v>116</v>
      </c>
      <c r="C57" s="18" t="s">
        <v>117</v>
      </c>
      <c r="D57" s="14" t="s">
        <v>14</v>
      </c>
      <c r="E57" s="14" t="s">
        <v>14</v>
      </c>
      <c r="F57" s="14" t="s">
        <v>14</v>
      </c>
      <c r="G57" s="14" t="s">
        <v>14</v>
      </c>
      <c r="H57" s="14" t="s">
        <v>14</v>
      </c>
      <c r="I57" s="14" t="s">
        <v>14</v>
      </c>
      <c r="J57" s="14" t="s">
        <v>14</v>
      </c>
      <c r="K57" s="14" t="s">
        <v>14</v>
      </c>
      <c r="L57" s="14" t="s">
        <v>14</v>
      </c>
      <c r="M57" s="14" t="s">
        <v>14</v>
      </c>
      <c r="N57" s="14" t="s">
        <v>14</v>
      </c>
      <c r="O57" s="14" t="s">
        <v>14</v>
      </c>
      <c r="P57" s="14" t="s">
        <v>14</v>
      </c>
      <c r="Q57" s="14" t="s">
        <v>14</v>
      </c>
      <c r="R57" s="14" t="s">
        <v>14</v>
      </c>
      <c r="S57" s="14" t="s">
        <v>15</v>
      </c>
      <c r="T57" s="14" t="s">
        <v>14</v>
      </c>
      <c r="U57" s="14" t="s">
        <v>15</v>
      </c>
      <c r="V57" s="14" t="s">
        <v>15</v>
      </c>
      <c r="W57" s="14"/>
      <c r="X57" s="14"/>
      <c r="Y57" s="14"/>
      <c r="Z57" s="14"/>
      <c r="AA57" s="16">
        <f t="shared" si="0"/>
        <v>16</v>
      </c>
      <c r="AB57" s="16">
        <f t="shared" si="1"/>
        <v>3</v>
      </c>
      <c r="AC57" s="16">
        <f t="shared" si="2"/>
        <v>19</v>
      </c>
      <c r="AD57" s="17">
        <f t="shared" si="3"/>
        <v>84.210526315789465</v>
      </c>
    </row>
    <row r="58" spans="1:30" ht="15">
      <c r="A58" s="12">
        <v>17</v>
      </c>
      <c r="B58" s="12" t="s">
        <v>118</v>
      </c>
      <c r="C58" s="18" t="s">
        <v>119</v>
      </c>
      <c r="D58" s="14" t="s">
        <v>14</v>
      </c>
      <c r="E58" s="14" t="s">
        <v>14</v>
      </c>
      <c r="F58" s="14" t="s">
        <v>14</v>
      </c>
      <c r="G58" s="14" t="s">
        <v>14</v>
      </c>
      <c r="H58" s="14" t="s">
        <v>14</v>
      </c>
      <c r="I58" s="14" t="s">
        <v>14</v>
      </c>
      <c r="J58" s="14" t="s">
        <v>14</v>
      </c>
      <c r="K58" s="14" t="s">
        <v>14</v>
      </c>
      <c r="L58" s="14" t="s">
        <v>14</v>
      </c>
      <c r="M58" s="14" t="s">
        <v>14</v>
      </c>
      <c r="N58" s="14" t="s">
        <v>14</v>
      </c>
      <c r="O58" s="14" t="s">
        <v>14</v>
      </c>
      <c r="P58" s="14" t="s">
        <v>14</v>
      </c>
      <c r="Q58" s="14" t="s">
        <v>15</v>
      </c>
      <c r="R58" s="14" t="s">
        <v>15</v>
      </c>
      <c r="S58" s="14" t="s">
        <v>14</v>
      </c>
      <c r="T58" s="14" t="s">
        <v>14</v>
      </c>
      <c r="U58" s="14" t="s">
        <v>15</v>
      </c>
      <c r="V58" s="14" t="s">
        <v>15</v>
      </c>
      <c r="W58" s="14"/>
      <c r="X58" s="14"/>
      <c r="Y58" s="14"/>
      <c r="Z58" s="14"/>
      <c r="AA58" s="16">
        <f t="shared" si="0"/>
        <v>15</v>
      </c>
      <c r="AB58" s="16">
        <f t="shared" si="1"/>
        <v>4</v>
      </c>
      <c r="AC58" s="16">
        <f t="shared" si="2"/>
        <v>19</v>
      </c>
      <c r="AD58" s="17">
        <f t="shared" si="3"/>
        <v>78.94736842105263</v>
      </c>
    </row>
    <row r="59" spans="1:30" ht="15">
      <c r="A59" s="12">
        <v>18</v>
      </c>
      <c r="B59" s="12" t="s">
        <v>120</v>
      </c>
      <c r="C59" s="18" t="s">
        <v>121</v>
      </c>
      <c r="D59" s="14" t="s">
        <v>14</v>
      </c>
      <c r="E59" s="14" t="s">
        <v>14</v>
      </c>
      <c r="F59" s="14" t="s">
        <v>14</v>
      </c>
      <c r="G59" s="14" t="s">
        <v>14</v>
      </c>
      <c r="H59" s="14" t="s">
        <v>14</v>
      </c>
      <c r="I59" s="14" t="s">
        <v>14</v>
      </c>
      <c r="J59" s="14" t="s">
        <v>14</v>
      </c>
      <c r="K59" s="14" t="s">
        <v>14</v>
      </c>
      <c r="L59" s="14" t="s">
        <v>14</v>
      </c>
      <c r="M59" s="14" t="s">
        <v>14</v>
      </c>
      <c r="N59" s="14" t="s">
        <v>14</v>
      </c>
      <c r="O59" s="14" t="s">
        <v>14</v>
      </c>
      <c r="P59" s="14" t="s">
        <v>14</v>
      </c>
      <c r="Q59" s="14" t="s">
        <v>14</v>
      </c>
      <c r="R59" s="14" t="s">
        <v>14</v>
      </c>
      <c r="S59" s="14" t="s">
        <v>14</v>
      </c>
      <c r="T59" s="14" t="s">
        <v>14</v>
      </c>
      <c r="U59" s="14" t="s">
        <v>14</v>
      </c>
      <c r="V59" s="14" t="s">
        <v>14</v>
      </c>
      <c r="W59" s="14"/>
      <c r="X59" s="14"/>
      <c r="Y59" s="14"/>
      <c r="Z59" s="14"/>
      <c r="AA59" s="16">
        <f t="shared" si="0"/>
        <v>19</v>
      </c>
      <c r="AB59" s="16">
        <f t="shared" si="1"/>
        <v>0</v>
      </c>
      <c r="AC59" s="16">
        <f t="shared" si="2"/>
        <v>19</v>
      </c>
      <c r="AD59" s="17">
        <f t="shared" si="3"/>
        <v>100</v>
      </c>
    </row>
    <row r="60" spans="1:30" ht="15">
      <c r="A60" s="12">
        <v>19</v>
      </c>
      <c r="B60" s="12" t="s">
        <v>122</v>
      </c>
      <c r="C60" s="18" t="s">
        <v>123</v>
      </c>
      <c r="D60" s="14" t="s">
        <v>14</v>
      </c>
      <c r="E60" s="14" t="s">
        <v>14</v>
      </c>
      <c r="F60" s="14" t="s">
        <v>14</v>
      </c>
      <c r="G60" s="14" t="s">
        <v>14</v>
      </c>
      <c r="H60" s="14" t="s">
        <v>14</v>
      </c>
      <c r="I60" s="14" t="s">
        <v>14</v>
      </c>
      <c r="J60" s="14" t="s">
        <v>14</v>
      </c>
      <c r="K60" s="14" t="s">
        <v>14</v>
      </c>
      <c r="L60" s="14" t="s">
        <v>14</v>
      </c>
      <c r="M60" s="14" t="s">
        <v>14</v>
      </c>
      <c r="N60" s="14" t="s">
        <v>14</v>
      </c>
      <c r="O60" s="14" t="s">
        <v>14</v>
      </c>
      <c r="P60" s="14" t="s">
        <v>15</v>
      </c>
      <c r="Q60" s="14" t="s">
        <v>15</v>
      </c>
      <c r="R60" s="14" t="s">
        <v>14</v>
      </c>
      <c r="S60" s="14" t="s">
        <v>14</v>
      </c>
      <c r="T60" s="14" t="s">
        <v>14</v>
      </c>
      <c r="U60" s="14" t="s">
        <v>14</v>
      </c>
      <c r="V60" s="14" t="s">
        <v>14</v>
      </c>
      <c r="W60" s="14"/>
      <c r="X60" s="14"/>
      <c r="Y60" s="14"/>
      <c r="Z60" s="14"/>
      <c r="AA60" s="16">
        <f t="shared" si="0"/>
        <v>17</v>
      </c>
      <c r="AB60" s="16">
        <f t="shared" si="1"/>
        <v>2</v>
      </c>
      <c r="AC60" s="16">
        <f t="shared" si="2"/>
        <v>19</v>
      </c>
      <c r="AD60" s="17">
        <f t="shared" si="3"/>
        <v>89.473684210526315</v>
      </c>
    </row>
    <row r="61" spans="1:30" ht="15">
      <c r="A61" s="12">
        <v>20</v>
      </c>
      <c r="B61" s="12" t="s">
        <v>124</v>
      </c>
      <c r="C61" s="18" t="s">
        <v>125</v>
      </c>
      <c r="D61" s="14" t="s">
        <v>14</v>
      </c>
      <c r="E61" s="14" t="s">
        <v>14</v>
      </c>
      <c r="F61" s="14" t="s">
        <v>14</v>
      </c>
      <c r="G61" s="14" t="s">
        <v>14</v>
      </c>
      <c r="H61" s="14" t="s">
        <v>14</v>
      </c>
      <c r="I61" s="14" t="s">
        <v>14</v>
      </c>
      <c r="J61" s="14" t="s">
        <v>14</v>
      </c>
      <c r="K61" s="14" t="s">
        <v>14</v>
      </c>
      <c r="L61" s="14" t="s">
        <v>14</v>
      </c>
      <c r="M61" s="14" t="s">
        <v>14</v>
      </c>
      <c r="N61" s="14" t="s">
        <v>14</v>
      </c>
      <c r="O61" s="14" t="s">
        <v>14</v>
      </c>
      <c r="P61" s="14" t="s">
        <v>14</v>
      </c>
      <c r="Q61" s="14" t="s">
        <v>14</v>
      </c>
      <c r="R61" s="14" t="s">
        <v>15</v>
      </c>
      <c r="S61" s="14" t="s">
        <v>14</v>
      </c>
      <c r="T61" s="14" t="s">
        <v>15</v>
      </c>
      <c r="U61" s="14" t="s">
        <v>15</v>
      </c>
      <c r="V61" s="14" t="s">
        <v>15</v>
      </c>
      <c r="W61" s="14"/>
      <c r="X61" s="14"/>
      <c r="Y61" s="14"/>
      <c r="Z61" s="14"/>
      <c r="AA61" s="16">
        <f t="shared" si="0"/>
        <v>15</v>
      </c>
      <c r="AB61" s="16">
        <f t="shared" si="1"/>
        <v>4</v>
      </c>
      <c r="AC61" s="16">
        <f t="shared" si="2"/>
        <v>19</v>
      </c>
      <c r="AD61" s="17">
        <f t="shared" si="3"/>
        <v>78.94736842105263</v>
      </c>
    </row>
    <row r="62" spans="1:30" ht="15">
      <c r="A62" s="12">
        <v>21</v>
      </c>
      <c r="B62" s="12" t="s">
        <v>126</v>
      </c>
      <c r="C62" s="18" t="s">
        <v>127</v>
      </c>
      <c r="D62" s="14" t="s">
        <v>14</v>
      </c>
      <c r="E62" s="14" t="s">
        <v>14</v>
      </c>
      <c r="F62" s="14" t="s">
        <v>14</v>
      </c>
      <c r="G62" s="14" t="s">
        <v>14</v>
      </c>
      <c r="H62" s="14" t="s">
        <v>14</v>
      </c>
      <c r="I62" s="14" t="s">
        <v>14</v>
      </c>
      <c r="J62" s="14" t="s">
        <v>14</v>
      </c>
      <c r="K62" s="14" t="s">
        <v>14</v>
      </c>
      <c r="L62" s="14" t="s">
        <v>14</v>
      </c>
      <c r="M62" s="14" t="s">
        <v>14</v>
      </c>
      <c r="N62" s="14" t="s">
        <v>14</v>
      </c>
      <c r="O62" s="14" t="s">
        <v>14</v>
      </c>
      <c r="P62" s="14" t="s">
        <v>14</v>
      </c>
      <c r="Q62" s="14" t="s">
        <v>14</v>
      </c>
      <c r="R62" s="14" t="s">
        <v>14</v>
      </c>
      <c r="S62" s="14" t="s">
        <v>14</v>
      </c>
      <c r="T62" s="14" t="s">
        <v>14</v>
      </c>
      <c r="U62" s="14" t="s">
        <v>14</v>
      </c>
      <c r="V62" s="14" t="s">
        <v>14</v>
      </c>
      <c r="W62" s="14"/>
      <c r="X62" s="14"/>
      <c r="Y62" s="14"/>
      <c r="Z62" s="14"/>
      <c r="AA62" s="16">
        <f t="shared" si="0"/>
        <v>19</v>
      </c>
      <c r="AB62" s="16">
        <f t="shared" si="1"/>
        <v>0</v>
      </c>
      <c r="AC62" s="16">
        <f t="shared" si="2"/>
        <v>19</v>
      </c>
      <c r="AD62" s="17">
        <f t="shared" si="3"/>
        <v>100</v>
      </c>
    </row>
    <row r="63" spans="1:30" ht="15">
      <c r="A63" s="12">
        <v>22</v>
      </c>
      <c r="B63" s="12" t="s">
        <v>128</v>
      </c>
      <c r="C63" s="18" t="s">
        <v>129</v>
      </c>
      <c r="D63" s="14" t="s">
        <v>14</v>
      </c>
      <c r="E63" s="14" t="s">
        <v>14</v>
      </c>
      <c r="F63" s="14" t="s">
        <v>14</v>
      </c>
      <c r="G63" s="14" t="s">
        <v>14</v>
      </c>
      <c r="H63" s="14" t="s">
        <v>14</v>
      </c>
      <c r="I63" s="14" t="s">
        <v>14</v>
      </c>
      <c r="J63" s="14" t="s">
        <v>14</v>
      </c>
      <c r="K63" s="14" t="s">
        <v>14</v>
      </c>
      <c r="L63" s="14" t="s">
        <v>14</v>
      </c>
      <c r="M63" s="14" t="s">
        <v>14</v>
      </c>
      <c r="N63" s="14" t="s">
        <v>14</v>
      </c>
      <c r="O63" s="14" t="s">
        <v>14</v>
      </c>
      <c r="P63" s="14" t="s">
        <v>15</v>
      </c>
      <c r="Q63" s="14" t="s">
        <v>14</v>
      </c>
      <c r="R63" s="14" t="s">
        <v>14</v>
      </c>
      <c r="S63" s="14" t="s">
        <v>14</v>
      </c>
      <c r="T63" s="14" t="s">
        <v>14</v>
      </c>
      <c r="U63" s="14" t="s">
        <v>14</v>
      </c>
      <c r="V63" s="14" t="s">
        <v>14</v>
      </c>
      <c r="W63" s="14"/>
      <c r="X63" s="14"/>
      <c r="Y63" s="14"/>
      <c r="Z63" s="14"/>
      <c r="AA63" s="16">
        <f t="shared" si="0"/>
        <v>18</v>
      </c>
      <c r="AB63" s="16">
        <f t="shared" si="1"/>
        <v>1</v>
      </c>
      <c r="AC63" s="16">
        <f t="shared" si="2"/>
        <v>19</v>
      </c>
      <c r="AD63" s="17">
        <f t="shared" si="3"/>
        <v>94.73684210526315</v>
      </c>
    </row>
    <row r="64" spans="1:30" ht="15">
      <c r="A64" s="12">
        <v>23</v>
      </c>
      <c r="B64" s="12" t="s">
        <v>130</v>
      </c>
      <c r="C64" s="18" t="s">
        <v>131</v>
      </c>
      <c r="D64" s="14" t="s">
        <v>14</v>
      </c>
      <c r="E64" s="14" t="s">
        <v>14</v>
      </c>
      <c r="F64" s="14" t="s">
        <v>14</v>
      </c>
      <c r="G64" s="14" t="s">
        <v>14</v>
      </c>
      <c r="H64" s="14" t="s">
        <v>14</v>
      </c>
      <c r="I64" s="14" t="s">
        <v>14</v>
      </c>
      <c r="J64" s="14" t="s">
        <v>14</v>
      </c>
      <c r="K64" s="14" t="s">
        <v>14</v>
      </c>
      <c r="L64" s="14" t="s">
        <v>14</v>
      </c>
      <c r="M64" s="14" t="s">
        <v>14</v>
      </c>
      <c r="N64" s="14" t="s">
        <v>14</v>
      </c>
      <c r="O64" s="14" t="s">
        <v>14</v>
      </c>
      <c r="P64" s="14" t="s">
        <v>14</v>
      </c>
      <c r="Q64" s="14" t="s">
        <v>14</v>
      </c>
      <c r="R64" s="14" t="s">
        <v>14</v>
      </c>
      <c r="S64" s="14" t="s">
        <v>15</v>
      </c>
      <c r="T64" s="14" t="s">
        <v>14</v>
      </c>
      <c r="U64" s="14" t="s">
        <v>14</v>
      </c>
      <c r="V64" s="14" t="s">
        <v>14</v>
      </c>
      <c r="W64" s="14"/>
      <c r="X64" s="14"/>
      <c r="Y64" s="14"/>
      <c r="Z64" s="14"/>
      <c r="AA64" s="16">
        <f t="shared" si="0"/>
        <v>18</v>
      </c>
      <c r="AB64" s="16">
        <f t="shared" si="1"/>
        <v>1</v>
      </c>
      <c r="AC64" s="16">
        <f t="shared" si="2"/>
        <v>19</v>
      </c>
      <c r="AD64" s="17">
        <f t="shared" si="3"/>
        <v>94.73684210526315</v>
      </c>
    </row>
    <row r="65" spans="1:30" ht="15">
      <c r="A65" s="12">
        <v>24</v>
      </c>
      <c r="B65" s="12" t="s">
        <v>132</v>
      </c>
      <c r="C65" s="18" t="s">
        <v>133</v>
      </c>
      <c r="D65" s="14" t="s">
        <v>14</v>
      </c>
      <c r="E65" s="14" t="s">
        <v>14</v>
      </c>
      <c r="F65" s="14" t="s">
        <v>14</v>
      </c>
      <c r="G65" s="14" t="s">
        <v>14</v>
      </c>
      <c r="H65" s="14" t="s">
        <v>14</v>
      </c>
      <c r="I65" s="14" t="s">
        <v>14</v>
      </c>
      <c r="J65" s="14" t="s">
        <v>14</v>
      </c>
      <c r="K65" s="14" t="s">
        <v>14</v>
      </c>
      <c r="L65" s="14" t="s">
        <v>14</v>
      </c>
      <c r="M65" s="14" t="s">
        <v>14</v>
      </c>
      <c r="N65" s="14" t="s">
        <v>14</v>
      </c>
      <c r="O65" s="14" t="s">
        <v>14</v>
      </c>
      <c r="P65" s="14" t="s">
        <v>14</v>
      </c>
      <c r="Q65" s="14" t="s">
        <v>14</v>
      </c>
      <c r="R65" s="14" t="s">
        <v>14</v>
      </c>
      <c r="S65" s="14" t="s">
        <v>15</v>
      </c>
      <c r="T65" s="14" t="s">
        <v>14</v>
      </c>
      <c r="U65" s="14" t="s">
        <v>14</v>
      </c>
      <c r="V65" s="14" t="s">
        <v>14</v>
      </c>
      <c r="W65" s="14"/>
      <c r="X65" s="14"/>
      <c r="Y65" s="14"/>
      <c r="Z65" s="14"/>
      <c r="AA65" s="16">
        <f t="shared" si="0"/>
        <v>18</v>
      </c>
      <c r="AB65" s="16">
        <f t="shared" si="1"/>
        <v>1</v>
      </c>
      <c r="AC65" s="16">
        <f t="shared" si="2"/>
        <v>19</v>
      </c>
      <c r="AD65" s="17">
        <f t="shared" si="3"/>
        <v>94.73684210526315</v>
      </c>
    </row>
    <row r="66" spans="1:30" ht="15">
      <c r="A66" s="12">
        <v>25</v>
      </c>
      <c r="B66" s="12" t="s">
        <v>134</v>
      </c>
      <c r="C66" s="18" t="s">
        <v>135</v>
      </c>
      <c r="D66" s="14" t="s">
        <v>14</v>
      </c>
      <c r="E66" s="14" t="s">
        <v>14</v>
      </c>
      <c r="F66" s="14" t="s">
        <v>14</v>
      </c>
      <c r="G66" s="14" t="s">
        <v>14</v>
      </c>
      <c r="H66" s="14" t="s">
        <v>14</v>
      </c>
      <c r="I66" s="14" t="s">
        <v>14</v>
      </c>
      <c r="J66" s="14" t="s">
        <v>14</v>
      </c>
      <c r="K66" s="14" t="s">
        <v>14</v>
      </c>
      <c r="L66" s="14" t="s">
        <v>14</v>
      </c>
      <c r="M66" s="14" t="s">
        <v>14</v>
      </c>
      <c r="N66" s="14" t="s">
        <v>14</v>
      </c>
      <c r="O66" s="14" t="s">
        <v>14</v>
      </c>
      <c r="P66" s="14" t="s">
        <v>14</v>
      </c>
      <c r="Q66" s="14" t="s">
        <v>14</v>
      </c>
      <c r="R66" s="14" t="s">
        <v>14</v>
      </c>
      <c r="S66" s="14" t="s">
        <v>14</v>
      </c>
      <c r="T66" s="14" t="s">
        <v>14</v>
      </c>
      <c r="U66" s="14" t="s">
        <v>14</v>
      </c>
      <c r="V66" s="14" t="s">
        <v>14</v>
      </c>
      <c r="W66" s="14"/>
      <c r="X66" s="14"/>
      <c r="Y66" s="14"/>
      <c r="Z66" s="14"/>
      <c r="AA66" s="16">
        <f t="shared" si="0"/>
        <v>19</v>
      </c>
      <c r="AB66" s="16">
        <f t="shared" si="1"/>
        <v>0</v>
      </c>
      <c r="AC66" s="16">
        <f t="shared" si="2"/>
        <v>19</v>
      </c>
      <c r="AD66" s="17">
        <f t="shared" si="3"/>
        <v>100</v>
      </c>
    </row>
    <row r="67" spans="1:30" ht="15">
      <c r="A67" s="12">
        <v>26</v>
      </c>
      <c r="B67" s="12" t="s">
        <v>136</v>
      </c>
      <c r="C67" s="18" t="s">
        <v>137</v>
      </c>
      <c r="D67" s="14" t="s">
        <v>14</v>
      </c>
      <c r="E67" s="14" t="s">
        <v>14</v>
      </c>
      <c r="F67" s="14" t="s">
        <v>14</v>
      </c>
      <c r="G67" s="14" t="s">
        <v>14</v>
      </c>
      <c r="H67" s="14" t="s">
        <v>14</v>
      </c>
      <c r="I67" s="14" t="s">
        <v>14</v>
      </c>
      <c r="J67" s="14" t="s">
        <v>14</v>
      </c>
      <c r="K67" s="14" t="s">
        <v>14</v>
      </c>
      <c r="L67" s="14" t="s">
        <v>14</v>
      </c>
      <c r="M67" s="14" t="s">
        <v>14</v>
      </c>
      <c r="N67" s="14" t="s">
        <v>14</v>
      </c>
      <c r="O67" s="14" t="s">
        <v>14</v>
      </c>
      <c r="P67" s="14" t="s">
        <v>14</v>
      </c>
      <c r="Q67" s="14" t="s">
        <v>14</v>
      </c>
      <c r="R67" s="14" t="s">
        <v>14</v>
      </c>
      <c r="S67" s="14" t="s">
        <v>15</v>
      </c>
      <c r="T67" s="14" t="s">
        <v>14</v>
      </c>
      <c r="U67" s="14" t="s">
        <v>14</v>
      </c>
      <c r="V67" s="14" t="s">
        <v>14</v>
      </c>
      <c r="W67" s="14"/>
      <c r="X67" s="14"/>
      <c r="Y67" s="14"/>
      <c r="Z67" s="14"/>
      <c r="AA67" s="16">
        <f t="shared" si="0"/>
        <v>18</v>
      </c>
      <c r="AB67" s="16">
        <f t="shared" si="1"/>
        <v>1</v>
      </c>
      <c r="AC67" s="16">
        <f t="shared" si="2"/>
        <v>19</v>
      </c>
      <c r="AD67" s="17">
        <f t="shared" si="3"/>
        <v>94.73684210526315</v>
      </c>
    </row>
    <row r="68" spans="1:30" ht="15">
      <c r="A68" s="12">
        <v>27</v>
      </c>
      <c r="B68" s="12" t="s">
        <v>138</v>
      </c>
      <c r="C68" s="18" t="s">
        <v>139</v>
      </c>
      <c r="D68" s="14" t="s">
        <v>14</v>
      </c>
      <c r="E68" s="14" t="s">
        <v>14</v>
      </c>
      <c r="F68" s="14" t="s">
        <v>14</v>
      </c>
      <c r="G68" s="14" t="s">
        <v>14</v>
      </c>
      <c r="H68" s="14" t="s">
        <v>14</v>
      </c>
      <c r="I68" s="14" t="s">
        <v>14</v>
      </c>
      <c r="J68" s="14" t="s">
        <v>14</v>
      </c>
      <c r="K68" s="14" t="s">
        <v>14</v>
      </c>
      <c r="L68" s="14" t="s">
        <v>14</v>
      </c>
      <c r="M68" s="14" t="s">
        <v>14</v>
      </c>
      <c r="N68" s="14" t="s">
        <v>14</v>
      </c>
      <c r="O68" s="14" t="s">
        <v>14</v>
      </c>
      <c r="P68" s="14" t="s">
        <v>14</v>
      </c>
      <c r="Q68" s="14" t="s">
        <v>14</v>
      </c>
      <c r="R68" s="14" t="s">
        <v>15</v>
      </c>
      <c r="S68" s="14" t="s">
        <v>14</v>
      </c>
      <c r="T68" s="14" t="s">
        <v>14</v>
      </c>
      <c r="U68" s="14" t="s">
        <v>15</v>
      </c>
      <c r="V68" s="14" t="s">
        <v>15</v>
      </c>
      <c r="W68" s="14"/>
      <c r="X68" s="14"/>
      <c r="Y68" s="14"/>
      <c r="Z68" s="14"/>
      <c r="AA68" s="16">
        <f t="shared" si="0"/>
        <v>16</v>
      </c>
      <c r="AB68" s="16">
        <f t="shared" si="1"/>
        <v>3</v>
      </c>
      <c r="AC68" s="16">
        <f t="shared" si="2"/>
        <v>19</v>
      </c>
      <c r="AD68" s="17">
        <f t="shared" si="3"/>
        <v>84.210526315789465</v>
      </c>
    </row>
    <row r="69" spans="1:30" ht="15">
      <c r="A69" s="12">
        <v>28</v>
      </c>
      <c r="B69" s="12" t="s">
        <v>140</v>
      </c>
      <c r="C69" s="18" t="s">
        <v>141</v>
      </c>
      <c r="D69" s="14" t="s">
        <v>14</v>
      </c>
      <c r="E69" s="14" t="s">
        <v>14</v>
      </c>
      <c r="F69" s="14" t="s">
        <v>14</v>
      </c>
      <c r="G69" s="14" t="s">
        <v>14</v>
      </c>
      <c r="H69" s="14" t="s">
        <v>14</v>
      </c>
      <c r="I69" s="14" t="s">
        <v>14</v>
      </c>
      <c r="J69" s="14" t="s">
        <v>14</v>
      </c>
      <c r="K69" s="14" t="s">
        <v>14</v>
      </c>
      <c r="L69" s="14" t="s">
        <v>14</v>
      </c>
      <c r="M69" s="14" t="s">
        <v>14</v>
      </c>
      <c r="N69" s="14" t="s">
        <v>14</v>
      </c>
      <c r="O69" s="14" t="s">
        <v>14</v>
      </c>
      <c r="P69" s="14" t="s">
        <v>14</v>
      </c>
      <c r="Q69" s="14" t="s">
        <v>14</v>
      </c>
      <c r="R69" s="14" t="s">
        <v>15</v>
      </c>
      <c r="S69" s="14" t="s">
        <v>14</v>
      </c>
      <c r="T69" s="14" t="s">
        <v>14</v>
      </c>
      <c r="U69" s="14" t="s">
        <v>14</v>
      </c>
      <c r="V69" s="14" t="s">
        <v>14</v>
      </c>
      <c r="W69" s="14"/>
      <c r="X69" s="14"/>
      <c r="Y69" s="14"/>
      <c r="Z69" s="14"/>
      <c r="AA69" s="16">
        <f t="shared" si="0"/>
        <v>18</v>
      </c>
      <c r="AB69" s="16">
        <f t="shared" si="1"/>
        <v>1</v>
      </c>
      <c r="AC69" s="16">
        <f t="shared" si="2"/>
        <v>19</v>
      </c>
      <c r="AD69" s="17">
        <f t="shared" si="3"/>
        <v>94.73684210526315</v>
      </c>
    </row>
    <row r="70" spans="1:30" ht="15">
      <c r="A70" s="12">
        <v>29</v>
      </c>
      <c r="B70" s="12" t="s">
        <v>142</v>
      </c>
      <c r="C70" s="18" t="s">
        <v>143</v>
      </c>
      <c r="D70" s="14" t="s">
        <v>14</v>
      </c>
      <c r="E70" s="14" t="s">
        <v>14</v>
      </c>
      <c r="F70" s="14" t="s">
        <v>14</v>
      </c>
      <c r="G70" s="14" t="s">
        <v>14</v>
      </c>
      <c r="H70" s="14" t="s">
        <v>14</v>
      </c>
      <c r="I70" s="14" t="s">
        <v>15</v>
      </c>
      <c r="J70" s="14" t="s">
        <v>15</v>
      </c>
      <c r="K70" s="14" t="s">
        <v>15</v>
      </c>
      <c r="L70" s="14" t="s">
        <v>15</v>
      </c>
      <c r="M70" s="14" t="s">
        <v>15</v>
      </c>
      <c r="N70" s="14" t="s">
        <v>15</v>
      </c>
      <c r="O70" s="14" t="s">
        <v>15</v>
      </c>
      <c r="P70" s="14" t="s">
        <v>15</v>
      </c>
      <c r="Q70" s="14" t="s">
        <v>15</v>
      </c>
      <c r="R70" s="14" t="s">
        <v>15</v>
      </c>
      <c r="S70" s="14" t="s">
        <v>15</v>
      </c>
      <c r="T70" s="14" t="s">
        <v>15</v>
      </c>
      <c r="U70" s="14" t="s">
        <v>15</v>
      </c>
      <c r="V70" s="14" t="s">
        <v>15</v>
      </c>
      <c r="W70" s="14"/>
      <c r="X70" s="14"/>
      <c r="Y70" s="14"/>
      <c r="Z70" s="14"/>
      <c r="AA70" s="16">
        <f t="shared" si="0"/>
        <v>5</v>
      </c>
      <c r="AB70" s="16">
        <f t="shared" si="1"/>
        <v>14</v>
      </c>
      <c r="AC70" s="16">
        <f t="shared" si="2"/>
        <v>19</v>
      </c>
      <c r="AD70" s="17">
        <f t="shared" si="3"/>
        <v>26.315789473684209</v>
      </c>
    </row>
    <row r="71" spans="1:30" ht="15">
      <c r="A71" s="12">
        <v>30</v>
      </c>
      <c r="B71" s="12" t="s">
        <v>144</v>
      </c>
      <c r="C71" s="18" t="s">
        <v>145</v>
      </c>
      <c r="D71" s="14" t="s">
        <v>14</v>
      </c>
      <c r="E71" s="14" t="s">
        <v>14</v>
      </c>
      <c r="F71" s="14" t="s">
        <v>14</v>
      </c>
      <c r="G71" s="14" t="s">
        <v>14</v>
      </c>
      <c r="H71" s="14" t="s">
        <v>14</v>
      </c>
      <c r="I71" s="14" t="s">
        <v>14</v>
      </c>
      <c r="J71" s="14" t="s">
        <v>15</v>
      </c>
      <c r="K71" s="14" t="s">
        <v>14</v>
      </c>
      <c r="L71" s="14" t="s">
        <v>14</v>
      </c>
      <c r="M71" s="14" t="s">
        <v>14</v>
      </c>
      <c r="N71" s="14" t="s">
        <v>14</v>
      </c>
      <c r="O71" s="14" t="s">
        <v>14</v>
      </c>
      <c r="P71" s="14" t="s">
        <v>14</v>
      </c>
      <c r="Q71" s="14" t="s">
        <v>15</v>
      </c>
      <c r="R71" s="14" t="s">
        <v>14</v>
      </c>
      <c r="S71" s="14" t="s">
        <v>15</v>
      </c>
      <c r="T71" s="14" t="s">
        <v>14</v>
      </c>
      <c r="U71" s="14" t="s">
        <v>14</v>
      </c>
      <c r="V71" s="14" t="s">
        <v>14</v>
      </c>
      <c r="W71" s="14"/>
      <c r="X71" s="14"/>
      <c r="Y71" s="14"/>
      <c r="Z71" s="14"/>
      <c r="AA71" s="16">
        <f t="shared" si="0"/>
        <v>16</v>
      </c>
      <c r="AB71" s="16">
        <f t="shared" si="1"/>
        <v>3</v>
      </c>
      <c r="AC71" s="16">
        <f t="shared" si="2"/>
        <v>19</v>
      </c>
      <c r="AD71" s="17">
        <f t="shared" si="3"/>
        <v>84.210526315789465</v>
      </c>
    </row>
    <row r="72" spans="1:30" ht="15">
      <c r="A72" s="12">
        <v>31</v>
      </c>
      <c r="B72" s="12" t="s">
        <v>146</v>
      </c>
      <c r="C72" s="18" t="s">
        <v>147</v>
      </c>
      <c r="D72" s="14" t="s">
        <v>14</v>
      </c>
      <c r="E72" s="14" t="s">
        <v>14</v>
      </c>
      <c r="F72" s="14" t="s">
        <v>14</v>
      </c>
      <c r="G72" s="14" t="s">
        <v>14</v>
      </c>
      <c r="H72" s="14" t="s">
        <v>14</v>
      </c>
      <c r="I72" s="14" t="s">
        <v>14</v>
      </c>
      <c r="J72" s="14" t="s">
        <v>14</v>
      </c>
      <c r="K72" s="14" t="s">
        <v>14</v>
      </c>
      <c r="L72" s="14" t="s">
        <v>14</v>
      </c>
      <c r="M72" s="14" t="s">
        <v>14</v>
      </c>
      <c r="N72" s="14" t="s">
        <v>14</v>
      </c>
      <c r="O72" s="14" t="s">
        <v>14</v>
      </c>
      <c r="P72" s="14" t="s">
        <v>15</v>
      </c>
      <c r="Q72" s="14" t="s">
        <v>15</v>
      </c>
      <c r="R72" s="14" t="s">
        <v>15</v>
      </c>
      <c r="S72" s="14" t="s">
        <v>14</v>
      </c>
      <c r="T72" s="14" t="s">
        <v>14</v>
      </c>
      <c r="U72" s="14" t="s">
        <v>14</v>
      </c>
      <c r="V72" s="14" t="s">
        <v>14</v>
      </c>
      <c r="W72" s="14"/>
      <c r="X72" s="14"/>
      <c r="Y72" s="14"/>
      <c r="Z72" s="14"/>
      <c r="AA72" s="16">
        <f t="shared" si="0"/>
        <v>16</v>
      </c>
      <c r="AB72" s="16">
        <f t="shared" si="1"/>
        <v>3</v>
      </c>
      <c r="AC72" s="16">
        <f t="shared" si="2"/>
        <v>19</v>
      </c>
      <c r="AD72" s="17">
        <f t="shared" si="3"/>
        <v>84.210526315789465</v>
      </c>
    </row>
    <row r="73" spans="1:30" ht="15">
      <c r="A73" s="12">
        <v>32</v>
      </c>
      <c r="B73" s="12" t="s">
        <v>148</v>
      </c>
      <c r="C73" s="18" t="s">
        <v>149</v>
      </c>
      <c r="D73" s="14" t="s">
        <v>14</v>
      </c>
      <c r="E73" s="14" t="s">
        <v>14</v>
      </c>
      <c r="F73" s="14" t="s">
        <v>14</v>
      </c>
      <c r="G73" s="14" t="s">
        <v>14</v>
      </c>
      <c r="H73" s="14" t="s">
        <v>14</v>
      </c>
      <c r="I73" s="14" t="s">
        <v>14</v>
      </c>
      <c r="J73" s="14" t="s">
        <v>14</v>
      </c>
      <c r="K73" s="14" t="s">
        <v>14</v>
      </c>
      <c r="L73" s="14" t="s">
        <v>14</v>
      </c>
      <c r="M73" s="14" t="s">
        <v>14</v>
      </c>
      <c r="N73" s="14" t="s">
        <v>14</v>
      </c>
      <c r="O73" s="14" t="s">
        <v>14</v>
      </c>
      <c r="P73" s="14" t="s">
        <v>14</v>
      </c>
      <c r="Q73" s="14" t="s">
        <v>14</v>
      </c>
      <c r="R73" s="14" t="s">
        <v>14</v>
      </c>
      <c r="S73" s="14" t="s">
        <v>14</v>
      </c>
      <c r="T73" s="14" t="s">
        <v>14</v>
      </c>
      <c r="U73" s="14" t="s">
        <v>15</v>
      </c>
      <c r="V73" s="14" t="s">
        <v>15</v>
      </c>
      <c r="W73" s="14"/>
      <c r="X73" s="14"/>
      <c r="Y73" s="14"/>
      <c r="Z73" s="14"/>
      <c r="AA73" s="16">
        <f t="shared" si="0"/>
        <v>17</v>
      </c>
      <c r="AB73" s="16">
        <f t="shared" si="1"/>
        <v>2</v>
      </c>
      <c r="AC73" s="16">
        <f t="shared" si="2"/>
        <v>19</v>
      </c>
      <c r="AD73" s="17">
        <f t="shared" si="3"/>
        <v>89.473684210526315</v>
      </c>
    </row>
    <row r="74" spans="1:30" ht="15">
      <c r="A74" s="12">
        <v>33</v>
      </c>
      <c r="B74" s="12" t="s">
        <v>150</v>
      </c>
      <c r="C74" s="18" t="s">
        <v>151</v>
      </c>
      <c r="D74" s="14" t="s">
        <v>14</v>
      </c>
      <c r="E74" s="14" t="s">
        <v>14</v>
      </c>
      <c r="F74" s="14" t="s">
        <v>14</v>
      </c>
      <c r="G74" s="14" t="s">
        <v>14</v>
      </c>
      <c r="H74" s="14" t="s">
        <v>14</v>
      </c>
      <c r="I74" s="14" t="s">
        <v>14</v>
      </c>
      <c r="J74" s="14" t="s">
        <v>14</v>
      </c>
      <c r="K74" s="14" t="s">
        <v>14</v>
      </c>
      <c r="L74" s="14" t="s">
        <v>14</v>
      </c>
      <c r="M74" s="14" t="s">
        <v>14</v>
      </c>
      <c r="N74" s="14" t="s">
        <v>14</v>
      </c>
      <c r="O74" s="14" t="s">
        <v>14</v>
      </c>
      <c r="P74" s="14" t="s">
        <v>14</v>
      </c>
      <c r="Q74" s="14" t="s">
        <v>14</v>
      </c>
      <c r="R74" s="14" t="s">
        <v>14</v>
      </c>
      <c r="S74" s="14" t="s">
        <v>14</v>
      </c>
      <c r="T74" s="14" t="s">
        <v>14</v>
      </c>
      <c r="U74" s="14" t="s">
        <v>15</v>
      </c>
      <c r="V74" s="14" t="s">
        <v>15</v>
      </c>
      <c r="W74" s="14"/>
      <c r="X74" s="14"/>
      <c r="Y74" s="14"/>
      <c r="Z74" s="14"/>
      <c r="AA74" s="16">
        <f t="shared" si="0"/>
        <v>17</v>
      </c>
      <c r="AB74" s="16">
        <f t="shared" si="1"/>
        <v>2</v>
      </c>
      <c r="AC74" s="16">
        <f t="shared" si="2"/>
        <v>19</v>
      </c>
      <c r="AD74" s="17">
        <f t="shared" si="3"/>
        <v>89.473684210526315</v>
      </c>
    </row>
    <row r="75" spans="1:30" ht="15">
      <c r="A75" s="12">
        <v>34</v>
      </c>
      <c r="B75" s="12" t="s">
        <v>152</v>
      </c>
      <c r="C75" s="18" t="s">
        <v>153</v>
      </c>
      <c r="D75" s="14" t="s">
        <v>14</v>
      </c>
      <c r="E75" s="14" t="s">
        <v>14</v>
      </c>
      <c r="F75" s="14" t="s">
        <v>14</v>
      </c>
      <c r="G75" s="14" t="s">
        <v>14</v>
      </c>
      <c r="H75" s="14" t="s">
        <v>14</v>
      </c>
      <c r="I75" s="14" t="s">
        <v>15</v>
      </c>
      <c r="J75" s="14" t="s">
        <v>15</v>
      </c>
      <c r="K75" s="14" t="s">
        <v>14</v>
      </c>
      <c r="L75" s="14" t="s">
        <v>14</v>
      </c>
      <c r="M75" s="14" t="s">
        <v>14</v>
      </c>
      <c r="N75" s="14" t="s">
        <v>14</v>
      </c>
      <c r="O75" s="14" t="s">
        <v>14</v>
      </c>
      <c r="P75" s="14" t="s">
        <v>14</v>
      </c>
      <c r="Q75" s="14" t="s">
        <v>15</v>
      </c>
      <c r="R75" s="14" t="s">
        <v>14</v>
      </c>
      <c r="S75" s="14" t="s">
        <v>14</v>
      </c>
      <c r="T75" s="14" t="s">
        <v>14</v>
      </c>
      <c r="U75" s="14" t="s">
        <v>14</v>
      </c>
      <c r="V75" s="14" t="s">
        <v>14</v>
      </c>
      <c r="W75" s="14"/>
      <c r="X75" s="14"/>
      <c r="Y75" s="14"/>
      <c r="Z75" s="14"/>
      <c r="AA75" s="16">
        <f t="shared" si="0"/>
        <v>16</v>
      </c>
      <c r="AB75" s="16">
        <f t="shared" si="1"/>
        <v>3</v>
      </c>
      <c r="AC75" s="16">
        <f t="shared" si="2"/>
        <v>19</v>
      </c>
      <c r="AD75" s="17">
        <f t="shared" si="3"/>
        <v>84.210526315789465</v>
      </c>
    </row>
    <row r="76" spans="1:30" ht="15">
      <c r="A76" s="12">
        <v>35</v>
      </c>
      <c r="B76" s="12" t="s">
        <v>154</v>
      </c>
      <c r="C76" s="18" t="s">
        <v>155</v>
      </c>
      <c r="D76" s="14" t="s">
        <v>14</v>
      </c>
      <c r="E76" s="14" t="s">
        <v>14</v>
      </c>
      <c r="F76" s="14" t="s">
        <v>14</v>
      </c>
      <c r="G76" s="14" t="s">
        <v>14</v>
      </c>
      <c r="H76" s="14" t="s">
        <v>14</v>
      </c>
      <c r="I76" s="14" t="s">
        <v>14</v>
      </c>
      <c r="J76" s="14" t="s">
        <v>14</v>
      </c>
      <c r="K76" s="14" t="s">
        <v>14</v>
      </c>
      <c r="L76" s="14" t="s">
        <v>14</v>
      </c>
      <c r="M76" s="14" t="s">
        <v>14</v>
      </c>
      <c r="N76" s="14" t="s">
        <v>14</v>
      </c>
      <c r="O76" s="14" t="s">
        <v>14</v>
      </c>
      <c r="P76" s="14" t="s">
        <v>14</v>
      </c>
      <c r="Q76" s="14" t="s">
        <v>14</v>
      </c>
      <c r="R76" s="14" t="s">
        <v>14</v>
      </c>
      <c r="S76" s="14" t="s">
        <v>14</v>
      </c>
      <c r="T76" s="14" t="s">
        <v>14</v>
      </c>
      <c r="U76" s="14" t="s">
        <v>14</v>
      </c>
      <c r="V76" s="14" t="s">
        <v>14</v>
      </c>
      <c r="W76" s="14"/>
      <c r="X76" s="14"/>
      <c r="Y76" s="14"/>
      <c r="Z76" s="14"/>
      <c r="AA76" s="16">
        <f t="shared" si="0"/>
        <v>19</v>
      </c>
      <c r="AB76" s="16">
        <f t="shared" si="1"/>
        <v>0</v>
      </c>
      <c r="AC76" s="16">
        <f t="shared" si="2"/>
        <v>19</v>
      </c>
      <c r="AD76" s="17">
        <f t="shared" si="3"/>
        <v>100</v>
      </c>
    </row>
    <row r="77" spans="1:30" ht="15">
      <c r="A77" s="12">
        <v>95</v>
      </c>
      <c r="B77" s="12" t="s">
        <v>156</v>
      </c>
      <c r="C77" s="13" t="s">
        <v>157</v>
      </c>
      <c r="D77" s="14" t="s">
        <v>14</v>
      </c>
      <c r="E77" s="14" t="s">
        <v>14</v>
      </c>
      <c r="F77" s="14" t="s">
        <v>14</v>
      </c>
      <c r="G77" s="14" t="s">
        <v>14</v>
      </c>
      <c r="H77" s="14" t="s">
        <v>14</v>
      </c>
      <c r="I77" s="14" t="s">
        <v>14</v>
      </c>
      <c r="J77" s="14" t="s">
        <v>14</v>
      </c>
      <c r="K77" s="14" t="s">
        <v>14</v>
      </c>
      <c r="L77" s="14" t="s">
        <v>14</v>
      </c>
      <c r="M77" s="14" t="s">
        <v>14</v>
      </c>
      <c r="N77" s="14" t="s">
        <v>14</v>
      </c>
      <c r="O77" s="14" t="s">
        <v>14</v>
      </c>
      <c r="P77" s="14" t="s">
        <v>14</v>
      </c>
      <c r="Q77" s="14" t="s">
        <v>14</v>
      </c>
      <c r="R77" s="14" t="s">
        <v>14</v>
      </c>
      <c r="S77" s="14" t="s">
        <v>14</v>
      </c>
      <c r="T77" s="14" t="s">
        <v>14</v>
      </c>
      <c r="U77" s="14" t="s">
        <v>14</v>
      </c>
      <c r="V77" s="14" t="s">
        <v>14</v>
      </c>
      <c r="W77" s="14"/>
      <c r="X77" s="14"/>
      <c r="Y77" s="14"/>
      <c r="Z77" s="14"/>
      <c r="AA77" s="16">
        <f t="shared" si="0"/>
        <v>19</v>
      </c>
      <c r="AB77" s="16">
        <f t="shared" si="1"/>
        <v>0</v>
      </c>
      <c r="AC77" s="16">
        <f t="shared" si="2"/>
        <v>19</v>
      </c>
      <c r="AD77" s="17">
        <f t="shared" si="3"/>
        <v>100</v>
      </c>
    </row>
    <row r="78" spans="1:30" ht="15">
      <c r="A78" s="12">
        <v>96</v>
      </c>
      <c r="B78" s="12" t="s">
        <v>158</v>
      </c>
      <c r="C78" s="13" t="s">
        <v>159</v>
      </c>
      <c r="D78" s="14" t="s">
        <v>14</v>
      </c>
      <c r="E78" s="14" t="s">
        <v>14</v>
      </c>
      <c r="F78" s="14" t="s">
        <v>14</v>
      </c>
      <c r="G78" s="14" t="s">
        <v>14</v>
      </c>
      <c r="H78" s="14" t="s">
        <v>14</v>
      </c>
      <c r="I78" s="14" t="s">
        <v>14</v>
      </c>
      <c r="J78" s="14" t="s">
        <v>14</v>
      </c>
      <c r="K78" s="14" t="s">
        <v>14</v>
      </c>
      <c r="L78" s="14" t="s">
        <v>14</v>
      </c>
      <c r="M78" s="14" t="s">
        <v>14</v>
      </c>
      <c r="N78" s="14" t="s">
        <v>14</v>
      </c>
      <c r="O78" s="14" t="s">
        <v>14</v>
      </c>
      <c r="P78" s="14" t="s">
        <v>14</v>
      </c>
      <c r="Q78" s="14" t="s">
        <v>14</v>
      </c>
      <c r="R78" s="14" t="s">
        <v>15</v>
      </c>
      <c r="S78" s="14" t="s">
        <v>14</v>
      </c>
      <c r="T78" s="14" t="s">
        <v>14</v>
      </c>
      <c r="U78" s="14" t="s">
        <v>15</v>
      </c>
      <c r="V78" s="14" t="s">
        <v>15</v>
      </c>
      <c r="W78" s="14"/>
      <c r="X78" s="14"/>
      <c r="Y78" s="14"/>
      <c r="Z78" s="14"/>
      <c r="AA78" s="16">
        <f t="shared" si="0"/>
        <v>16</v>
      </c>
      <c r="AB78" s="16">
        <f t="shared" si="1"/>
        <v>3</v>
      </c>
      <c r="AC78" s="16">
        <f t="shared" si="2"/>
        <v>19</v>
      </c>
      <c r="AD78" s="17">
        <f t="shared" si="3"/>
        <v>84.210526315789465</v>
      </c>
    </row>
    <row r="79" spans="1:30" ht="15">
      <c r="A79" s="12">
        <v>97</v>
      </c>
      <c r="B79" s="12" t="s">
        <v>160</v>
      </c>
      <c r="C79" s="13" t="s">
        <v>161</v>
      </c>
      <c r="D79" s="14" t="s">
        <v>14</v>
      </c>
      <c r="E79" s="14" t="s">
        <v>14</v>
      </c>
      <c r="F79" s="14" t="s">
        <v>14</v>
      </c>
      <c r="G79" s="14" t="s">
        <v>14</v>
      </c>
      <c r="H79" s="14" t="s">
        <v>14</v>
      </c>
      <c r="I79" s="14" t="s">
        <v>14</v>
      </c>
      <c r="J79" s="14" t="s">
        <v>14</v>
      </c>
      <c r="K79" s="14" t="s">
        <v>14</v>
      </c>
      <c r="L79" s="14" t="s">
        <v>14</v>
      </c>
      <c r="M79" s="14" t="s">
        <v>14</v>
      </c>
      <c r="N79" s="14" t="s">
        <v>14</v>
      </c>
      <c r="O79" s="14" t="s">
        <v>14</v>
      </c>
      <c r="P79" s="14" t="s">
        <v>14</v>
      </c>
      <c r="Q79" s="14" t="s">
        <v>14</v>
      </c>
      <c r="R79" s="14" t="s">
        <v>14</v>
      </c>
      <c r="S79" s="14" t="s">
        <v>14</v>
      </c>
      <c r="T79" s="14" t="s">
        <v>14</v>
      </c>
      <c r="U79" s="14" t="s">
        <v>15</v>
      </c>
      <c r="V79" s="14" t="s">
        <v>15</v>
      </c>
      <c r="W79" s="14"/>
      <c r="X79" s="14"/>
      <c r="Y79" s="14"/>
      <c r="Z79" s="14"/>
      <c r="AA79" s="16">
        <f t="shared" si="0"/>
        <v>17</v>
      </c>
      <c r="AB79" s="16">
        <f t="shared" si="1"/>
        <v>2</v>
      </c>
      <c r="AC79" s="16">
        <f t="shared" si="2"/>
        <v>19</v>
      </c>
      <c r="AD79" s="17">
        <f t="shared" si="3"/>
        <v>89.473684210526315</v>
      </c>
    </row>
    <row r="80" spans="1:30" ht="15">
      <c r="A80" s="12">
        <v>98</v>
      </c>
      <c r="B80" s="12" t="s">
        <v>162</v>
      </c>
      <c r="C80" s="13" t="s">
        <v>163</v>
      </c>
      <c r="D80" s="14" t="s">
        <v>14</v>
      </c>
      <c r="E80" s="14" t="s">
        <v>14</v>
      </c>
      <c r="F80" s="14" t="s">
        <v>14</v>
      </c>
      <c r="G80" s="14" t="s">
        <v>14</v>
      </c>
      <c r="H80" s="14" t="s">
        <v>14</v>
      </c>
      <c r="I80" s="14" t="s">
        <v>14</v>
      </c>
      <c r="J80" s="14" t="s">
        <v>14</v>
      </c>
      <c r="K80" s="14" t="s">
        <v>14</v>
      </c>
      <c r="L80" s="14" t="s">
        <v>14</v>
      </c>
      <c r="M80" s="14" t="s">
        <v>14</v>
      </c>
      <c r="N80" s="14" t="s">
        <v>14</v>
      </c>
      <c r="O80" s="14" t="s">
        <v>14</v>
      </c>
      <c r="P80" s="14" t="s">
        <v>15</v>
      </c>
      <c r="Q80" s="14" t="s">
        <v>14</v>
      </c>
      <c r="R80" s="14" t="s">
        <v>14</v>
      </c>
      <c r="S80" s="14" t="s">
        <v>15</v>
      </c>
      <c r="T80" s="14" t="s">
        <v>14</v>
      </c>
      <c r="U80" s="14" t="s">
        <v>15</v>
      </c>
      <c r="V80" s="14" t="s">
        <v>15</v>
      </c>
      <c r="W80" s="14"/>
      <c r="X80" s="14"/>
      <c r="Y80" s="14"/>
      <c r="Z80" s="14"/>
      <c r="AA80" s="16">
        <f t="shared" si="0"/>
        <v>15</v>
      </c>
      <c r="AB80" s="16">
        <f t="shared" si="1"/>
        <v>4</v>
      </c>
      <c r="AC80" s="16">
        <f t="shared" si="2"/>
        <v>19</v>
      </c>
      <c r="AD80" s="17">
        <f t="shared" si="3"/>
        <v>78.94736842105263</v>
      </c>
    </row>
    <row r="81" spans="1:30" ht="15">
      <c r="A81" s="12">
        <v>99</v>
      </c>
      <c r="B81" s="12" t="s">
        <v>164</v>
      </c>
      <c r="C81" s="13" t="s">
        <v>165</v>
      </c>
      <c r="D81" s="14" t="s">
        <v>14</v>
      </c>
      <c r="E81" s="14" t="s">
        <v>14</v>
      </c>
      <c r="F81" s="14" t="s">
        <v>14</v>
      </c>
      <c r="G81" s="14" t="s">
        <v>14</v>
      </c>
      <c r="H81" s="14" t="s">
        <v>14</v>
      </c>
      <c r="I81" s="14" t="s">
        <v>15</v>
      </c>
      <c r="J81" s="14" t="s">
        <v>14</v>
      </c>
      <c r="K81" s="14" t="s">
        <v>14</v>
      </c>
      <c r="L81" s="14" t="s">
        <v>14</v>
      </c>
      <c r="M81" s="14" t="s">
        <v>14</v>
      </c>
      <c r="N81" s="14" t="s">
        <v>14</v>
      </c>
      <c r="O81" s="14" t="s">
        <v>14</v>
      </c>
      <c r="P81" s="14" t="s">
        <v>14</v>
      </c>
      <c r="Q81" s="14" t="s">
        <v>14</v>
      </c>
      <c r="R81" s="14" t="s">
        <v>14</v>
      </c>
      <c r="S81" s="14" t="s">
        <v>14</v>
      </c>
      <c r="T81" s="14" t="s">
        <v>14</v>
      </c>
      <c r="U81" s="14" t="s">
        <v>14</v>
      </c>
      <c r="V81" s="14" t="s">
        <v>14</v>
      </c>
      <c r="W81" s="14"/>
      <c r="X81" s="14"/>
      <c r="Y81" s="14"/>
      <c r="Z81" s="14"/>
      <c r="AA81" s="16">
        <f t="shared" si="0"/>
        <v>18</v>
      </c>
      <c r="AB81" s="16">
        <f t="shared" si="1"/>
        <v>1</v>
      </c>
      <c r="AC81" s="16">
        <f t="shared" si="2"/>
        <v>19</v>
      </c>
      <c r="AD81" s="17">
        <f t="shared" si="3"/>
        <v>94.73684210526315</v>
      </c>
    </row>
    <row r="82" spans="1:30" ht="15">
      <c r="A82" s="12">
        <v>100</v>
      </c>
      <c r="B82" s="12" t="s">
        <v>166</v>
      </c>
      <c r="C82" s="13" t="s">
        <v>167</v>
      </c>
      <c r="D82" s="14" t="s">
        <v>14</v>
      </c>
      <c r="E82" s="14" t="s">
        <v>14</v>
      </c>
      <c r="F82" s="14" t="s">
        <v>14</v>
      </c>
      <c r="G82" s="14" t="s">
        <v>14</v>
      </c>
      <c r="H82" s="14" t="s">
        <v>14</v>
      </c>
      <c r="I82" s="14" t="s">
        <v>14</v>
      </c>
      <c r="J82" s="14" t="s">
        <v>14</v>
      </c>
      <c r="K82" s="14" t="s">
        <v>14</v>
      </c>
      <c r="L82" s="14" t="s">
        <v>14</v>
      </c>
      <c r="M82" s="14" t="s">
        <v>14</v>
      </c>
      <c r="N82" s="14" t="s">
        <v>14</v>
      </c>
      <c r="O82" s="14" t="s">
        <v>14</v>
      </c>
      <c r="P82" s="14" t="s">
        <v>14</v>
      </c>
      <c r="Q82" s="14" t="s">
        <v>14</v>
      </c>
      <c r="R82" s="14" t="s">
        <v>15</v>
      </c>
      <c r="S82" s="14" t="s">
        <v>14</v>
      </c>
      <c r="T82" s="14" t="s">
        <v>14</v>
      </c>
      <c r="U82" s="14" t="s">
        <v>15</v>
      </c>
      <c r="V82" s="14" t="s">
        <v>15</v>
      </c>
      <c r="W82" s="14"/>
      <c r="X82" s="14"/>
      <c r="Y82" s="14"/>
      <c r="Z82" s="14"/>
      <c r="AA82" s="16">
        <f t="shared" si="0"/>
        <v>16</v>
      </c>
      <c r="AB82" s="16">
        <f t="shared" si="1"/>
        <v>3</v>
      </c>
      <c r="AC82" s="16">
        <f t="shared" si="2"/>
        <v>19</v>
      </c>
      <c r="AD82" s="17">
        <f t="shared" si="3"/>
        <v>84.210526315789465</v>
      </c>
    </row>
    <row r="83" spans="1:30" ht="15">
      <c r="A83" s="12">
        <v>101</v>
      </c>
      <c r="B83" s="12" t="s">
        <v>168</v>
      </c>
      <c r="C83" s="13" t="s">
        <v>169</v>
      </c>
      <c r="D83" s="14" t="s">
        <v>14</v>
      </c>
      <c r="E83" s="14" t="s">
        <v>14</v>
      </c>
      <c r="F83" s="14" t="s">
        <v>14</v>
      </c>
      <c r="G83" s="14" t="s">
        <v>14</v>
      </c>
      <c r="H83" s="14" t="s">
        <v>14</v>
      </c>
      <c r="I83" s="14" t="s">
        <v>14</v>
      </c>
      <c r="J83" s="14" t="s">
        <v>14</v>
      </c>
      <c r="K83" s="14" t="s">
        <v>14</v>
      </c>
      <c r="L83" s="14" t="s">
        <v>14</v>
      </c>
      <c r="M83" s="14" t="s">
        <v>14</v>
      </c>
      <c r="N83" s="14" t="s">
        <v>14</v>
      </c>
      <c r="O83" s="14" t="s">
        <v>14</v>
      </c>
      <c r="P83" s="14" t="s">
        <v>15</v>
      </c>
      <c r="Q83" s="14" t="s">
        <v>14</v>
      </c>
      <c r="R83" s="14" t="s">
        <v>14</v>
      </c>
      <c r="S83" s="14" t="s">
        <v>15</v>
      </c>
      <c r="T83" s="14" t="s">
        <v>14</v>
      </c>
      <c r="U83" s="14" t="s">
        <v>14</v>
      </c>
      <c r="V83" s="14" t="s">
        <v>14</v>
      </c>
      <c r="W83" s="14"/>
      <c r="X83" s="14"/>
      <c r="Y83" s="14"/>
      <c r="Z83" s="14"/>
      <c r="AA83" s="16">
        <f t="shared" si="0"/>
        <v>17</v>
      </c>
      <c r="AB83" s="16">
        <f t="shared" si="1"/>
        <v>2</v>
      </c>
      <c r="AC83" s="16">
        <f t="shared" si="2"/>
        <v>19</v>
      </c>
      <c r="AD83" s="17">
        <f t="shared" si="3"/>
        <v>89.473684210526315</v>
      </c>
    </row>
    <row r="84" spans="1:30" ht="15">
      <c r="A84" s="12">
        <v>102</v>
      </c>
      <c r="B84" s="12" t="s">
        <v>170</v>
      </c>
      <c r="C84" s="13" t="s">
        <v>171</v>
      </c>
      <c r="D84" s="14" t="s">
        <v>14</v>
      </c>
      <c r="E84" s="14" t="s">
        <v>14</v>
      </c>
      <c r="F84" s="14" t="s">
        <v>14</v>
      </c>
      <c r="G84" s="14" t="s">
        <v>14</v>
      </c>
      <c r="H84" s="14" t="s">
        <v>14</v>
      </c>
      <c r="I84" s="14" t="s">
        <v>14</v>
      </c>
      <c r="J84" s="14" t="s">
        <v>14</v>
      </c>
      <c r="K84" s="14" t="s">
        <v>14</v>
      </c>
      <c r="L84" s="14" t="s">
        <v>14</v>
      </c>
      <c r="M84" s="14" t="s">
        <v>14</v>
      </c>
      <c r="N84" s="14" t="s">
        <v>14</v>
      </c>
      <c r="O84" s="14" t="s">
        <v>14</v>
      </c>
      <c r="P84" s="14" t="s">
        <v>14</v>
      </c>
      <c r="Q84" s="14" t="s">
        <v>14</v>
      </c>
      <c r="R84" s="14" t="s">
        <v>14</v>
      </c>
      <c r="S84" s="14" t="s">
        <v>15</v>
      </c>
      <c r="T84" s="14" t="s">
        <v>14</v>
      </c>
      <c r="U84" s="14" t="s">
        <v>14</v>
      </c>
      <c r="V84" s="14" t="s">
        <v>14</v>
      </c>
      <c r="W84" s="14"/>
      <c r="X84" s="14"/>
      <c r="Y84" s="14"/>
      <c r="Z84" s="14"/>
      <c r="AA84" s="16">
        <f t="shared" si="0"/>
        <v>18</v>
      </c>
      <c r="AB84" s="16">
        <f t="shared" si="1"/>
        <v>1</v>
      </c>
      <c r="AC84" s="16">
        <f t="shared" si="2"/>
        <v>19</v>
      </c>
      <c r="AD84" s="17">
        <f t="shared" si="3"/>
        <v>94.73684210526315</v>
      </c>
    </row>
    <row r="85" spans="1:30" ht="15">
      <c r="A85" s="12">
        <v>103</v>
      </c>
      <c r="B85" s="12" t="s">
        <v>172</v>
      </c>
      <c r="C85" s="13" t="s">
        <v>173</v>
      </c>
      <c r="D85" s="14" t="s">
        <v>14</v>
      </c>
      <c r="E85" s="14" t="s">
        <v>14</v>
      </c>
      <c r="F85" s="14" t="s">
        <v>14</v>
      </c>
      <c r="G85" s="14" t="s">
        <v>14</v>
      </c>
      <c r="H85" s="14" t="s">
        <v>14</v>
      </c>
      <c r="I85" s="14" t="s">
        <v>14</v>
      </c>
      <c r="J85" s="14" t="s">
        <v>14</v>
      </c>
      <c r="K85" s="14" t="s">
        <v>14</v>
      </c>
      <c r="L85" s="14" t="s">
        <v>14</v>
      </c>
      <c r="M85" s="14"/>
      <c r="N85" s="14" t="s">
        <v>14</v>
      </c>
      <c r="O85" s="14" t="s">
        <v>14</v>
      </c>
      <c r="P85" s="14" t="s">
        <v>14</v>
      </c>
      <c r="Q85" s="14" t="s">
        <v>14</v>
      </c>
      <c r="R85" s="14" t="s">
        <v>14</v>
      </c>
      <c r="S85" s="14" t="s">
        <v>14</v>
      </c>
      <c r="T85" s="14" t="s">
        <v>15</v>
      </c>
      <c r="U85" s="14" t="s">
        <v>15</v>
      </c>
      <c r="V85" s="14" t="s">
        <v>15</v>
      </c>
      <c r="W85" s="14"/>
      <c r="X85" s="14"/>
      <c r="Y85" s="14"/>
      <c r="Z85" s="14"/>
      <c r="AA85" s="16">
        <f t="shared" si="0"/>
        <v>15</v>
      </c>
      <c r="AB85" s="16">
        <f t="shared" si="1"/>
        <v>3</v>
      </c>
      <c r="AC85" s="16">
        <f t="shared" si="2"/>
        <v>18</v>
      </c>
      <c r="AD85" s="17">
        <f t="shared" si="3"/>
        <v>83.333333333333343</v>
      </c>
    </row>
    <row r="86" spans="1:30" ht="15">
      <c r="A86" s="12">
        <v>104</v>
      </c>
      <c r="B86" s="12" t="s">
        <v>174</v>
      </c>
      <c r="C86" s="13" t="s">
        <v>175</v>
      </c>
      <c r="D86" s="14" t="s">
        <v>14</v>
      </c>
      <c r="E86" s="14" t="s">
        <v>14</v>
      </c>
      <c r="F86" s="14" t="s">
        <v>14</v>
      </c>
      <c r="G86" s="14" t="s">
        <v>14</v>
      </c>
      <c r="H86" s="14" t="s">
        <v>14</v>
      </c>
      <c r="I86" s="14" t="s">
        <v>14</v>
      </c>
      <c r="J86" s="14" t="s">
        <v>14</v>
      </c>
      <c r="K86" s="14" t="s">
        <v>14</v>
      </c>
      <c r="L86" s="14" t="s">
        <v>14</v>
      </c>
      <c r="M86" s="14" t="s">
        <v>14</v>
      </c>
      <c r="N86" s="14" t="s">
        <v>14</v>
      </c>
      <c r="O86" s="14" t="s">
        <v>14</v>
      </c>
      <c r="P86" s="14" t="s">
        <v>14</v>
      </c>
      <c r="Q86" s="14" t="s">
        <v>15</v>
      </c>
      <c r="R86" s="14" t="s">
        <v>14</v>
      </c>
      <c r="S86" s="14" t="s">
        <v>14</v>
      </c>
      <c r="T86" s="14" t="s">
        <v>14</v>
      </c>
      <c r="U86" s="14" t="s">
        <v>14</v>
      </c>
      <c r="V86" s="14" t="s">
        <v>14</v>
      </c>
      <c r="W86" s="14"/>
      <c r="X86" s="14"/>
      <c r="Y86" s="14"/>
      <c r="Z86" s="14"/>
      <c r="AA86" s="16">
        <f t="shared" si="0"/>
        <v>18</v>
      </c>
      <c r="AB86" s="16">
        <f t="shared" si="1"/>
        <v>1</v>
      </c>
      <c r="AC86" s="16">
        <f t="shared" si="2"/>
        <v>19</v>
      </c>
      <c r="AD86" s="17">
        <f t="shared" si="3"/>
        <v>94.73684210526315</v>
      </c>
    </row>
    <row r="87" spans="1:30" ht="15">
      <c r="A87" s="12">
        <v>105</v>
      </c>
      <c r="B87" s="12" t="s">
        <v>176</v>
      </c>
      <c r="C87" s="13" t="s">
        <v>177</v>
      </c>
      <c r="D87" s="14" t="s">
        <v>14</v>
      </c>
      <c r="E87" s="14" t="s">
        <v>14</v>
      </c>
      <c r="F87" s="14" t="s">
        <v>14</v>
      </c>
      <c r="G87" s="14" t="s">
        <v>14</v>
      </c>
      <c r="H87" s="14" t="s">
        <v>14</v>
      </c>
      <c r="I87" s="14" t="s">
        <v>15</v>
      </c>
      <c r="J87" s="14" t="s">
        <v>14</v>
      </c>
      <c r="K87" s="14" t="s">
        <v>14</v>
      </c>
      <c r="L87" s="14" t="s">
        <v>14</v>
      </c>
      <c r="M87" s="14" t="s">
        <v>14</v>
      </c>
      <c r="N87" s="14" t="s">
        <v>14</v>
      </c>
      <c r="O87" s="14" t="s">
        <v>14</v>
      </c>
      <c r="P87" s="14" t="s">
        <v>14</v>
      </c>
      <c r="Q87" s="14" t="s">
        <v>15</v>
      </c>
      <c r="R87" s="14" t="s">
        <v>14</v>
      </c>
      <c r="S87" s="14" t="s">
        <v>14</v>
      </c>
      <c r="T87" s="14" t="s">
        <v>14</v>
      </c>
      <c r="U87" s="14" t="s">
        <v>14</v>
      </c>
      <c r="V87" s="14" t="s">
        <v>14</v>
      </c>
      <c r="W87" s="14"/>
      <c r="X87" s="14"/>
      <c r="Y87" s="14"/>
      <c r="Z87" s="14"/>
      <c r="AA87" s="16">
        <f t="shared" si="0"/>
        <v>17</v>
      </c>
      <c r="AB87" s="16">
        <f t="shared" si="1"/>
        <v>2</v>
      </c>
      <c r="AC87" s="16">
        <f t="shared" si="2"/>
        <v>19</v>
      </c>
      <c r="AD87" s="17">
        <f t="shared" si="3"/>
        <v>89.473684210526315</v>
      </c>
    </row>
    <row r="88" spans="1:30" ht="15">
      <c r="A88" s="12">
        <v>106</v>
      </c>
      <c r="B88" s="12" t="s">
        <v>178</v>
      </c>
      <c r="C88" s="13" t="s">
        <v>179</v>
      </c>
      <c r="D88" s="14" t="s">
        <v>14</v>
      </c>
      <c r="E88" s="14" t="s">
        <v>14</v>
      </c>
      <c r="F88" s="14" t="s">
        <v>14</v>
      </c>
      <c r="G88" s="14" t="s">
        <v>14</v>
      </c>
      <c r="H88" s="14" t="s">
        <v>14</v>
      </c>
      <c r="I88" s="14" t="s">
        <v>14</v>
      </c>
      <c r="J88" s="14" t="s">
        <v>14</v>
      </c>
      <c r="K88" s="14" t="s">
        <v>14</v>
      </c>
      <c r="L88" s="14" t="s">
        <v>14</v>
      </c>
      <c r="M88" s="14" t="s">
        <v>15</v>
      </c>
      <c r="N88" s="14" t="s">
        <v>15</v>
      </c>
      <c r="O88" s="14" t="s">
        <v>14</v>
      </c>
      <c r="P88" s="14" t="s">
        <v>14</v>
      </c>
      <c r="Q88" s="14" t="s">
        <v>14</v>
      </c>
      <c r="R88" s="14" t="s">
        <v>15</v>
      </c>
      <c r="S88" s="14" t="s">
        <v>14</v>
      </c>
      <c r="T88" s="14" t="s">
        <v>14</v>
      </c>
      <c r="U88" s="14" t="s">
        <v>14</v>
      </c>
      <c r="V88" s="14" t="s">
        <v>14</v>
      </c>
      <c r="W88" s="14"/>
      <c r="X88" s="14"/>
      <c r="Y88" s="14"/>
      <c r="Z88" s="14"/>
      <c r="AA88" s="16">
        <f t="shared" si="0"/>
        <v>16</v>
      </c>
      <c r="AB88" s="16">
        <f t="shared" si="1"/>
        <v>3</v>
      </c>
      <c r="AC88" s="16">
        <f t="shared" si="2"/>
        <v>19</v>
      </c>
      <c r="AD88" s="17">
        <f t="shared" si="3"/>
        <v>84.210526315789465</v>
      </c>
    </row>
    <row r="89" spans="1:30" ht="15">
      <c r="A89" s="12">
        <v>107</v>
      </c>
      <c r="B89" s="12" t="s">
        <v>180</v>
      </c>
      <c r="C89" s="13" t="s">
        <v>181</v>
      </c>
      <c r="D89" s="14" t="s">
        <v>14</v>
      </c>
      <c r="E89" s="14" t="s">
        <v>14</v>
      </c>
      <c r="F89" s="14" t="s">
        <v>14</v>
      </c>
      <c r="G89" s="14" t="s">
        <v>14</v>
      </c>
      <c r="H89" s="14" t="s">
        <v>14</v>
      </c>
      <c r="I89" s="14" t="s">
        <v>14</v>
      </c>
      <c r="J89" s="14" t="s">
        <v>14</v>
      </c>
      <c r="K89" s="14" t="s">
        <v>14</v>
      </c>
      <c r="L89" s="14" t="s">
        <v>14</v>
      </c>
      <c r="M89" s="14" t="s">
        <v>14</v>
      </c>
      <c r="N89" s="14" t="s">
        <v>14</v>
      </c>
      <c r="O89" s="14" t="s">
        <v>14</v>
      </c>
      <c r="P89" s="14" t="s">
        <v>14</v>
      </c>
      <c r="Q89" s="14" t="s">
        <v>14</v>
      </c>
      <c r="R89" s="14" t="s">
        <v>15</v>
      </c>
      <c r="S89" s="14" t="s">
        <v>14</v>
      </c>
      <c r="T89" s="14" t="s">
        <v>14</v>
      </c>
      <c r="U89" s="14" t="s">
        <v>14</v>
      </c>
      <c r="V89" s="14" t="s">
        <v>14</v>
      </c>
      <c r="W89" s="14"/>
      <c r="X89" s="14"/>
      <c r="Y89" s="14"/>
      <c r="Z89" s="14"/>
      <c r="AA89" s="16">
        <f t="shared" si="0"/>
        <v>18</v>
      </c>
      <c r="AB89" s="16">
        <f t="shared" si="1"/>
        <v>1</v>
      </c>
      <c r="AC89" s="16">
        <f t="shared" si="2"/>
        <v>19</v>
      </c>
      <c r="AD89" s="17">
        <f t="shared" si="3"/>
        <v>94.73684210526315</v>
      </c>
    </row>
    <row r="90" spans="1:30" ht="15">
      <c r="A90" s="12">
        <v>108</v>
      </c>
      <c r="B90" s="12" t="s">
        <v>182</v>
      </c>
      <c r="C90" s="13" t="s">
        <v>183</v>
      </c>
      <c r="D90" s="14" t="s">
        <v>14</v>
      </c>
      <c r="E90" s="14" t="s">
        <v>14</v>
      </c>
      <c r="F90" s="14" t="s">
        <v>14</v>
      </c>
      <c r="G90" s="14" t="s">
        <v>14</v>
      </c>
      <c r="H90" s="14" t="s">
        <v>14</v>
      </c>
      <c r="I90" s="14" t="s">
        <v>14</v>
      </c>
      <c r="J90" s="14" t="s">
        <v>14</v>
      </c>
      <c r="K90" s="14" t="s">
        <v>14</v>
      </c>
      <c r="L90" s="14" t="s">
        <v>14</v>
      </c>
      <c r="M90" s="14" t="s">
        <v>14</v>
      </c>
      <c r="N90" s="14" t="s">
        <v>14</v>
      </c>
      <c r="O90" s="14" t="s">
        <v>14</v>
      </c>
      <c r="P90" s="14" t="s">
        <v>14</v>
      </c>
      <c r="Q90" s="14" t="s">
        <v>14</v>
      </c>
      <c r="R90" s="14" t="s">
        <v>15</v>
      </c>
      <c r="S90" s="14" t="s">
        <v>14</v>
      </c>
      <c r="T90" s="14" t="s">
        <v>14</v>
      </c>
      <c r="U90" s="15" t="s">
        <v>14</v>
      </c>
      <c r="V90" s="15" t="s">
        <v>14</v>
      </c>
      <c r="W90" s="15"/>
      <c r="X90" s="15"/>
      <c r="Y90" s="15"/>
      <c r="Z90" s="15"/>
      <c r="AA90" s="16">
        <f t="shared" si="0"/>
        <v>18</v>
      </c>
      <c r="AB90" s="16">
        <f t="shared" si="1"/>
        <v>1</v>
      </c>
      <c r="AC90" s="16">
        <f t="shared" si="2"/>
        <v>19</v>
      </c>
      <c r="AD90" s="17">
        <f t="shared" si="3"/>
        <v>94.73684210526315</v>
      </c>
    </row>
    <row r="91" spans="1:30" ht="15">
      <c r="A91" s="12">
        <v>109</v>
      </c>
      <c r="B91" s="12" t="s">
        <v>184</v>
      </c>
      <c r="C91" s="13" t="s">
        <v>185</v>
      </c>
      <c r="D91" s="14" t="s">
        <v>14</v>
      </c>
      <c r="E91" s="14" t="s">
        <v>14</v>
      </c>
      <c r="F91" s="14" t="s">
        <v>14</v>
      </c>
      <c r="G91" s="14" t="s">
        <v>14</v>
      </c>
      <c r="H91" s="14" t="s">
        <v>14</v>
      </c>
      <c r="I91" s="14" t="s">
        <v>14</v>
      </c>
      <c r="J91" s="14" t="s">
        <v>14</v>
      </c>
      <c r="K91" s="14" t="s">
        <v>14</v>
      </c>
      <c r="L91" s="14" t="s">
        <v>14</v>
      </c>
      <c r="M91" s="14" t="s">
        <v>14</v>
      </c>
      <c r="N91" s="14" t="s">
        <v>14</v>
      </c>
      <c r="O91" s="14" t="s">
        <v>14</v>
      </c>
      <c r="P91" s="14" t="s">
        <v>14</v>
      </c>
      <c r="Q91" s="14" t="s">
        <v>14</v>
      </c>
      <c r="R91" s="14" t="s">
        <v>15</v>
      </c>
      <c r="S91" s="14" t="s">
        <v>14</v>
      </c>
      <c r="T91" s="14" t="s">
        <v>14</v>
      </c>
      <c r="U91" s="14" t="s">
        <v>15</v>
      </c>
      <c r="V91" s="14" t="s">
        <v>15</v>
      </c>
      <c r="W91" s="14"/>
      <c r="X91" s="14"/>
      <c r="Y91" s="14"/>
      <c r="Z91" s="14"/>
      <c r="AA91" s="16">
        <f t="shared" si="0"/>
        <v>16</v>
      </c>
      <c r="AB91" s="16">
        <f t="shared" si="1"/>
        <v>3</v>
      </c>
      <c r="AC91" s="16">
        <f t="shared" si="2"/>
        <v>19</v>
      </c>
      <c r="AD91" s="17">
        <f t="shared" si="3"/>
        <v>84.210526315789465</v>
      </c>
    </row>
    <row r="92" spans="1:30" ht="15">
      <c r="A92" s="12">
        <v>110</v>
      </c>
      <c r="B92" s="12" t="s">
        <v>186</v>
      </c>
      <c r="C92" s="13" t="s">
        <v>187</v>
      </c>
      <c r="D92" s="14" t="s">
        <v>14</v>
      </c>
      <c r="E92" s="14" t="s">
        <v>14</v>
      </c>
      <c r="F92" s="14" t="s">
        <v>14</v>
      </c>
      <c r="G92" s="14" t="s">
        <v>14</v>
      </c>
      <c r="H92" s="14" t="s">
        <v>14</v>
      </c>
      <c r="I92" s="14" t="s">
        <v>15</v>
      </c>
      <c r="J92" s="14" t="s">
        <v>15</v>
      </c>
      <c r="K92" s="14" t="s">
        <v>15</v>
      </c>
      <c r="L92" s="14" t="s">
        <v>14</v>
      </c>
      <c r="M92" s="14" t="s">
        <v>14</v>
      </c>
      <c r="N92" s="14" t="s">
        <v>14</v>
      </c>
      <c r="O92" s="14" t="s">
        <v>14</v>
      </c>
      <c r="P92" s="14" t="s">
        <v>14</v>
      </c>
      <c r="Q92" s="14" t="s">
        <v>14</v>
      </c>
      <c r="R92" s="14" t="s">
        <v>14</v>
      </c>
      <c r="S92" s="14" t="s">
        <v>14</v>
      </c>
      <c r="T92" s="14" t="s">
        <v>14</v>
      </c>
      <c r="U92" s="14" t="s">
        <v>14</v>
      </c>
      <c r="V92" s="14" t="s">
        <v>14</v>
      </c>
      <c r="W92" s="14"/>
      <c r="X92" s="14"/>
      <c r="Y92" s="14"/>
      <c r="Z92" s="14"/>
      <c r="AA92" s="16">
        <f t="shared" si="0"/>
        <v>16</v>
      </c>
      <c r="AB92" s="16">
        <f t="shared" si="1"/>
        <v>3</v>
      </c>
      <c r="AC92" s="16">
        <f t="shared" si="2"/>
        <v>19</v>
      </c>
      <c r="AD92" s="17">
        <f t="shared" si="3"/>
        <v>84.210526315789465</v>
      </c>
    </row>
    <row r="93" spans="1:30" ht="15">
      <c r="A93" s="12">
        <v>111</v>
      </c>
      <c r="B93" s="12" t="s">
        <v>188</v>
      </c>
      <c r="C93" s="13" t="s">
        <v>189</v>
      </c>
      <c r="D93" s="14" t="s">
        <v>14</v>
      </c>
      <c r="E93" s="14" t="s">
        <v>14</v>
      </c>
      <c r="F93" s="14" t="s">
        <v>14</v>
      </c>
      <c r="G93" s="14" t="s">
        <v>14</v>
      </c>
      <c r="H93" s="14" t="s">
        <v>14</v>
      </c>
      <c r="I93" s="14" t="s">
        <v>14</v>
      </c>
      <c r="J93" s="14" t="s">
        <v>14</v>
      </c>
      <c r="K93" s="14" t="s">
        <v>14</v>
      </c>
      <c r="L93" s="14" t="s">
        <v>14</v>
      </c>
      <c r="M93" s="14" t="s">
        <v>14</v>
      </c>
      <c r="N93" s="14" t="s">
        <v>14</v>
      </c>
      <c r="O93" s="14" t="s">
        <v>14</v>
      </c>
      <c r="P93" s="14" t="s">
        <v>14</v>
      </c>
      <c r="Q93" s="14" t="s">
        <v>14</v>
      </c>
      <c r="R93" s="14" t="s">
        <v>14</v>
      </c>
      <c r="S93" s="14" t="s">
        <v>14</v>
      </c>
      <c r="T93" s="14" t="s">
        <v>15</v>
      </c>
      <c r="U93" s="14" t="s">
        <v>15</v>
      </c>
      <c r="V93" s="14" t="s">
        <v>15</v>
      </c>
      <c r="W93" s="14"/>
      <c r="X93" s="14"/>
      <c r="Y93" s="14"/>
      <c r="Z93" s="14"/>
      <c r="AA93" s="16">
        <f t="shared" si="0"/>
        <v>16</v>
      </c>
      <c r="AB93" s="16">
        <f t="shared" si="1"/>
        <v>3</v>
      </c>
      <c r="AC93" s="16">
        <f t="shared" si="2"/>
        <v>19</v>
      </c>
      <c r="AD93" s="17">
        <f t="shared" si="3"/>
        <v>84.210526315789465</v>
      </c>
    </row>
    <row r="94" spans="1:30" ht="15">
      <c r="A94" s="12">
        <v>112</v>
      </c>
      <c r="B94" s="12" t="s">
        <v>190</v>
      </c>
      <c r="C94" s="13" t="s">
        <v>191</v>
      </c>
      <c r="D94" s="14" t="s">
        <v>14</v>
      </c>
      <c r="E94" s="14" t="s">
        <v>14</v>
      </c>
      <c r="F94" s="14" t="s">
        <v>14</v>
      </c>
      <c r="G94" s="14" t="s">
        <v>14</v>
      </c>
      <c r="H94" s="14" t="s">
        <v>14</v>
      </c>
      <c r="I94" s="14" t="s">
        <v>15</v>
      </c>
      <c r="J94" s="14" t="s">
        <v>14</v>
      </c>
      <c r="K94" s="14" t="s">
        <v>14</v>
      </c>
      <c r="L94" s="14" t="s">
        <v>14</v>
      </c>
      <c r="M94" s="14" t="s">
        <v>14</v>
      </c>
      <c r="N94" s="14" t="s">
        <v>14</v>
      </c>
      <c r="O94" s="14" t="s">
        <v>14</v>
      </c>
      <c r="P94" s="14" t="s">
        <v>14</v>
      </c>
      <c r="Q94" s="14" t="s">
        <v>15</v>
      </c>
      <c r="R94" s="14" t="s">
        <v>14</v>
      </c>
      <c r="S94" s="14" t="s">
        <v>14</v>
      </c>
      <c r="T94" s="14" t="s">
        <v>14</v>
      </c>
      <c r="U94" s="14" t="s">
        <v>14</v>
      </c>
      <c r="V94" s="14" t="s">
        <v>14</v>
      </c>
      <c r="W94" s="14"/>
      <c r="X94" s="14"/>
      <c r="Y94" s="14"/>
      <c r="Z94" s="14"/>
      <c r="AA94" s="16">
        <f t="shared" si="0"/>
        <v>17</v>
      </c>
      <c r="AB94" s="16">
        <f t="shared" si="1"/>
        <v>2</v>
      </c>
      <c r="AC94" s="16">
        <f t="shared" si="2"/>
        <v>19</v>
      </c>
      <c r="AD94" s="17">
        <f t="shared" si="3"/>
        <v>89.473684210526315</v>
      </c>
    </row>
    <row r="95" spans="1:30" ht="15">
      <c r="A95" s="12">
        <v>113</v>
      </c>
      <c r="B95" s="12" t="s">
        <v>192</v>
      </c>
      <c r="C95" s="13" t="s">
        <v>193</v>
      </c>
      <c r="D95" s="14" t="s">
        <v>14</v>
      </c>
      <c r="E95" s="14" t="s">
        <v>14</v>
      </c>
      <c r="F95" s="14" t="s">
        <v>14</v>
      </c>
      <c r="G95" s="14" t="s">
        <v>14</v>
      </c>
      <c r="H95" s="14" t="s">
        <v>14</v>
      </c>
      <c r="I95" s="14" t="s">
        <v>14</v>
      </c>
      <c r="J95" s="14" t="s">
        <v>14</v>
      </c>
      <c r="K95" s="14" t="s">
        <v>14</v>
      </c>
      <c r="L95" s="14" t="s">
        <v>14</v>
      </c>
      <c r="M95" s="14" t="s">
        <v>14</v>
      </c>
      <c r="N95" s="14" t="s">
        <v>14</v>
      </c>
      <c r="O95" s="14" t="s">
        <v>14</v>
      </c>
      <c r="P95" s="14" t="s">
        <v>14</v>
      </c>
      <c r="Q95" s="14" t="s">
        <v>14</v>
      </c>
      <c r="R95" s="14" t="s">
        <v>14</v>
      </c>
      <c r="S95" s="14" t="s">
        <v>14</v>
      </c>
      <c r="T95" s="14" t="s">
        <v>14</v>
      </c>
      <c r="U95" s="14" t="s">
        <v>14</v>
      </c>
      <c r="V95" s="14" t="s">
        <v>14</v>
      </c>
      <c r="W95" s="14"/>
      <c r="X95" s="14"/>
      <c r="Y95" s="14"/>
      <c r="Z95" s="14"/>
      <c r="AA95" s="16">
        <f t="shared" si="0"/>
        <v>19</v>
      </c>
      <c r="AB95" s="16">
        <f t="shared" si="1"/>
        <v>0</v>
      </c>
      <c r="AC95" s="16">
        <f t="shared" si="2"/>
        <v>19</v>
      </c>
      <c r="AD95" s="17">
        <f t="shared" si="3"/>
        <v>100</v>
      </c>
    </row>
    <row r="96" spans="1:30" ht="15">
      <c r="A96" s="12">
        <v>114</v>
      </c>
      <c r="B96" s="12" t="s">
        <v>194</v>
      </c>
      <c r="C96" s="13" t="s">
        <v>195</v>
      </c>
      <c r="D96" s="14" t="s">
        <v>14</v>
      </c>
      <c r="E96" s="14" t="s">
        <v>14</v>
      </c>
      <c r="F96" s="14" t="s">
        <v>14</v>
      </c>
      <c r="G96" s="14" t="s">
        <v>14</v>
      </c>
      <c r="H96" s="14" t="s">
        <v>14</v>
      </c>
      <c r="I96" s="14" t="s">
        <v>14</v>
      </c>
      <c r="J96" s="14" t="s">
        <v>15</v>
      </c>
      <c r="K96" s="14" t="s">
        <v>14</v>
      </c>
      <c r="L96" s="14" t="s">
        <v>14</v>
      </c>
      <c r="M96" s="14" t="s">
        <v>14</v>
      </c>
      <c r="N96" s="14" t="s">
        <v>14</v>
      </c>
      <c r="O96" s="14" t="s">
        <v>15</v>
      </c>
      <c r="P96" s="14" t="s">
        <v>15</v>
      </c>
      <c r="Q96" s="14" t="s">
        <v>14</v>
      </c>
      <c r="R96" s="14" t="s">
        <v>14</v>
      </c>
      <c r="S96" s="14" t="s">
        <v>14</v>
      </c>
      <c r="T96" s="14" t="s">
        <v>14</v>
      </c>
      <c r="U96" s="14" t="s">
        <v>14</v>
      </c>
      <c r="V96" s="14" t="s">
        <v>14</v>
      </c>
      <c r="W96" s="14"/>
      <c r="X96" s="14"/>
      <c r="Y96" s="14"/>
      <c r="Z96" s="14"/>
      <c r="AA96" s="16">
        <f t="shared" si="0"/>
        <v>16</v>
      </c>
      <c r="AB96" s="16">
        <f t="shared" si="1"/>
        <v>3</v>
      </c>
      <c r="AC96" s="16">
        <f t="shared" si="2"/>
        <v>19</v>
      </c>
      <c r="AD96" s="17">
        <f t="shared" si="3"/>
        <v>84.210526315789465</v>
      </c>
    </row>
    <row r="97" spans="1:30" ht="15">
      <c r="A97" s="12">
        <v>115</v>
      </c>
      <c r="B97" s="12" t="s">
        <v>196</v>
      </c>
      <c r="C97" s="13" t="s">
        <v>197</v>
      </c>
      <c r="D97" s="14" t="s">
        <v>14</v>
      </c>
      <c r="E97" s="14" t="s">
        <v>14</v>
      </c>
      <c r="F97" s="14" t="s">
        <v>14</v>
      </c>
      <c r="G97" s="14" t="s">
        <v>14</v>
      </c>
      <c r="H97" s="14" t="s">
        <v>14</v>
      </c>
      <c r="I97" s="14" t="s">
        <v>14</v>
      </c>
      <c r="J97" s="14" t="s">
        <v>14</v>
      </c>
      <c r="K97" s="14" t="s">
        <v>14</v>
      </c>
      <c r="L97" s="14" t="s">
        <v>14</v>
      </c>
      <c r="M97" s="14" t="s">
        <v>14</v>
      </c>
      <c r="N97" s="14" t="s">
        <v>14</v>
      </c>
      <c r="O97" s="14" t="s">
        <v>14</v>
      </c>
      <c r="P97" s="14" t="s">
        <v>14</v>
      </c>
      <c r="Q97" s="14" t="s">
        <v>14</v>
      </c>
      <c r="R97" s="14" t="s">
        <v>14</v>
      </c>
      <c r="S97" s="14" t="s">
        <v>14</v>
      </c>
      <c r="T97" s="14" t="s">
        <v>14</v>
      </c>
      <c r="U97" s="14" t="s">
        <v>14</v>
      </c>
      <c r="V97" s="14" t="s">
        <v>14</v>
      </c>
      <c r="W97" s="14"/>
      <c r="X97" s="14"/>
      <c r="Y97" s="14"/>
      <c r="Z97" s="14"/>
      <c r="AA97" s="16">
        <f t="shared" si="0"/>
        <v>19</v>
      </c>
      <c r="AB97" s="16">
        <f t="shared" si="1"/>
        <v>0</v>
      </c>
      <c r="AC97" s="16">
        <f t="shared" si="2"/>
        <v>19</v>
      </c>
      <c r="AD97" s="17">
        <f t="shared" si="3"/>
        <v>100</v>
      </c>
    </row>
    <row r="98" spans="1:30" ht="15">
      <c r="A98" s="12">
        <v>116</v>
      </c>
      <c r="B98" s="12" t="s">
        <v>198</v>
      </c>
      <c r="C98" s="13" t="s">
        <v>199</v>
      </c>
      <c r="D98" s="14" t="s">
        <v>14</v>
      </c>
      <c r="E98" s="14" t="s">
        <v>14</v>
      </c>
      <c r="F98" s="14" t="s">
        <v>14</v>
      </c>
      <c r="G98" s="14" t="s">
        <v>14</v>
      </c>
      <c r="H98" s="14" t="s">
        <v>14</v>
      </c>
      <c r="I98" s="14" t="s">
        <v>14</v>
      </c>
      <c r="J98" s="14" t="s">
        <v>14</v>
      </c>
      <c r="K98" s="14" t="s">
        <v>14</v>
      </c>
      <c r="L98" s="14" t="s">
        <v>14</v>
      </c>
      <c r="M98" s="14" t="s">
        <v>14</v>
      </c>
      <c r="N98" s="14" t="s">
        <v>14</v>
      </c>
      <c r="O98" s="14" t="s">
        <v>14</v>
      </c>
      <c r="P98" s="14" t="s">
        <v>14</v>
      </c>
      <c r="Q98" s="14" t="s">
        <v>14</v>
      </c>
      <c r="R98" s="14" t="s">
        <v>14</v>
      </c>
      <c r="S98" s="14" t="s">
        <v>14</v>
      </c>
      <c r="T98" s="14" t="s">
        <v>14</v>
      </c>
      <c r="U98" s="14" t="s">
        <v>14</v>
      </c>
      <c r="V98" s="14" t="s">
        <v>14</v>
      </c>
      <c r="W98" s="14"/>
      <c r="X98" s="14"/>
      <c r="Y98" s="14"/>
      <c r="Z98" s="14"/>
      <c r="AA98" s="16">
        <f t="shared" si="0"/>
        <v>19</v>
      </c>
      <c r="AB98" s="16">
        <f t="shared" si="1"/>
        <v>0</v>
      </c>
      <c r="AC98" s="16">
        <f t="shared" si="2"/>
        <v>19</v>
      </c>
      <c r="AD98" s="17">
        <f t="shared" si="3"/>
        <v>100</v>
      </c>
    </row>
    <row r="99" spans="1:30" ht="15">
      <c r="A99" s="12">
        <v>117</v>
      </c>
      <c r="B99" s="12" t="s">
        <v>200</v>
      </c>
      <c r="C99" s="13" t="s">
        <v>201</v>
      </c>
      <c r="D99" s="14" t="s">
        <v>14</v>
      </c>
      <c r="E99" s="14" t="s">
        <v>14</v>
      </c>
      <c r="F99" s="14" t="s">
        <v>14</v>
      </c>
      <c r="G99" s="14" t="s">
        <v>14</v>
      </c>
      <c r="H99" s="14" t="s">
        <v>14</v>
      </c>
      <c r="I99" s="14" t="s">
        <v>14</v>
      </c>
      <c r="J99" s="14" t="s">
        <v>14</v>
      </c>
      <c r="K99" s="14" t="s">
        <v>14</v>
      </c>
      <c r="L99" s="14" t="s">
        <v>14</v>
      </c>
      <c r="M99" s="14" t="s">
        <v>14</v>
      </c>
      <c r="N99" s="14" t="s">
        <v>14</v>
      </c>
      <c r="O99" s="14" t="s">
        <v>14</v>
      </c>
      <c r="P99" s="14" t="s">
        <v>14</v>
      </c>
      <c r="Q99" s="14" t="s">
        <v>14</v>
      </c>
      <c r="R99" s="14" t="s">
        <v>14</v>
      </c>
      <c r="S99" s="14" t="s">
        <v>14</v>
      </c>
      <c r="T99" s="14" t="s">
        <v>14</v>
      </c>
      <c r="U99" s="14" t="s">
        <v>14</v>
      </c>
      <c r="V99" s="14" t="s">
        <v>14</v>
      </c>
      <c r="W99" s="14"/>
      <c r="X99" s="14"/>
      <c r="Y99" s="14"/>
      <c r="Z99" s="14"/>
      <c r="AA99" s="16">
        <f t="shared" si="0"/>
        <v>19</v>
      </c>
      <c r="AB99" s="16">
        <f t="shared" si="1"/>
        <v>0</v>
      </c>
      <c r="AC99" s="16">
        <f t="shared" si="2"/>
        <v>19</v>
      </c>
      <c r="AD99" s="17">
        <f t="shared" si="3"/>
        <v>100</v>
      </c>
    </row>
    <row r="100" spans="1:30">
      <c r="A100" s="19"/>
      <c r="B100" s="19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19"/>
      <c r="AB100" s="19"/>
      <c r="AC100" s="19"/>
      <c r="AD100" s="19"/>
    </row>
    <row r="101" spans="1:30">
      <c r="A101" s="19"/>
      <c r="B101" s="19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19"/>
      <c r="AB101" s="19"/>
      <c r="AC101" s="19"/>
      <c r="AD101" s="19"/>
    </row>
    <row r="102" spans="1:30">
      <c r="A102" s="19"/>
      <c r="B102" s="19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19"/>
      <c r="AB102" s="19"/>
      <c r="AC102" s="19"/>
      <c r="AD102" s="19"/>
    </row>
    <row r="103" spans="1:30">
      <c r="A103" s="19"/>
      <c r="B103" s="19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19"/>
      <c r="AB103" s="19"/>
      <c r="AC103" s="19"/>
      <c r="AD103" s="19"/>
    </row>
    <row r="104" spans="1:30">
      <c r="A104" s="19"/>
      <c r="B104" s="19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19"/>
      <c r="AB104" s="19"/>
      <c r="AC104" s="19"/>
      <c r="AD104" s="19"/>
    </row>
    <row r="105" spans="1:30">
      <c r="A105" s="19"/>
      <c r="B105" s="19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19"/>
      <c r="AB105" s="19"/>
      <c r="AC105" s="19"/>
      <c r="AD105" s="19"/>
    </row>
    <row r="106" spans="1:30">
      <c r="A106" s="19"/>
      <c r="B106" s="19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19"/>
      <c r="AB106" s="19"/>
      <c r="AC106" s="19"/>
      <c r="AD106" s="19"/>
    </row>
    <row r="107" spans="1:30">
      <c r="A107" s="19"/>
      <c r="B107" s="19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19"/>
      <c r="AB107" s="19"/>
      <c r="AC107" s="19"/>
      <c r="AD107" s="19"/>
    </row>
    <row r="108" spans="1:30">
      <c r="A108" s="19"/>
      <c r="B108" s="19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19"/>
      <c r="AB108" s="19"/>
      <c r="AC108" s="19"/>
      <c r="AD108" s="19"/>
    </row>
    <row r="109" spans="1:30">
      <c r="A109" s="19"/>
      <c r="B109" s="19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19"/>
      <c r="AB109" s="19"/>
      <c r="AC109" s="19"/>
      <c r="AD109" s="19"/>
    </row>
    <row r="110" spans="1:30">
      <c r="A110" s="19"/>
      <c r="B110" s="19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19"/>
      <c r="AB110" s="19"/>
      <c r="AC110" s="19"/>
      <c r="AD110" s="19"/>
    </row>
    <row r="111" spans="1:30">
      <c r="A111" s="19"/>
      <c r="B111" s="19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19"/>
      <c r="AB111" s="19"/>
      <c r="AC111" s="19"/>
      <c r="AD111" s="19"/>
    </row>
    <row r="112" spans="1:30">
      <c r="A112" s="19"/>
      <c r="B112" s="19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19"/>
      <c r="AB112" s="19"/>
      <c r="AC112" s="19"/>
      <c r="AD112" s="19"/>
    </row>
    <row r="113" spans="1:30">
      <c r="A113" s="19"/>
      <c r="B113" s="19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19"/>
      <c r="AB113" s="19"/>
      <c r="AC113" s="19"/>
      <c r="AD113" s="19"/>
    </row>
    <row r="114" spans="1:30">
      <c r="A114" s="19"/>
      <c r="B114" s="19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19"/>
      <c r="AB114" s="19"/>
      <c r="AC114" s="19"/>
      <c r="AD114" s="19"/>
    </row>
    <row r="115" spans="1:30"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30"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30"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30"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30"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30"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30"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30"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30"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30"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30"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30"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30"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30"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4:26"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4:26"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4:26"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4:26"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4:26"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4:26"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4:26"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4:26"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4:26"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4:26"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4:26"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4:26"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4:26"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4:26"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4:26"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4:26"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4:26"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4:26"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4:26"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4:26"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4:26"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4:26"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4:26"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4:26"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4:26"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4:26"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4:26"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4:26"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4:26"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4:26"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4:26"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4:26"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4:26"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4:26"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4:26"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4:26"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4:26"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4:26"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4:26"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4:26"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4:26"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4:26"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4:26"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4:26"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4:26"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4:26"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4:26"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4:26"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4:26"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4:26"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4:26"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4:26"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4:26"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4:26"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4:26"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4:26"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4:26"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4:26"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4:26"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4:26"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4:26"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4:26"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4:26"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4:26"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4:26"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4:26"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4:26"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4:26"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4:26"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4:26"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4:26"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4:26"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4:26"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4:26"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4:26"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4:26"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4:26"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4:26"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4:26"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4:26"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4:26"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4:26"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4:26"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4:26"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4:26"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4:26"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4:26"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4:26"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4:26"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4:26"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4:26"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4:26"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4:26"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4:26"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4:26"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4:26"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4:26"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4:26"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4:26"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4:26"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4:26"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4:26"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4:26"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4:26"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4:26"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4:26"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4:26"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4:26"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4:26"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4:26"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4:26"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4:26"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4:26"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4:26"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4:26"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4:26"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4:26"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4:26"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4:26"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4:26"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4:26"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4:26"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4:26"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4:26"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4:26"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4:26"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4:26"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4:26"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4:26"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4:26"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4:26"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4:26"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4:26"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4:26"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4:26"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4:26"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4:26"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4:26"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4:26"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4:26"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4:26"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4:26"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4:26"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4:26"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4:26"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4:26"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4:26"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4:26"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4:26"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4:26"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4:26"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4:26"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4:26"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4:26"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4:26"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4:26"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4:26"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4:26"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4:26"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4:26"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4:26"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4:26"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4:26"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4:26"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4:26"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4:26"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4:26"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4:26"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4:26"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4:26"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4:26"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</sheetData>
  <mergeCells count="5">
    <mergeCell ref="A1:AD1"/>
    <mergeCell ref="A2:AD2"/>
    <mergeCell ref="A3:A5"/>
    <mergeCell ref="D3:J3"/>
    <mergeCell ref="K3:Z3"/>
  </mergeCells>
  <conditionalFormatting sqref="D6:Z99">
    <cfRule type="containsText" dxfId="5" priority="1" operator="containsText" text="A">
      <formula>NOT(ISERROR(SEARCH(("A"),(D6))))</formula>
    </cfRule>
    <cfRule type="containsText" dxfId="4" priority="2" operator="containsText" text="P">
      <formula>NOT(ISERROR(SEARCH(("P"),(D6))))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53"/>
  <sheetViews>
    <sheetView topLeftCell="C1" workbookViewId="0">
      <pane ySplit="5" topLeftCell="A6" activePane="bottomLeft" state="frozen"/>
      <selection pane="bottomLeft" sqref="A1:AD2"/>
    </sheetView>
  </sheetViews>
  <sheetFormatPr defaultColWidth="12.59765625" defaultRowHeight="15" customHeight="1"/>
  <cols>
    <col min="1" max="1" width="6.73046875" customWidth="1"/>
    <col min="2" max="2" width="15.59765625" customWidth="1"/>
    <col min="3" max="3" width="42.3984375" customWidth="1"/>
    <col min="4" max="4" width="4.265625" customWidth="1"/>
    <col min="5" max="13" width="2.86328125" customWidth="1"/>
    <col min="14" max="14" width="3.3984375" customWidth="1"/>
    <col min="15" max="24" width="2.86328125" customWidth="1"/>
    <col min="25" max="25" width="3.3984375" customWidth="1"/>
    <col min="26" max="26" width="8.3984375" customWidth="1"/>
    <col min="27" max="27" width="7.59765625" customWidth="1"/>
    <col min="28" max="28" width="6.73046875" customWidth="1"/>
  </cols>
  <sheetData>
    <row r="1" spans="1:30" ht="30.7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</row>
    <row r="2" spans="1:30" ht="30" customHeight="1">
      <c r="A2" s="34" t="s">
        <v>208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6"/>
    </row>
    <row r="3" spans="1:30" ht="33" customHeight="1">
      <c r="A3" s="37" t="s">
        <v>1</v>
      </c>
      <c r="B3" s="2"/>
      <c r="C3" s="3" t="s">
        <v>2</v>
      </c>
      <c r="D3" s="44" t="s">
        <v>3</v>
      </c>
      <c r="E3" s="41"/>
      <c r="F3" s="41"/>
      <c r="G3" s="41"/>
      <c r="H3" s="41"/>
      <c r="I3" s="41"/>
      <c r="J3" s="41"/>
      <c r="K3" s="41"/>
      <c r="L3" s="41"/>
      <c r="M3" s="42"/>
      <c r="N3" s="43" t="s">
        <v>4</v>
      </c>
      <c r="O3" s="41"/>
      <c r="P3" s="41"/>
      <c r="Q3" s="41"/>
      <c r="R3" s="41"/>
      <c r="S3" s="41"/>
      <c r="T3" s="42"/>
      <c r="U3" s="43"/>
      <c r="V3" s="41"/>
      <c r="W3" s="41"/>
      <c r="X3" s="41"/>
      <c r="Y3" s="42"/>
      <c r="Z3" s="4" t="s">
        <v>5</v>
      </c>
      <c r="AA3" s="4" t="s">
        <v>6</v>
      </c>
      <c r="AB3" s="5" t="s">
        <v>7</v>
      </c>
      <c r="AC3" s="4"/>
      <c r="AD3" s="4" t="s">
        <v>8</v>
      </c>
    </row>
    <row r="4" spans="1:30" ht="15.75" customHeight="1">
      <c r="A4" s="38"/>
      <c r="B4" s="6"/>
      <c r="C4" s="3" t="s">
        <v>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7"/>
      <c r="V4" s="7"/>
      <c r="W4" s="8"/>
      <c r="X4" s="7"/>
      <c r="Y4" s="7"/>
      <c r="Z4" s="9"/>
      <c r="AA4" s="9"/>
      <c r="AB4" s="9"/>
      <c r="AC4" s="9"/>
      <c r="AD4" s="9"/>
    </row>
    <row r="5" spans="1:30" ht="15.75" customHeight="1">
      <c r="A5" s="39"/>
      <c r="B5" s="1" t="s">
        <v>10</v>
      </c>
      <c r="C5" s="10" t="s">
        <v>11</v>
      </c>
      <c r="D5" s="7"/>
      <c r="E5" s="7"/>
      <c r="F5" s="7"/>
      <c r="G5" s="7"/>
      <c r="H5" s="7">
        <v>7</v>
      </c>
      <c r="I5" s="7"/>
      <c r="J5" s="7"/>
      <c r="K5" s="7"/>
      <c r="L5" s="7">
        <v>28</v>
      </c>
      <c r="M5" s="7">
        <v>1</v>
      </c>
      <c r="N5" s="7">
        <v>4</v>
      </c>
      <c r="O5" s="7">
        <v>11</v>
      </c>
      <c r="P5" s="7"/>
      <c r="Q5" s="7"/>
      <c r="R5" s="7"/>
      <c r="S5" s="7"/>
      <c r="T5" s="8"/>
      <c r="U5" s="7"/>
      <c r="V5" s="7"/>
      <c r="W5" s="8"/>
      <c r="X5" s="7"/>
      <c r="Y5" s="7"/>
      <c r="Z5" s="11"/>
      <c r="AA5" s="11"/>
      <c r="AB5" s="11"/>
      <c r="AC5" s="11"/>
      <c r="AD5" s="11"/>
    </row>
    <row r="6" spans="1:30" ht="15.75" customHeight="1">
      <c r="A6" s="12">
        <v>1</v>
      </c>
      <c r="B6" s="12" t="s">
        <v>12</v>
      </c>
      <c r="C6" s="13" t="s">
        <v>13</v>
      </c>
      <c r="D6" s="14"/>
      <c r="E6" s="14"/>
      <c r="F6" s="14"/>
      <c r="G6" s="14"/>
      <c r="H6" s="14" t="s">
        <v>14</v>
      </c>
      <c r="I6" s="14"/>
      <c r="J6" s="14"/>
      <c r="K6" s="14"/>
      <c r="L6" s="14" t="s">
        <v>15</v>
      </c>
      <c r="M6" s="14" t="s">
        <v>14</v>
      </c>
      <c r="N6" s="14" t="s">
        <v>14</v>
      </c>
      <c r="O6" s="14" t="s">
        <v>15</v>
      </c>
      <c r="P6" s="14"/>
      <c r="Q6" s="14"/>
      <c r="R6" s="14"/>
      <c r="S6" s="14"/>
      <c r="T6" s="15"/>
      <c r="U6" s="14"/>
      <c r="V6" s="15"/>
      <c r="W6" s="15"/>
      <c r="X6" s="15"/>
      <c r="Y6" s="15"/>
      <c r="Z6" s="16">
        <f t="shared" ref="Z6:Z52" si="0">COUNTIF(D6:Y6,"P") + COUNTIF(D6:Y6, "1")</f>
        <v>3</v>
      </c>
      <c r="AA6" s="16">
        <f t="shared" ref="AA6:AA52" si="1">COUNTIF(D6:Y6,"A") + COUNTIF(D6:Y6, "1")</f>
        <v>2</v>
      </c>
      <c r="AB6" s="16">
        <f t="shared" ref="AB6:AB52" si="2">SUM(Z6,AA6)</f>
        <v>5</v>
      </c>
      <c r="AC6" s="17"/>
      <c r="AD6" s="17">
        <f t="shared" ref="AD6:AD52" si="3">(Z6/AB6)*100</f>
        <v>60</v>
      </c>
    </row>
    <row r="7" spans="1:30" ht="15.75" customHeight="1">
      <c r="A7" s="12">
        <v>2</v>
      </c>
      <c r="B7" s="12" t="s">
        <v>16</v>
      </c>
      <c r="C7" s="13" t="s">
        <v>17</v>
      </c>
      <c r="D7" s="14"/>
      <c r="E7" s="14"/>
      <c r="F7" s="14"/>
      <c r="G7" s="14"/>
      <c r="H7" s="14" t="s">
        <v>14</v>
      </c>
      <c r="I7" s="14"/>
      <c r="J7" s="14"/>
      <c r="K7" s="14"/>
      <c r="L7" s="14" t="s">
        <v>14</v>
      </c>
      <c r="M7" s="14" t="s">
        <v>14</v>
      </c>
      <c r="N7" s="14" t="s">
        <v>14</v>
      </c>
      <c r="O7" s="14" t="s">
        <v>14</v>
      </c>
      <c r="P7" s="14"/>
      <c r="Q7" s="14"/>
      <c r="R7" s="14"/>
      <c r="S7" s="14"/>
      <c r="T7" s="15"/>
      <c r="U7" s="14"/>
      <c r="V7" s="15"/>
      <c r="W7" s="15"/>
      <c r="X7" s="15"/>
      <c r="Y7" s="15"/>
      <c r="Z7" s="16">
        <f t="shared" si="0"/>
        <v>5</v>
      </c>
      <c r="AA7" s="16">
        <f t="shared" si="1"/>
        <v>0</v>
      </c>
      <c r="AB7" s="16">
        <f t="shared" si="2"/>
        <v>5</v>
      </c>
      <c r="AC7" s="17"/>
      <c r="AD7" s="17">
        <f t="shared" si="3"/>
        <v>100</v>
      </c>
    </row>
    <row r="8" spans="1:30" ht="15.75" customHeight="1">
      <c r="A8" s="12">
        <v>3</v>
      </c>
      <c r="B8" s="12" t="s">
        <v>18</v>
      </c>
      <c r="C8" s="13" t="s">
        <v>19</v>
      </c>
      <c r="D8" s="14"/>
      <c r="E8" s="14"/>
      <c r="F8" s="14"/>
      <c r="G8" s="14"/>
      <c r="H8" s="14" t="s">
        <v>14</v>
      </c>
      <c r="I8" s="14"/>
      <c r="J8" s="14"/>
      <c r="K8" s="14"/>
      <c r="L8" s="14" t="s">
        <v>15</v>
      </c>
      <c r="M8" s="14" t="s">
        <v>14</v>
      </c>
      <c r="N8" s="14" t="s">
        <v>14</v>
      </c>
      <c r="O8" s="14" t="s">
        <v>15</v>
      </c>
      <c r="P8" s="14"/>
      <c r="Q8" s="14"/>
      <c r="R8" s="14"/>
      <c r="S8" s="14"/>
      <c r="T8" s="15"/>
      <c r="U8" s="14"/>
      <c r="V8" s="15"/>
      <c r="W8" s="15"/>
      <c r="X8" s="15"/>
      <c r="Y8" s="15"/>
      <c r="Z8" s="16">
        <f t="shared" si="0"/>
        <v>3</v>
      </c>
      <c r="AA8" s="16">
        <f t="shared" si="1"/>
        <v>2</v>
      </c>
      <c r="AB8" s="16">
        <f t="shared" si="2"/>
        <v>5</v>
      </c>
      <c r="AC8" s="17"/>
      <c r="AD8" s="17">
        <f t="shared" si="3"/>
        <v>60</v>
      </c>
    </row>
    <row r="9" spans="1:30" ht="15.75" customHeight="1">
      <c r="A9" s="12">
        <v>4</v>
      </c>
      <c r="B9" s="12" t="s">
        <v>20</v>
      </c>
      <c r="C9" s="13" t="s">
        <v>21</v>
      </c>
      <c r="D9" s="14"/>
      <c r="E9" s="14"/>
      <c r="F9" s="14"/>
      <c r="G9" s="14"/>
      <c r="H9" s="14" t="s">
        <v>14</v>
      </c>
      <c r="I9" s="14"/>
      <c r="J9" s="14"/>
      <c r="K9" s="14"/>
      <c r="L9" s="14" t="s">
        <v>15</v>
      </c>
      <c r="M9" s="14" t="s">
        <v>15</v>
      </c>
      <c r="N9" s="14" t="s">
        <v>14</v>
      </c>
      <c r="O9" s="14" t="s">
        <v>14</v>
      </c>
      <c r="P9" s="14"/>
      <c r="Q9" s="14"/>
      <c r="R9" s="14"/>
      <c r="S9" s="14"/>
      <c r="T9" s="15"/>
      <c r="U9" s="14"/>
      <c r="V9" s="15"/>
      <c r="W9" s="15"/>
      <c r="X9" s="15"/>
      <c r="Y9" s="15"/>
      <c r="Z9" s="16">
        <f t="shared" si="0"/>
        <v>3</v>
      </c>
      <c r="AA9" s="16">
        <f t="shared" si="1"/>
        <v>2</v>
      </c>
      <c r="AB9" s="16">
        <f t="shared" si="2"/>
        <v>5</v>
      </c>
      <c r="AC9" s="17"/>
      <c r="AD9" s="17">
        <f t="shared" si="3"/>
        <v>60</v>
      </c>
    </row>
    <row r="10" spans="1:30" ht="15.75" customHeight="1">
      <c r="A10" s="12">
        <v>5</v>
      </c>
      <c r="B10" s="12" t="s">
        <v>22</v>
      </c>
      <c r="C10" s="13" t="s">
        <v>23</v>
      </c>
      <c r="D10" s="14"/>
      <c r="E10" s="14"/>
      <c r="F10" s="14"/>
      <c r="G10" s="14"/>
      <c r="H10" s="14" t="s">
        <v>14</v>
      </c>
      <c r="I10" s="14"/>
      <c r="J10" s="14"/>
      <c r="K10" s="14"/>
      <c r="L10" s="14" t="s">
        <v>15</v>
      </c>
      <c r="M10" s="14" t="s">
        <v>14</v>
      </c>
      <c r="N10" s="14" t="s">
        <v>14</v>
      </c>
      <c r="O10" s="14" t="s">
        <v>14</v>
      </c>
      <c r="P10" s="14"/>
      <c r="Q10" s="14"/>
      <c r="R10" s="14"/>
      <c r="S10" s="14"/>
      <c r="T10" s="15"/>
      <c r="U10" s="14"/>
      <c r="V10" s="15"/>
      <c r="W10" s="15"/>
      <c r="X10" s="15"/>
      <c r="Y10" s="15"/>
      <c r="Z10" s="16">
        <f t="shared" si="0"/>
        <v>4</v>
      </c>
      <c r="AA10" s="16">
        <f t="shared" si="1"/>
        <v>1</v>
      </c>
      <c r="AB10" s="16">
        <f t="shared" si="2"/>
        <v>5</v>
      </c>
      <c r="AC10" s="17"/>
      <c r="AD10" s="17">
        <f t="shared" si="3"/>
        <v>80</v>
      </c>
    </row>
    <row r="11" spans="1:30" ht="15.75" customHeight="1">
      <c r="A11" s="12">
        <v>6</v>
      </c>
      <c r="B11" s="12" t="s">
        <v>24</v>
      </c>
      <c r="C11" s="13" t="s">
        <v>25</v>
      </c>
      <c r="D11" s="14"/>
      <c r="E11" s="14"/>
      <c r="F11" s="14"/>
      <c r="G11" s="14"/>
      <c r="H11" s="14" t="s">
        <v>14</v>
      </c>
      <c r="I11" s="14"/>
      <c r="J11" s="14"/>
      <c r="K11" s="14"/>
      <c r="L11" s="14" t="s">
        <v>14</v>
      </c>
      <c r="M11" s="14" t="s">
        <v>14</v>
      </c>
      <c r="N11" s="14" t="s">
        <v>14</v>
      </c>
      <c r="O11" s="14" t="s">
        <v>14</v>
      </c>
      <c r="P11" s="14"/>
      <c r="Q11" s="14"/>
      <c r="R11" s="14"/>
      <c r="S11" s="14"/>
      <c r="T11" s="15"/>
      <c r="U11" s="14"/>
      <c r="V11" s="15"/>
      <c r="W11" s="15"/>
      <c r="X11" s="15"/>
      <c r="Y11" s="15"/>
      <c r="Z11" s="16">
        <f t="shared" si="0"/>
        <v>5</v>
      </c>
      <c r="AA11" s="16">
        <f t="shared" si="1"/>
        <v>0</v>
      </c>
      <c r="AB11" s="16">
        <f t="shared" si="2"/>
        <v>5</v>
      </c>
      <c r="AC11" s="17"/>
      <c r="AD11" s="17">
        <f t="shared" si="3"/>
        <v>100</v>
      </c>
    </row>
    <row r="12" spans="1:30" ht="15.75" customHeight="1">
      <c r="A12" s="12">
        <v>7</v>
      </c>
      <c r="B12" s="12" t="s">
        <v>26</v>
      </c>
      <c r="C12" s="13" t="s">
        <v>27</v>
      </c>
      <c r="D12" s="14"/>
      <c r="E12" s="14"/>
      <c r="F12" s="14"/>
      <c r="G12" s="14"/>
      <c r="H12" s="14" t="s">
        <v>14</v>
      </c>
      <c r="I12" s="14"/>
      <c r="J12" s="14"/>
      <c r="K12" s="14"/>
      <c r="L12" s="14" t="s">
        <v>14</v>
      </c>
      <c r="M12" s="14" t="s">
        <v>14</v>
      </c>
      <c r="N12" s="14" t="s">
        <v>14</v>
      </c>
      <c r="O12" s="14" t="s">
        <v>14</v>
      </c>
      <c r="P12" s="14"/>
      <c r="Q12" s="14"/>
      <c r="R12" s="14"/>
      <c r="S12" s="14"/>
      <c r="T12" s="15"/>
      <c r="U12" s="14"/>
      <c r="V12" s="15"/>
      <c r="W12" s="15"/>
      <c r="X12" s="15"/>
      <c r="Y12" s="15"/>
      <c r="Z12" s="16">
        <f t="shared" si="0"/>
        <v>5</v>
      </c>
      <c r="AA12" s="16">
        <f t="shared" si="1"/>
        <v>0</v>
      </c>
      <c r="AB12" s="16">
        <f t="shared" si="2"/>
        <v>5</v>
      </c>
      <c r="AC12" s="17"/>
      <c r="AD12" s="17">
        <f t="shared" si="3"/>
        <v>100</v>
      </c>
    </row>
    <row r="13" spans="1:30" ht="15.75" customHeight="1">
      <c r="A13" s="12">
        <v>8</v>
      </c>
      <c r="B13" s="12" t="s">
        <v>28</v>
      </c>
      <c r="C13" s="13" t="s">
        <v>29</v>
      </c>
      <c r="D13" s="14"/>
      <c r="E13" s="14"/>
      <c r="F13" s="14"/>
      <c r="G13" s="14"/>
      <c r="H13" s="14" t="s">
        <v>14</v>
      </c>
      <c r="I13" s="14"/>
      <c r="J13" s="14"/>
      <c r="K13" s="14"/>
      <c r="L13" s="14" t="s">
        <v>14</v>
      </c>
      <c r="M13" s="14" t="s">
        <v>14</v>
      </c>
      <c r="N13" s="14" t="s">
        <v>14</v>
      </c>
      <c r="O13" s="14" t="s">
        <v>14</v>
      </c>
      <c r="P13" s="14"/>
      <c r="Q13" s="14"/>
      <c r="R13" s="14"/>
      <c r="S13" s="14"/>
      <c r="T13" s="15"/>
      <c r="U13" s="14"/>
      <c r="V13" s="15"/>
      <c r="W13" s="15"/>
      <c r="X13" s="15"/>
      <c r="Y13" s="15"/>
      <c r="Z13" s="16">
        <f t="shared" si="0"/>
        <v>5</v>
      </c>
      <c r="AA13" s="16">
        <f t="shared" si="1"/>
        <v>0</v>
      </c>
      <c r="AB13" s="16">
        <f t="shared" si="2"/>
        <v>5</v>
      </c>
      <c r="AC13" s="17"/>
      <c r="AD13" s="17">
        <f t="shared" si="3"/>
        <v>100</v>
      </c>
    </row>
    <row r="14" spans="1:30" ht="15.75" customHeight="1">
      <c r="A14" s="12">
        <v>9</v>
      </c>
      <c r="B14" s="12" t="s">
        <v>30</v>
      </c>
      <c r="C14" s="13" t="s">
        <v>31</v>
      </c>
      <c r="D14" s="14"/>
      <c r="E14" s="14"/>
      <c r="F14" s="14"/>
      <c r="G14" s="14"/>
      <c r="H14" s="14" t="s">
        <v>14</v>
      </c>
      <c r="I14" s="14"/>
      <c r="J14" s="14"/>
      <c r="K14" s="14"/>
      <c r="L14" s="14" t="s">
        <v>14</v>
      </c>
      <c r="M14" s="14" t="s">
        <v>14</v>
      </c>
      <c r="N14" s="14" t="s">
        <v>14</v>
      </c>
      <c r="O14" s="14" t="s">
        <v>14</v>
      </c>
      <c r="P14" s="14"/>
      <c r="Q14" s="14"/>
      <c r="R14" s="14"/>
      <c r="S14" s="14"/>
      <c r="T14" s="15"/>
      <c r="U14" s="14"/>
      <c r="V14" s="15"/>
      <c r="W14" s="15"/>
      <c r="X14" s="15"/>
      <c r="Y14" s="15"/>
      <c r="Z14" s="16">
        <f t="shared" si="0"/>
        <v>5</v>
      </c>
      <c r="AA14" s="16">
        <f t="shared" si="1"/>
        <v>0</v>
      </c>
      <c r="AB14" s="16">
        <f t="shared" si="2"/>
        <v>5</v>
      </c>
      <c r="AC14" s="17"/>
      <c r="AD14" s="17">
        <f t="shared" si="3"/>
        <v>100</v>
      </c>
    </row>
    <row r="15" spans="1:30" ht="15.75" customHeight="1">
      <c r="A15" s="12">
        <v>10</v>
      </c>
      <c r="B15" s="12" t="s">
        <v>32</v>
      </c>
      <c r="C15" s="13" t="s">
        <v>33</v>
      </c>
      <c r="D15" s="14"/>
      <c r="E15" s="14"/>
      <c r="F15" s="14"/>
      <c r="G15" s="14"/>
      <c r="H15" s="14" t="s">
        <v>14</v>
      </c>
      <c r="I15" s="14"/>
      <c r="J15" s="14"/>
      <c r="K15" s="14"/>
      <c r="L15" s="14" t="s">
        <v>15</v>
      </c>
      <c r="M15" s="14" t="s">
        <v>15</v>
      </c>
      <c r="N15" s="14" t="s">
        <v>14</v>
      </c>
      <c r="O15" s="14" t="s">
        <v>14</v>
      </c>
      <c r="P15" s="14"/>
      <c r="Q15" s="14"/>
      <c r="R15" s="14"/>
      <c r="S15" s="14"/>
      <c r="T15" s="15"/>
      <c r="U15" s="14"/>
      <c r="V15" s="15"/>
      <c r="W15" s="15"/>
      <c r="X15" s="15"/>
      <c r="Y15" s="15"/>
      <c r="Z15" s="16">
        <f t="shared" si="0"/>
        <v>3</v>
      </c>
      <c r="AA15" s="16">
        <f t="shared" si="1"/>
        <v>2</v>
      </c>
      <c r="AB15" s="16">
        <f t="shared" si="2"/>
        <v>5</v>
      </c>
      <c r="AC15" s="17"/>
      <c r="AD15" s="17">
        <f t="shared" si="3"/>
        <v>60</v>
      </c>
    </row>
    <row r="16" spans="1:30" ht="15.75" customHeight="1">
      <c r="A16" s="12">
        <v>11</v>
      </c>
      <c r="B16" s="12" t="s">
        <v>34</v>
      </c>
      <c r="C16" s="13" t="s">
        <v>35</v>
      </c>
      <c r="D16" s="14"/>
      <c r="E16" s="14"/>
      <c r="F16" s="14"/>
      <c r="G16" s="14"/>
      <c r="H16" s="14" t="s">
        <v>14</v>
      </c>
      <c r="I16" s="14"/>
      <c r="J16" s="14"/>
      <c r="K16" s="14"/>
      <c r="L16" s="14" t="s">
        <v>15</v>
      </c>
      <c r="M16" s="14" t="s">
        <v>14</v>
      </c>
      <c r="N16" s="14" t="s">
        <v>14</v>
      </c>
      <c r="O16" s="14" t="s">
        <v>14</v>
      </c>
      <c r="P16" s="14"/>
      <c r="Q16" s="14"/>
      <c r="R16" s="14"/>
      <c r="S16" s="14"/>
      <c r="T16" s="15"/>
      <c r="U16" s="14"/>
      <c r="V16" s="15"/>
      <c r="W16" s="15"/>
      <c r="X16" s="15"/>
      <c r="Y16" s="15"/>
      <c r="Z16" s="16">
        <f t="shared" si="0"/>
        <v>4</v>
      </c>
      <c r="AA16" s="16">
        <f t="shared" si="1"/>
        <v>1</v>
      </c>
      <c r="AB16" s="16">
        <f t="shared" si="2"/>
        <v>5</v>
      </c>
      <c r="AC16" s="17"/>
      <c r="AD16" s="17">
        <f t="shared" si="3"/>
        <v>80</v>
      </c>
    </row>
    <row r="17" spans="1:30" ht="15.75" customHeight="1">
      <c r="A17" s="12">
        <v>12</v>
      </c>
      <c r="B17" s="12" t="s">
        <v>36</v>
      </c>
      <c r="C17" s="13" t="s">
        <v>37</v>
      </c>
      <c r="D17" s="14"/>
      <c r="E17" s="14"/>
      <c r="F17" s="14"/>
      <c r="G17" s="14"/>
      <c r="H17" s="14" t="s">
        <v>14</v>
      </c>
      <c r="I17" s="14"/>
      <c r="J17" s="14"/>
      <c r="K17" s="14"/>
      <c r="L17" s="14" t="s">
        <v>14</v>
      </c>
      <c r="M17" s="14" t="s">
        <v>15</v>
      </c>
      <c r="N17" s="14" t="s">
        <v>14</v>
      </c>
      <c r="O17" s="14" t="s">
        <v>14</v>
      </c>
      <c r="P17" s="14"/>
      <c r="Q17" s="14"/>
      <c r="R17" s="14"/>
      <c r="S17" s="14"/>
      <c r="T17" s="15"/>
      <c r="U17" s="14"/>
      <c r="V17" s="15"/>
      <c r="W17" s="15"/>
      <c r="X17" s="15"/>
      <c r="Y17" s="15"/>
      <c r="Z17" s="16">
        <f t="shared" si="0"/>
        <v>4</v>
      </c>
      <c r="AA17" s="16">
        <f t="shared" si="1"/>
        <v>1</v>
      </c>
      <c r="AB17" s="16">
        <f t="shared" si="2"/>
        <v>5</v>
      </c>
      <c r="AC17" s="17"/>
      <c r="AD17" s="17">
        <f t="shared" si="3"/>
        <v>80</v>
      </c>
    </row>
    <row r="18" spans="1:30" ht="15.75" customHeight="1">
      <c r="A18" s="12">
        <v>13</v>
      </c>
      <c r="B18" s="12" t="s">
        <v>38</v>
      </c>
      <c r="C18" s="13" t="s">
        <v>39</v>
      </c>
      <c r="D18" s="14"/>
      <c r="E18" s="14"/>
      <c r="F18" s="14"/>
      <c r="G18" s="14"/>
      <c r="H18" s="14" t="s">
        <v>14</v>
      </c>
      <c r="I18" s="14"/>
      <c r="J18" s="14"/>
      <c r="K18" s="14"/>
      <c r="L18" s="14" t="s">
        <v>15</v>
      </c>
      <c r="M18" s="14" t="s">
        <v>15</v>
      </c>
      <c r="N18" s="14" t="s">
        <v>15</v>
      </c>
      <c r="O18" s="14" t="s">
        <v>15</v>
      </c>
      <c r="P18" s="14"/>
      <c r="Q18" s="14"/>
      <c r="R18" s="14"/>
      <c r="S18" s="14"/>
      <c r="T18" s="15"/>
      <c r="U18" s="14"/>
      <c r="V18" s="15"/>
      <c r="W18" s="15"/>
      <c r="X18" s="15"/>
      <c r="Y18" s="15"/>
      <c r="Z18" s="16">
        <f t="shared" si="0"/>
        <v>1</v>
      </c>
      <c r="AA18" s="16">
        <f t="shared" si="1"/>
        <v>4</v>
      </c>
      <c r="AB18" s="16">
        <f t="shared" si="2"/>
        <v>5</v>
      </c>
      <c r="AC18" s="17"/>
      <c r="AD18" s="17">
        <f t="shared" si="3"/>
        <v>20</v>
      </c>
    </row>
    <row r="19" spans="1:30" ht="15.75" customHeight="1">
      <c r="A19" s="12">
        <v>14</v>
      </c>
      <c r="B19" s="12" t="s">
        <v>40</v>
      </c>
      <c r="C19" s="13" t="s">
        <v>41</v>
      </c>
      <c r="D19" s="14"/>
      <c r="E19" s="14"/>
      <c r="F19" s="14"/>
      <c r="G19" s="14"/>
      <c r="H19" s="14" t="s">
        <v>14</v>
      </c>
      <c r="I19" s="14"/>
      <c r="J19" s="14"/>
      <c r="K19" s="14"/>
      <c r="L19" s="14" t="s">
        <v>14</v>
      </c>
      <c r="M19" s="14" t="s">
        <v>14</v>
      </c>
      <c r="N19" s="14" t="s">
        <v>14</v>
      </c>
      <c r="O19" s="14" t="s">
        <v>14</v>
      </c>
      <c r="P19" s="14"/>
      <c r="Q19" s="14"/>
      <c r="R19" s="14"/>
      <c r="S19" s="14"/>
      <c r="T19" s="15"/>
      <c r="U19" s="14"/>
      <c r="V19" s="15"/>
      <c r="W19" s="15"/>
      <c r="X19" s="15"/>
      <c r="Y19" s="15"/>
      <c r="Z19" s="16">
        <f t="shared" si="0"/>
        <v>5</v>
      </c>
      <c r="AA19" s="16">
        <f t="shared" si="1"/>
        <v>0</v>
      </c>
      <c r="AB19" s="16">
        <f t="shared" si="2"/>
        <v>5</v>
      </c>
      <c r="AC19" s="17"/>
      <c r="AD19" s="17">
        <f t="shared" si="3"/>
        <v>100</v>
      </c>
    </row>
    <row r="20" spans="1:30" ht="15.75" customHeight="1">
      <c r="A20" s="12">
        <v>15</v>
      </c>
      <c r="B20" s="12" t="s">
        <v>42</v>
      </c>
      <c r="C20" s="13" t="s">
        <v>43</v>
      </c>
      <c r="D20" s="14"/>
      <c r="E20" s="14"/>
      <c r="F20" s="14"/>
      <c r="G20" s="14"/>
      <c r="H20" s="14" t="s">
        <v>14</v>
      </c>
      <c r="I20" s="14"/>
      <c r="J20" s="14"/>
      <c r="K20" s="14"/>
      <c r="L20" s="14" t="s">
        <v>14</v>
      </c>
      <c r="M20" s="14" t="s">
        <v>14</v>
      </c>
      <c r="N20" s="14" t="s">
        <v>14</v>
      </c>
      <c r="O20" s="14" t="s">
        <v>14</v>
      </c>
      <c r="P20" s="14"/>
      <c r="Q20" s="14"/>
      <c r="R20" s="14"/>
      <c r="S20" s="14"/>
      <c r="T20" s="15"/>
      <c r="U20" s="14"/>
      <c r="V20" s="15"/>
      <c r="W20" s="15"/>
      <c r="X20" s="15"/>
      <c r="Y20" s="15"/>
      <c r="Z20" s="16">
        <f t="shared" si="0"/>
        <v>5</v>
      </c>
      <c r="AA20" s="16">
        <f t="shared" si="1"/>
        <v>0</v>
      </c>
      <c r="AB20" s="16">
        <f t="shared" si="2"/>
        <v>5</v>
      </c>
      <c r="AC20" s="17"/>
      <c r="AD20" s="17">
        <f t="shared" si="3"/>
        <v>100</v>
      </c>
    </row>
    <row r="21" spans="1:30" ht="15.75" customHeight="1">
      <c r="A21" s="12">
        <v>16</v>
      </c>
      <c r="B21" s="12" t="s">
        <v>44</v>
      </c>
      <c r="C21" s="13" t="s">
        <v>45</v>
      </c>
      <c r="D21" s="14"/>
      <c r="E21" s="14"/>
      <c r="F21" s="14"/>
      <c r="G21" s="14"/>
      <c r="H21" s="14" t="s">
        <v>14</v>
      </c>
      <c r="I21" s="14"/>
      <c r="J21" s="14"/>
      <c r="K21" s="14"/>
      <c r="L21" s="14" t="s">
        <v>15</v>
      </c>
      <c r="M21" s="14" t="s">
        <v>15</v>
      </c>
      <c r="N21" s="14" t="s">
        <v>15</v>
      </c>
      <c r="O21" s="14" t="s">
        <v>14</v>
      </c>
      <c r="P21" s="14"/>
      <c r="Q21" s="14"/>
      <c r="R21" s="14"/>
      <c r="S21" s="14"/>
      <c r="T21" s="15"/>
      <c r="U21" s="14"/>
      <c r="V21" s="15"/>
      <c r="W21" s="15"/>
      <c r="X21" s="15"/>
      <c r="Y21" s="15"/>
      <c r="Z21" s="16">
        <f t="shared" si="0"/>
        <v>2</v>
      </c>
      <c r="AA21" s="16">
        <f t="shared" si="1"/>
        <v>3</v>
      </c>
      <c r="AB21" s="16">
        <f t="shared" si="2"/>
        <v>5</v>
      </c>
      <c r="AC21" s="17"/>
      <c r="AD21" s="17">
        <f t="shared" si="3"/>
        <v>40</v>
      </c>
    </row>
    <row r="22" spans="1:30" ht="15.75" customHeight="1">
      <c r="A22" s="12">
        <v>17</v>
      </c>
      <c r="B22" s="12" t="s">
        <v>46</v>
      </c>
      <c r="C22" s="13" t="s">
        <v>47</v>
      </c>
      <c r="D22" s="14"/>
      <c r="E22" s="14"/>
      <c r="F22" s="14"/>
      <c r="G22" s="14"/>
      <c r="H22" s="14" t="s">
        <v>14</v>
      </c>
      <c r="I22" s="14"/>
      <c r="J22" s="14"/>
      <c r="K22" s="14"/>
      <c r="L22" s="14" t="s">
        <v>14</v>
      </c>
      <c r="M22" s="14" t="s">
        <v>14</v>
      </c>
      <c r="N22" s="14" t="s">
        <v>15</v>
      </c>
      <c r="O22" s="14" t="s">
        <v>14</v>
      </c>
      <c r="P22" s="14"/>
      <c r="Q22" s="14"/>
      <c r="R22" s="14"/>
      <c r="S22" s="14"/>
      <c r="T22" s="15"/>
      <c r="U22" s="14"/>
      <c r="V22" s="15"/>
      <c r="W22" s="15"/>
      <c r="X22" s="15"/>
      <c r="Y22" s="15"/>
      <c r="Z22" s="16">
        <f t="shared" si="0"/>
        <v>4</v>
      </c>
      <c r="AA22" s="16">
        <f t="shared" si="1"/>
        <v>1</v>
      </c>
      <c r="AB22" s="16">
        <f t="shared" si="2"/>
        <v>5</v>
      </c>
      <c r="AC22" s="17"/>
      <c r="AD22" s="17">
        <f t="shared" si="3"/>
        <v>80</v>
      </c>
    </row>
    <row r="23" spans="1:30" ht="15.75" customHeight="1">
      <c r="A23" s="12">
        <v>18</v>
      </c>
      <c r="B23" s="12" t="s">
        <v>48</v>
      </c>
      <c r="C23" s="13" t="s">
        <v>49</v>
      </c>
      <c r="D23" s="14"/>
      <c r="E23" s="14"/>
      <c r="F23" s="14"/>
      <c r="G23" s="14"/>
      <c r="H23" s="14" t="s">
        <v>14</v>
      </c>
      <c r="I23" s="14"/>
      <c r="J23" s="14"/>
      <c r="K23" s="14"/>
      <c r="L23" s="14" t="s">
        <v>14</v>
      </c>
      <c r="M23" s="14" t="s">
        <v>14</v>
      </c>
      <c r="N23" s="14" t="s">
        <v>14</v>
      </c>
      <c r="O23" s="14" t="s">
        <v>15</v>
      </c>
      <c r="P23" s="14"/>
      <c r="Q23" s="14"/>
      <c r="R23" s="14"/>
      <c r="S23" s="14"/>
      <c r="T23" s="15"/>
      <c r="U23" s="14"/>
      <c r="V23" s="15"/>
      <c r="W23" s="15"/>
      <c r="X23" s="15"/>
      <c r="Y23" s="15"/>
      <c r="Z23" s="16">
        <f t="shared" si="0"/>
        <v>4</v>
      </c>
      <c r="AA23" s="16">
        <f t="shared" si="1"/>
        <v>1</v>
      </c>
      <c r="AB23" s="16">
        <f t="shared" si="2"/>
        <v>5</v>
      </c>
      <c r="AC23" s="17"/>
      <c r="AD23" s="17">
        <f t="shared" si="3"/>
        <v>80</v>
      </c>
    </row>
    <row r="24" spans="1:30" ht="15.75" customHeight="1">
      <c r="A24" s="12">
        <v>19</v>
      </c>
      <c r="B24" s="12" t="s">
        <v>50</v>
      </c>
      <c r="C24" s="13" t="s">
        <v>51</v>
      </c>
      <c r="D24" s="14"/>
      <c r="E24" s="14"/>
      <c r="F24" s="14"/>
      <c r="G24" s="14"/>
      <c r="H24" s="14" t="s">
        <v>14</v>
      </c>
      <c r="I24" s="14"/>
      <c r="J24" s="14"/>
      <c r="K24" s="14"/>
      <c r="L24" s="14" t="s">
        <v>15</v>
      </c>
      <c r="M24" s="14" t="s">
        <v>14</v>
      </c>
      <c r="N24" s="14" t="s">
        <v>14</v>
      </c>
      <c r="O24" s="14" t="s">
        <v>14</v>
      </c>
      <c r="P24" s="14"/>
      <c r="Q24" s="14"/>
      <c r="R24" s="14"/>
      <c r="S24" s="14"/>
      <c r="T24" s="15"/>
      <c r="U24" s="14"/>
      <c r="V24" s="15"/>
      <c r="W24" s="15"/>
      <c r="X24" s="15"/>
      <c r="Y24" s="15"/>
      <c r="Z24" s="16">
        <f t="shared" si="0"/>
        <v>4</v>
      </c>
      <c r="AA24" s="16">
        <f t="shared" si="1"/>
        <v>1</v>
      </c>
      <c r="AB24" s="16">
        <f t="shared" si="2"/>
        <v>5</v>
      </c>
      <c r="AC24" s="17"/>
      <c r="AD24" s="17">
        <f t="shared" si="3"/>
        <v>80</v>
      </c>
    </row>
    <row r="25" spans="1:30" ht="15.75" customHeight="1">
      <c r="A25" s="12">
        <v>20</v>
      </c>
      <c r="B25" s="12" t="s">
        <v>52</v>
      </c>
      <c r="C25" s="13" t="s">
        <v>53</v>
      </c>
      <c r="D25" s="14"/>
      <c r="E25" s="14"/>
      <c r="F25" s="14"/>
      <c r="G25" s="14"/>
      <c r="H25" s="14" t="s">
        <v>14</v>
      </c>
      <c r="I25" s="14"/>
      <c r="J25" s="14"/>
      <c r="K25" s="14"/>
      <c r="L25" s="14" t="s">
        <v>15</v>
      </c>
      <c r="M25" s="14" t="s">
        <v>15</v>
      </c>
      <c r="N25" s="14" t="s">
        <v>14</v>
      </c>
      <c r="O25" s="14" t="s">
        <v>14</v>
      </c>
      <c r="P25" s="14"/>
      <c r="Q25" s="14"/>
      <c r="R25" s="14"/>
      <c r="S25" s="14"/>
      <c r="T25" s="15"/>
      <c r="U25" s="14"/>
      <c r="V25" s="15"/>
      <c r="W25" s="15"/>
      <c r="X25" s="15"/>
      <c r="Y25" s="15"/>
      <c r="Z25" s="16">
        <f t="shared" si="0"/>
        <v>3</v>
      </c>
      <c r="AA25" s="16">
        <f t="shared" si="1"/>
        <v>2</v>
      </c>
      <c r="AB25" s="16">
        <f t="shared" si="2"/>
        <v>5</v>
      </c>
      <c r="AC25" s="17"/>
      <c r="AD25" s="17">
        <f t="shared" si="3"/>
        <v>60</v>
      </c>
    </row>
    <row r="26" spans="1:30" ht="15.75" customHeight="1">
      <c r="A26" s="12">
        <v>21</v>
      </c>
      <c r="B26" s="12" t="s">
        <v>54</v>
      </c>
      <c r="C26" s="13" t="s">
        <v>55</v>
      </c>
      <c r="D26" s="14"/>
      <c r="E26" s="14"/>
      <c r="F26" s="14"/>
      <c r="G26" s="14"/>
      <c r="H26" s="14" t="s">
        <v>14</v>
      </c>
      <c r="I26" s="14"/>
      <c r="J26" s="14"/>
      <c r="K26" s="14"/>
      <c r="L26" s="14" t="s">
        <v>14</v>
      </c>
      <c r="M26" s="14" t="s">
        <v>14</v>
      </c>
      <c r="N26" s="14" t="s">
        <v>14</v>
      </c>
      <c r="O26" s="14" t="s">
        <v>14</v>
      </c>
      <c r="P26" s="14"/>
      <c r="Q26" s="14"/>
      <c r="R26" s="14"/>
      <c r="S26" s="14"/>
      <c r="T26" s="15"/>
      <c r="U26" s="14"/>
      <c r="V26" s="15"/>
      <c r="W26" s="15"/>
      <c r="X26" s="15"/>
      <c r="Y26" s="15"/>
      <c r="Z26" s="16">
        <f t="shared" si="0"/>
        <v>5</v>
      </c>
      <c r="AA26" s="16">
        <f t="shared" si="1"/>
        <v>0</v>
      </c>
      <c r="AB26" s="16">
        <f t="shared" si="2"/>
        <v>5</v>
      </c>
      <c r="AC26" s="17"/>
      <c r="AD26" s="17">
        <f t="shared" si="3"/>
        <v>100</v>
      </c>
    </row>
    <row r="27" spans="1:30" ht="15.75" customHeight="1">
      <c r="A27" s="12">
        <v>22</v>
      </c>
      <c r="B27" s="12" t="s">
        <v>56</v>
      </c>
      <c r="C27" s="13" t="s">
        <v>57</v>
      </c>
      <c r="D27" s="14"/>
      <c r="E27" s="14"/>
      <c r="F27" s="14"/>
      <c r="G27" s="14"/>
      <c r="H27" s="14" t="s">
        <v>14</v>
      </c>
      <c r="I27" s="14"/>
      <c r="J27" s="14"/>
      <c r="K27" s="14"/>
      <c r="L27" s="14" t="s">
        <v>14</v>
      </c>
      <c r="M27" s="14" t="s">
        <v>14</v>
      </c>
      <c r="N27" s="14" t="s">
        <v>14</v>
      </c>
      <c r="O27" s="14" t="s">
        <v>14</v>
      </c>
      <c r="P27" s="14"/>
      <c r="Q27" s="14"/>
      <c r="R27" s="14"/>
      <c r="S27" s="14"/>
      <c r="T27" s="15"/>
      <c r="U27" s="14"/>
      <c r="V27" s="15"/>
      <c r="W27" s="15"/>
      <c r="X27" s="15"/>
      <c r="Y27" s="15"/>
      <c r="Z27" s="16">
        <f t="shared" si="0"/>
        <v>5</v>
      </c>
      <c r="AA27" s="16">
        <f t="shared" si="1"/>
        <v>0</v>
      </c>
      <c r="AB27" s="16">
        <f t="shared" si="2"/>
        <v>5</v>
      </c>
      <c r="AC27" s="17"/>
      <c r="AD27" s="17">
        <f t="shared" si="3"/>
        <v>100</v>
      </c>
    </row>
    <row r="28" spans="1:30" ht="15.75" customHeight="1">
      <c r="A28" s="12">
        <v>23</v>
      </c>
      <c r="B28" s="12" t="s">
        <v>58</v>
      </c>
      <c r="C28" s="13" t="s">
        <v>59</v>
      </c>
      <c r="D28" s="14"/>
      <c r="E28" s="14"/>
      <c r="F28" s="14"/>
      <c r="G28" s="14"/>
      <c r="H28" s="14" t="s">
        <v>14</v>
      </c>
      <c r="I28" s="14"/>
      <c r="J28" s="14"/>
      <c r="K28" s="14"/>
      <c r="L28" s="14" t="s">
        <v>15</v>
      </c>
      <c r="M28" s="14" t="s">
        <v>15</v>
      </c>
      <c r="N28" s="14" t="s">
        <v>15</v>
      </c>
      <c r="O28" s="14" t="s">
        <v>15</v>
      </c>
      <c r="P28" s="14"/>
      <c r="Q28" s="14"/>
      <c r="R28" s="14"/>
      <c r="S28" s="14"/>
      <c r="T28" s="15"/>
      <c r="U28" s="14"/>
      <c r="V28" s="15"/>
      <c r="W28" s="15"/>
      <c r="X28" s="15"/>
      <c r="Y28" s="15"/>
      <c r="Z28" s="16">
        <f t="shared" si="0"/>
        <v>1</v>
      </c>
      <c r="AA28" s="16">
        <f t="shared" si="1"/>
        <v>4</v>
      </c>
      <c r="AB28" s="16">
        <f t="shared" si="2"/>
        <v>5</v>
      </c>
      <c r="AC28" s="17"/>
      <c r="AD28" s="17">
        <f t="shared" si="3"/>
        <v>20</v>
      </c>
    </row>
    <row r="29" spans="1:30" ht="15.75" customHeight="1">
      <c r="A29" s="12">
        <v>24</v>
      </c>
      <c r="B29" s="12" t="s">
        <v>60</v>
      </c>
      <c r="C29" s="13" t="s">
        <v>61</v>
      </c>
      <c r="D29" s="14"/>
      <c r="E29" s="14"/>
      <c r="F29" s="14"/>
      <c r="G29" s="14"/>
      <c r="H29" s="14" t="s">
        <v>14</v>
      </c>
      <c r="I29" s="14"/>
      <c r="J29" s="14"/>
      <c r="K29" s="14"/>
      <c r="L29" s="14" t="s">
        <v>14</v>
      </c>
      <c r="M29" s="14" t="s">
        <v>15</v>
      </c>
      <c r="N29" s="14" t="s">
        <v>15</v>
      </c>
      <c r="O29" s="14" t="s">
        <v>15</v>
      </c>
      <c r="P29" s="14"/>
      <c r="Q29" s="14"/>
      <c r="R29" s="14"/>
      <c r="S29" s="14"/>
      <c r="T29" s="15"/>
      <c r="U29" s="14"/>
      <c r="V29" s="15"/>
      <c r="W29" s="15"/>
      <c r="X29" s="15"/>
      <c r="Y29" s="15"/>
      <c r="Z29" s="16">
        <f t="shared" si="0"/>
        <v>2</v>
      </c>
      <c r="AA29" s="16">
        <f t="shared" si="1"/>
        <v>3</v>
      </c>
      <c r="AB29" s="16">
        <f t="shared" si="2"/>
        <v>5</v>
      </c>
      <c r="AC29" s="17"/>
      <c r="AD29" s="17">
        <f t="shared" si="3"/>
        <v>40</v>
      </c>
    </row>
    <row r="30" spans="1:30" ht="15.75" customHeight="1">
      <c r="A30" s="12">
        <v>25</v>
      </c>
      <c r="B30" s="12" t="s">
        <v>62</v>
      </c>
      <c r="C30" s="13" t="s">
        <v>63</v>
      </c>
      <c r="D30" s="14"/>
      <c r="E30" s="14"/>
      <c r="F30" s="14"/>
      <c r="G30" s="14"/>
      <c r="H30" s="14" t="s">
        <v>14</v>
      </c>
      <c r="I30" s="14"/>
      <c r="J30" s="14"/>
      <c r="K30" s="14"/>
      <c r="L30" s="14" t="s">
        <v>14</v>
      </c>
      <c r="M30" s="14" t="s">
        <v>14</v>
      </c>
      <c r="N30" s="14" t="s">
        <v>14</v>
      </c>
      <c r="O30" s="14" t="s">
        <v>14</v>
      </c>
      <c r="P30" s="14"/>
      <c r="Q30" s="14"/>
      <c r="R30" s="14"/>
      <c r="S30" s="14"/>
      <c r="T30" s="15"/>
      <c r="U30" s="14"/>
      <c r="V30" s="15"/>
      <c r="W30" s="15"/>
      <c r="X30" s="15"/>
      <c r="Y30" s="15"/>
      <c r="Z30" s="16">
        <f t="shared" si="0"/>
        <v>5</v>
      </c>
      <c r="AA30" s="16">
        <f t="shared" si="1"/>
        <v>0</v>
      </c>
      <c r="AB30" s="16">
        <f t="shared" si="2"/>
        <v>5</v>
      </c>
      <c r="AC30" s="17"/>
      <c r="AD30" s="17">
        <f t="shared" si="3"/>
        <v>100</v>
      </c>
    </row>
    <row r="31" spans="1:30" ht="15.75" customHeight="1">
      <c r="A31" s="12">
        <v>26</v>
      </c>
      <c r="B31" s="12" t="s">
        <v>64</v>
      </c>
      <c r="C31" s="13" t="s">
        <v>65</v>
      </c>
      <c r="D31" s="14"/>
      <c r="E31" s="14"/>
      <c r="F31" s="14"/>
      <c r="G31" s="14"/>
      <c r="H31" s="14" t="s">
        <v>14</v>
      </c>
      <c r="I31" s="14"/>
      <c r="J31" s="14"/>
      <c r="K31" s="14"/>
      <c r="L31" s="14" t="s">
        <v>15</v>
      </c>
      <c r="M31" s="14" t="s">
        <v>14</v>
      </c>
      <c r="N31" s="14" t="s">
        <v>14</v>
      </c>
      <c r="O31" s="14" t="s">
        <v>14</v>
      </c>
      <c r="P31" s="14"/>
      <c r="Q31" s="14"/>
      <c r="R31" s="14"/>
      <c r="S31" s="14"/>
      <c r="T31" s="15"/>
      <c r="U31" s="14"/>
      <c r="V31" s="15"/>
      <c r="W31" s="15"/>
      <c r="X31" s="15"/>
      <c r="Y31" s="15"/>
      <c r="Z31" s="16">
        <f t="shared" si="0"/>
        <v>4</v>
      </c>
      <c r="AA31" s="16">
        <f t="shared" si="1"/>
        <v>1</v>
      </c>
      <c r="AB31" s="16">
        <f t="shared" si="2"/>
        <v>5</v>
      </c>
      <c r="AC31" s="17"/>
      <c r="AD31" s="17">
        <f t="shared" si="3"/>
        <v>80</v>
      </c>
    </row>
    <row r="32" spans="1:30" ht="15.75" customHeight="1">
      <c r="A32" s="12">
        <v>27</v>
      </c>
      <c r="B32" s="12" t="s">
        <v>66</v>
      </c>
      <c r="C32" s="13" t="s">
        <v>67</v>
      </c>
      <c r="D32" s="14"/>
      <c r="E32" s="14"/>
      <c r="F32" s="14"/>
      <c r="G32" s="14"/>
      <c r="H32" s="14" t="s">
        <v>14</v>
      </c>
      <c r="I32" s="14"/>
      <c r="J32" s="14"/>
      <c r="K32" s="14"/>
      <c r="L32" s="14" t="s">
        <v>15</v>
      </c>
      <c r="M32" s="14" t="s">
        <v>14</v>
      </c>
      <c r="N32" s="14" t="s">
        <v>14</v>
      </c>
      <c r="O32" s="14" t="s">
        <v>14</v>
      </c>
      <c r="P32" s="14"/>
      <c r="Q32" s="14"/>
      <c r="R32" s="14"/>
      <c r="S32" s="14"/>
      <c r="T32" s="15"/>
      <c r="U32" s="14"/>
      <c r="V32" s="15"/>
      <c r="W32" s="15"/>
      <c r="X32" s="15"/>
      <c r="Y32" s="15"/>
      <c r="Z32" s="16">
        <f t="shared" si="0"/>
        <v>4</v>
      </c>
      <c r="AA32" s="16">
        <f t="shared" si="1"/>
        <v>1</v>
      </c>
      <c r="AB32" s="16">
        <f t="shared" si="2"/>
        <v>5</v>
      </c>
      <c r="AC32" s="17"/>
      <c r="AD32" s="17">
        <f t="shared" si="3"/>
        <v>80</v>
      </c>
    </row>
    <row r="33" spans="1:30" ht="15.75" customHeight="1">
      <c r="A33" s="12">
        <v>28</v>
      </c>
      <c r="B33" s="12" t="s">
        <v>68</v>
      </c>
      <c r="C33" s="13" t="s">
        <v>69</v>
      </c>
      <c r="D33" s="14"/>
      <c r="E33" s="14"/>
      <c r="F33" s="14"/>
      <c r="G33" s="14"/>
      <c r="H33" s="14" t="s">
        <v>14</v>
      </c>
      <c r="I33" s="14"/>
      <c r="J33" s="14"/>
      <c r="K33" s="14"/>
      <c r="L33" s="14" t="s">
        <v>15</v>
      </c>
      <c r="M33" s="14" t="s">
        <v>14</v>
      </c>
      <c r="N33" s="14" t="s">
        <v>14</v>
      </c>
      <c r="O33" s="14" t="s">
        <v>14</v>
      </c>
      <c r="P33" s="14"/>
      <c r="Q33" s="14"/>
      <c r="R33" s="14"/>
      <c r="S33" s="14"/>
      <c r="T33" s="15"/>
      <c r="U33" s="14"/>
      <c r="V33" s="15"/>
      <c r="W33" s="15"/>
      <c r="X33" s="15"/>
      <c r="Y33" s="15"/>
      <c r="Z33" s="16">
        <f t="shared" si="0"/>
        <v>4</v>
      </c>
      <c r="AA33" s="16">
        <f t="shared" si="1"/>
        <v>1</v>
      </c>
      <c r="AB33" s="16">
        <f t="shared" si="2"/>
        <v>5</v>
      </c>
      <c r="AC33" s="17"/>
      <c r="AD33" s="17">
        <f t="shared" si="3"/>
        <v>80</v>
      </c>
    </row>
    <row r="34" spans="1:30" ht="15.75" customHeight="1">
      <c r="A34" s="12">
        <v>29</v>
      </c>
      <c r="B34" s="12" t="s">
        <v>70</v>
      </c>
      <c r="C34" s="13" t="s">
        <v>71</v>
      </c>
      <c r="D34" s="14"/>
      <c r="E34" s="14"/>
      <c r="F34" s="14"/>
      <c r="G34" s="14"/>
      <c r="H34" s="14" t="s">
        <v>14</v>
      </c>
      <c r="I34" s="14"/>
      <c r="J34" s="14"/>
      <c r="K34" s="14"/>
      <c r="L34" s="14" t="s">
        <v>14</v>
      </c>
      <c r="M34" s="14" t="s">
        <v>14</v>
      </c>
      <c r="N34" s="14" t="s">
        <v>14</v>
      </c>
      <c r="O34" s="14" t="s">
        <v>14</v>
      </c>
      <c r="P34" s="14"/>
      <c r="Q34" s="14"/>
      <c r="R34" s="14"/>
      <c r="S34" s="14"/>
      <c r="T34" s="15"/>
      <c r="U34" s="14"/>
      <c r="V34" s="15"/>
      <c r="W34" s="15"/>
      <c r="X34" s="15"/>
      <c r="Y34" s="15"/>
      <c r="Z34" s="16">
        <f t="shared" si="0"/>
        <v>5</v>
      </c>
      <c r="AA34" s="16">
        <f t="shared" si="1"/>
        <v>0</v>
      </c>
      <c r="AB34" s="16">
        <f t="shared" si="2"/>
        <v>5</v>
      </c>
      <c r="AC34" s="17"/>
      <c r="AD34" s="17">
        <f t="shared" si="3"/>
        <v>100</v>
      </c>
    </row>
    <row r="35" spans="1:30" ht="15.75" customHeight="1">
      <c r="A35" s="12">
        <v>30</v>
      </c>
      <c r="B35" s="12" t="s">
        <v>72</v>
      </c>
      <c r="C35" s="13" t="s">
        <v>73</v>
      </c>
      <c r="D35" s="14"/>
      <c r="E35" s="14"/>
      <c r="F35" s="14"/>
      <c r="G35" s="14"/>
      <c r="H35" s="14" t="s">
        <v>14</v>
      </c>
      <c r="I35" s="14"/>
      <c r="J35" s="14"/>
      <c r="K35" s="14"/>
      <c r="L35" s="14" t="s">
        <v>15</v>
      </c>
      <c r="M35" s="14" t="s">
        <v>14</v>
      </c>
      <c r="N35" s="14" t="s">
        <v>14</v>
      </c>
      <c r="O35" s="14" t="s">
        <v>14</v>
      </c>
      <c r="P35" s="14"/>
      <c r="Q35" s="14"/>
      <c r="R35" s="14"/>
      <c r="S35" s="14"/>
      <c r="T35" s="15"/>
      <c r="U35" s="14"/>
      <c r="V35" s="15"/>
      <c r="W35" s="15"/>
      <c r="X35" s="15"/>
      <c r="Y35" s="15"/>
      <c r="Z35" s="16">
        <f t="shared" si="0"/>
        <v>4</v>
      </c>
      <c r="AA35" s="16">
        <f t="shared" si="1"/>
        <v>1</v>
      </c>
      <c r="AB35" s="16">
        <f t="shared" si="2"/>
        <v>5</v>
      </c>
      <c r="AC35" s="17"/>
      <c r="AD35" s="17">
        <f t="shared" si="3"/>
        <v>80</v>
      </c>
    </row>
    <row r="36" spans="1:30" ht="15.75" customHeight="1">
      <c r="A36" s="12">
        <v>31</v>
      </c>
      <c r="B36" s="12" t="s">
        <v>74</v>
      </c>
      <c r="C36" s="13" t="s">
        <v>75</v>
      </c>
      <c r="D36" s="14"/>
      <c r="E36" s="14"/>
      <c r="F36" s="14"/>
      <c r="G36" s="14"/>
      <c r="H36" s="14" t="s">
        <v>14</v>
      </c>
      <c r="I36" s="14"/>
      <c r="J36" s="14"/>
      <c r="K36" s="14"/>
      <c r="L36" s="14" t="s">
        <v>14</v>
      </c>
      <c r="M36" s="14" t="s">
        <v>14</v>
      </c>
      <c r="N36" s="14" t="s">
        <v>15</v>
      </c>
      <c r="O36" s="14" t="s">
        <v>14</v>
      </c>
      <c r="P36" s="14"/>
      <c r="Q36" s="14"/>
      <c r="R36" s="14"/>
      <c r="S36" s="14"/>
      <c r="T36" s="15"/>
      <c r="U36" s="14"/>
      <c r="V36" s="15"/>
      <c r="W36" s="15"/>
      <c r="X36" s="15"/>
      <c r="Y36" s="15"/>
      <c r="Z36" s="16">
        <f t="shared" si="0"/>
        <v>4</v>
      </c>
      <c r="AA36" s="16">
        <f t="shared" si="1"/>
        <v>1</v>
      </c>
      <c r="AB36" s="16">
        <f t="shared" si="2"/>
        <v>5</v>
      </c>
      <c r="AC36" s="17"/>
      <c r="AD36" s="17">
        <f t="shared" si="3"/>
        <v>80</v>
      </c>
    </row>
    <row r="37" spans="1:30" ht="15.75" customHeight="1">
      <c r="A37" s="12">
        <v>32</v>
      </c>
      <c r="B37" s="12" t="s">
        <v>76</v>
      </c>
      <c r="C37" s="13" t="s">
        <v>77</v>
      </c>
      <c r="D37" s="14"/>
      <c r="E37" s="14"/>
      <c r="F37" s="14"/>
      <c r="G37" s="14"/>
      <c r="H37" s="14" t="s">
        <v>14</v>
      </c>
      <c r="I37" s="14"/>
      <c r="J37" s="14"/>
      <c r="K37" s="14"/>
      <c r="L37" s="14" t="s">
        <v>15</v>
      </c>
      <c r="M37" s="14" t="s">
        <v>14</v>
      </c>
      <c r="N37" s="14" t="s">
        <v>14</v>
      </c>
      <c r="O37" s="14" t="s">
        <v>14</v>
      </c>
      <c r="P37" s="14"/>
      <c r="Q37" s="14"/>
      <c r="R37" s="14"/>
      <c r="S37" s="14"/>
      <c r="T37" s="15"/>
      <c r="U37" s="14"/>
      <c r="V37" s="15"/>
      <c r="W37" s="15"/>
      <c r="X37" s="15"/>
      <c r="Y37" s="15"/>
      <c r="Z37" s="16">
        <f t="shared" si="0"/>
        <v>4</v>
      </c>
      <c r="AA37" s="16">
        <f t="shared" si="1"/>
        <v>1</v>
      </c>
      <c r="AB37" s="16">
        <f t="shared" si="2"/>
        <v>5</v>
      </c>
      <c r="AC37" s="17"/>
      <c r="AD37" s="17">
        <f t="shared" si="3"/>
        <v>80</v>
      </c>
    </row>
    <row r="38" spans="1:30" ht="15.75" customHeight="1">
      <c r="A38" s="12">
        <v>33</v>
      </c>
      <c r="B38" s="12" t="s">
        <v>78</v>
      </c>
      <c r="C38" s="13" t="s">
        <v>79</v>
      </c>
      <c r="D38" s="14"/>
      <c r="E38" s="14"/>
      <c r="F38" s="14"/>
      <c r="G38" s="14"/>
      <c r="H38" s="14" t="s">
        <v>14</v>
      </c>
      <c r="I38" s="14"/>
      <c r="J38" s="14"/>
      <c r="K38" s="14"/>
      <c r="L38" s="14" t="s">
        <v>15</v>
      </c>
      <c r="M38" s="14" t="s">
        <v>14</v>
      </c>
      <c r="N38" s="14" t="s">
        <v>14</v>
      </c>
      <c r="O38" s="14"/>
      <c r="P38" s="14"/>
      <c r="Q38" s="14"/>
      <c r="R38" s="14"/>
      <c r="S38" s="14"/>
      <c r="T38" s="15"/>
      <c r="U38" s="14"/>
      <c r="V38" s="15"/>
      <c r="W38" s="15"/>
      <c r="X38" s="15"/>
      <c r="Y38" s="15"/>
      <c r="Z38" s="16">
        <f t="shared" si="0"/>
        <v>3</v>
      </c>
      <c r="AA38" s="16">
        <f t="shared" si="1"/>
        <v>1</v>
      </c>
      <c r="AB38" s="16">
        <f t="shared" si="2"/>
        <v>4</v>
      </c>
      <c r="AC38" s="17"/>
      <c r="AD38" s="17">
        <f t="shared" si="3"/>
        <v>75</v>
      </c>
    </row>
    <row r="39" spans="1:30" ht="15.75" customHeight="1">
      <c r="A39" s="12">
        <v>34</v>
      </c>
      <c r="B39" s="12" t="s">
        <v>80</v>
      </c>
      <c r="C39" s="13" t="s">
        <v>81</v>
      </c>
      <c r="D39" s="14"/>
      <c r="E39" s="14"/>
      <c r="F39" s="14"/>
      <c r="G39" s="14"/>
      <c r="H39" s="14" t="s">
        <v>14</v>
      </c>
      <c r="I39" s="14"/>
      <c r="J39" s="14"/>
      <c r="K39" s="14"/>
      <c r="L39" s="14" t="s">
        <v>14</v>
      </c>
      <c r="M39" s="14" t="s">
        <v>14</v>
      </c>
      <c r="N39" s="14" t="s">
        <v>15</v>
      </c>
      <c r="O39" s="14" t="s">
        <v>14</v>
      </c>
      <c r="P39" s="14"/>
      <c r="Q39" s="14"/>
      <c r="R39" s="14"/>
      <c r="S39" s="14"/>
      <c r="T39" s="15"/>
      <c r="U39" s="14"/>
      <c r="V39" s="15"/>
      <c r="W39" s="15"/>
      <c r="X39" s="15"/>
      <c r="Y39" s="15"/>
      <c r="Z39" s="16">
        <f t="shared" si="0"/>
        <v>4</v>
      </c>
      <c r="AA39" s="16">
        <f t="shared" si="1"/>
        <v>1</v>
      </c>
      <c r="AB39" s="16">
        <f t="shared" si="2"/>
        <v>5</v>
      </c>
      <c r="AC39" s="17"/>
      <c r="AD39" s="17">
        <f t="shared" si="3"/>
        <v>80</v>
      </c>
    </row>
    <row r="40" spans="1:30" ht="15.75" customHeight="1">
      <c r="A40" s="12">
        <v>35</v>
      </c>
      <c r="B40" s="12" t="s">
        <v>82</v>
      </c>
      <c r="C40" s="13" t="s">
        <v>83</v>
      </c>
      <c r="D40" s="14"/>
      <c r="E40" s="14"/>
      <c r="F40" s="14"/>
      <c r="G40" s="14"/>
      <c r="H40" s="14" t="s">
        <v>14</v>
      </c>
      <c r="I40" s="14"/>
      <c r="J40" s="14"/>
      <c r="K40" s="14"/>
      <c r="L40" s="14" t="s">
        <v>14</v>
      </c>
      <c r="M40" s="14" t="s">
        <v>14</v>
      </c>
      <c r="N40" s="14" t="s">
        <v>14</v>
      </c>
      <c r="O40" s="14" t="s">
        <v>14</v>
      </c>
      <c r="P40" s="14"/>
      <c r="Q40" s="14"/>
      <c r="R40" s="14"/>
      <c r="S40" s="14"/>
      <c r="T40" s="15"/>
      <c r="U40" s="14"/>
      <c r="V40" s="15"/>
      <c r="W40" s="15"/>
      <c r="X40" s="15"/>
      <c r="Y40" s="15"/>
      <c r="Z40" s="16">
        <f t="shared" si="0"/>
        <v>5</v>
      </c>
      <c r="AA40" s="16">
        <f t="shared" si="1"/>
        <v>0</v>
      </c>
      <c r="AB40" s="16">
        <f t="shared" si="2"/>
        <v>5</v>
      </c>
      <c r="AC40" s="17"/>
      <c r="AD40" s="17">
        <f t="shared" si="3"/>
        <v>100</v>
      </c>
    </row>
    <row r="41" spans="1:30" ht="15.75" customHeight="1">
      <c r="A41" s="12">
        <v>36</v>
      </c>
      <c r="B41" s="12" t="s">
        <v>84</v>
      </c>
      <c r="C41" s="13" t="s">
        <v>85</v>
      </c>
      <c r="D41" s="14"/>
      <c r="E41" s="14"/>
      <c r="F41" s="14"/>
      <c r="G41" s="14"/>
      <c r="H41" s="14" t="s">
        <v>14</v>
      </c>
      <c r="I41" s="14"/>
      <c r="J41" s="14"/>
      <c r="K41" s="14"/>
      <c r="L41" s="14" t="s">
        <v>15</v>
      </c>
      <c r="M41" s="14" t="s">
        <v>14</v>
      </c>
      <c r="N41" s="14" t="s">
        <v>15</v>
      </c>
      <c r="O41" s="14" t="s">
        <v>14</v>
      </c>
      <c r="P41" s="14"/>
      <c r="Q41" s="14"/>
      <c r="R41" s="14"/>
      <c r="S41" s="14"/>
      <c r="T41" s="15"/>
      <c r="U41" s="14"/>
      <c r="V41" s="15"/>
      <c r="W41" s="15"/>
      <c r="X41" s="15"/>
      <c r="Y41" s="15"/>
      <c r="Z41" s="16">
        <f t="shared" si="0"/>
        <v>3</v>
      </c>
      <c r="AA41" s="16">
        <f t="shared" si="1"/>
        <v>2</v>
      </c>
      <c r="AB41" s="16">
        <f t="shared" si="2"/>
        <v>5</v>
      </c>
      <c r="AC41" s="17"/>
      <c r="AD41" s="17">
        <f t="shared" si="3"/>
        <v>60</v>
      </c>
    </row>
    <row r="42" spans="1:30" ht="15.75" customHeight="1">
      <c r="A42" s="12">
        <v>37</v>
      </c>
      <c r="B42" s="12" t="s">
        <v>86</v>
      </c>
      <c r="C42" s="18" t="s">
        <v>87</v>
      </c>
      <c r="D42" s="14"/>
      <c r="E42" s="14"/>
      <c r="F42" s="14"/>
      <c r="G42" s="14"/>
      <c r="H42" s="14" t="s">
        <v>14</v>
      </c>
      <c r="I42" s="14"/>
      <c r="J42" s="14"/>
      <c r="K42" s="14"/>
      <c r="L42" s="14" t="s">
        <v>15</v>
      </c>
      <c r="M42" s="14" t="s">
        <v>15</v>
      </c>
      <c r="N42" s="14" t="s">
        <v>14</v>
      </c>
      <c r="O42" s="14" t="s">
        <v>14</v>
      </c>
      <c r="P42" s="14"/>
      <c r="Q42" s="14"/>
      <c r="R42" s="14"/>
      <c r="S42" s="14"/>
      <c r="T42" s="15"/>
      <c r="U42" s="14"/>
      <c r="V42" s="15"/>
      <c r="W42" s="15"/>
      <c r="X42" s="15"/>
      <c r="Y42" s="15"/>
      <c r="Z42" s="16">
        <f t="shared" si="0"/>
        <v>3</v>
      </c>
      <c r="AA42" s="16">
        <f t="shared" si="1"/>
        <v>2</v>
      </c>
      <c r="AB42" s="16">
        <f t="shared" si="2"/>
        <v>5</v>
      </c>
      <c r="AC42" s="17"/>
      <c r="AD42" s="17">
        <f t="shared" si="3"/>
        <v>60</v>
      </c>
    </row>
    <row r="43" spans="1:30" ht="15.75" customHeight="1">
      <c r="A43" s="12">
        <v>38</v>
      </c>
      <c r="B43" s="12" t="s">
        <v>88</v>
      </c>
      <c r="C43" s="18" t="s">
        <v>89</v>
      </c>
      <c r="D43" s="14"/>
      <c r="E43" s="14"/>
      <c r="F43" s="14"/>
      <c r="G43" s="14"/>
      <c r="H43" s="14" t="s">
        <v>14</v>
      </c>
      <c r="I43" s="14"/>
      <c r="J43" s="14"/>
      <c r="K43" s="14"/>
      <c r="L43" s="14" t="s">
        <v>14</v>
      </c>
      <c r="M43" s="14" t="s">
        <v>14</v>
      </c>
      <c r="N43" s="14" t="s">
        <v>15</v>
      </c>
      <c r="O43" s="14" t="s">
        <v>14</v>
      </c>
      <c r="P43" s="14"/>
      <c r="Q43" s="14"/>
      <c r="R43" s="14"/>
      <c r="S43" s="14"/>
      <c r="T43" s="15"/>
      <c r="U43" s="14"/>
      <c r="V43" s="15"/>
      <c r="W43" s="15"/>
      <c r="X43" s="15"/>
      <c r="Y43" s="15"/>
      <c r="Z43" s="16">
        <f t="shared" si="0"/>
        <v>4</v>
      </c>
      <c r="AA43" s="16">
        <f t="shared" si="1"/>
        <v>1</v>
      </c>
      <c r="AB43" s="16">
        <f t="shared" si="2"/>
        <v>5</v>
      </c>
      <c r="AC43" s="17"/>
      <c r="AD43" s="17">
        <f t="shared" si="3"/>
        <v>80</v>
      </c>
    </row>
    <row r="44" spans="1:30" ht="15.75" customHeight="1">
      <c r="A44" s="12">
        <v>39</v>
      </c>
      <c r="B44" s="12" t="s">
        <v>90</v>
      </c>
      <c r="C44" s="18" t="s">
        <v>91</v>
      </c>
      <c r="D44" s="14"/>
      <c r="E44" s="14"/>
      <c r="F44" s="14"/>
      <c r="G44" s="14"/>
      <c r="H44" s="14" t="s">
        <v>14</v>
      </c>
      <c r="I44" s="14"/>
      <c r="J44" s="14"/>
      <c r="K44" s="14"/>
      <c r="L44" s="14" t="s">
        <v>14</v>
      </c>
      <c r="M44" s="14" t="s">
        <v>14</v>
      </c>
      <c r="N44" s="14" t="s">
        <v>14</v>
      </c>
      <c r="O44" s="14" t="s">
        <v>14</v>
      </c>
      <c r="P44" s="14"/>
      <c r="Q44" s="14"/>
      <c r="R44" s="14"/>
      <c r="S44" s="14"/>
      <c r="T44" s="15"/>
      <c r="U44" s="14"/>
      <c r="V44" s="15"/>
      <c r="W44" s="15"/>
      <c r="X44" s="15"/>
      <c r="Y44" s="15"/>
      <c r="Z44" s="16">
        <f t="shared" si="0"/>
        <v>5</v>
      </c>
      <c r="AA44" s="16">
        <f t="shared" si="1"/>
        <v>0</v>
      </c>
      <c r="AB44" s="16">
        <f t="shared" si="2"/>
        <v>5</v>
      </c>
      <c r="AC44" s="17"/>
      <c r="AD44" s="17">
        <f t="shared" si="3"/>
        <v>100</v>
      </c>
    </row>
    <row r="45" spans="1:30" ht="15.75" customHeight="1">
      <c r="A45" s="12">
        <v>40</v>
      </c>
      <c r="B45" s="12" t="s">
        <v>92</v>
      </c>
      <c r="C45" s="18" t="s">
        <v>93</v>
      </c>
      <c r="D45" s="14"/>
      <c r="E45" s="14"/>
      <c r="F45" s="14"/>
      <c r="G45" s="14"/>
      <c r="H45" s="14" t="s">
        <v>14</v>
      </c>
      <c r="I45" s="14"/>
      <c r="J45" s="14"/>
      <c r="K45" s="14"/>
      <c r="L45" s="14" t="s">
        <v>14</v>
      </c>
      <c r="M45" s="14" t="s">
        <v>15</v>
      </c>
      <c r="N45" s="14" t="s">
        <v>14</v>
      </c>
      <c r="O45" s="14" t="s">
        <v>14</v>
      </c>
      <c r="P45" s="14"/>
      <c r="Q45" s="14"/>
      <c r="R45" s="14"/>
      <c r="S45" s="14"/>
      <c r="T45" s="15"/>
      <c r="U45" s="14"/>
      <c r="V45" s="15"/>
      <c r="W45" s="15"/>
      <c r="X45" s="15"/>
      <c r="Y45" s="15"/>
      <c r="Z45" s="16">
        <f t="shared" si="0"/>
        <v>4</v>
      </c>
      <c r="AA45" s="16">
        <f t="shared" si="1"/>
        <v>1</v>
      </c>
      <c r="AB45" s="16">
        <f t="shared" si="2"/>
        <v>5</v>
      </c>
      <c r="AC45" s="17"/>
      <c r="AD45" s="17">
        <f t="shared" si="3"/>
        <v>80</v>
      </c>
    </row>
    <row r="46" spans="1:30" ht="15.75" customHeight="1">
      <c r="A46" s="12">
        <v>41</v>
      </c>
      <c r="B46" s="12" t="s">
        <v>94</v>
      </c>
      <c r="C46" s="18" t="s">
        <v>95</v>
      </c>
      <c r="D46" s="14"/>
      <c r="E46" s="14"/>
      <c r="F46" s="14"/>
      <c r="G46" s="14"/>
      <c r="H46" s="14" t="s">
        <v>14</v>
      </c>
      <c r="I46" s="14"/>
      <c r="J46" s="14"/>
      <c r="K46" s="14"/>
      <c r="L46" s="14" t="s">
        <v>14</v>
      </c>
      <c r="M46" s="14" t="s">
        <v>14</v>
      </c>
      <c r="N46" s="14" t="s">
        <v>14</v>
      </c>
      <c r="O46" s="14" t="s">
        <v>14</v>
      </c>
      <c r="P46" s="14"/>
      <c r="Q46" s="14"/>
      <c r="R46" s="14"/>
      <c r="S46" s="14"/>
      <c r="T46" s="15"/>
      <c r="U46" s="14"/>
      <c r="V46" s="15"/>
      <c r="W46" s="15"/>
      <c r="X46" s="15"/>
      <c r="Y46" s="15"/>
      <c r="Z46" s="16">
        <f t="shared" si="0"/>
        <v>5</v>
      </c>
      <c r="AA46" s="16">
        <f t="shared" si="1"/>
        <v>0</v>
      </c>
      <c r="AB46" s="16">
        <f t="shared" si="2"/>
        <v>5</v>
      </c>
      <c r="AC46" s="17"/>
      <c r="AD46" s="17">
        <f t="shared" si="3"/>
        <v>100</v>
      </c>
    </row>
    <row r="47" spans="1:30" ht="15.75" customHeight="1">
      <c r="A47" s="12">
        <v>42</v>
      </c>
      <c r="B47" s="12" t="s">
        <v>96</v>
      </c>
      <c r="C47" s="18" t="s">
        <v>97</v>
      </c>
      <c r="D47" s="14"/>
      <c r="E47" s="14"/>
      <c r="F47" s="14"/>
      <c r="G47" s="14"/>
      <c r="H47" s="14" t="s">
        <v>14</v>
      </c>
      <c r="I47" s="14"/>
      <c r="J47" s="14"/>
      <c r="K47" s="14"/>
      <c r="L47" s="14" t="s">
        <v>14</v>
      </c>
      <c r="M47" s="14" t="s">
        <v>14</v>
      </c>
      <c r="N47" s="14" t="s">
        <v>15</v>
      </c>
      <c r="O47" s="14" t="s">
        <v>14</v>
      </c>
      <c r="P47" s="14"/>
      <c r="Q47" s="14"/>
      <c r="R47" s="14"/>
      <c r="S47" s="14"/>
      <c r="T47" s="15"/>
      <c r="U47" s="14"/>
      <c r="V47" s="15"/>
      <c r="W47" s="15"/>
      <c r="X47" s="15"/>
      <c r="Y47" s="15"/>
      <c r="Z47" s="16">
        <f t="shared" si="0"/>
        <v>4</v>
      </c>
      <c r="AA47" s="16">
        <f t="shared" si="1"/>
        <v>1</v>
      </c>
      <c r="AB47" s="16">
        <f t="shared" si="2"/>
        <v>5</v>
      </c>
      <c r="AC47" s="17"/>
      <c r="AD47" s="17">
        <f t="shared" si="3"/>
        <v>80</v>
      </c>
    </row>
    <row r="48" spans="1:30" ht="15.75" customHeight="1">
      <c r="A48" s="12">
        <v>43</v>
      </c>
      <c r="B48" s="12" t="s">
        <v>98</v>
      </c>
      <c r="C48" s="18" t="s">
        <v>99</v>
      </c>
      <c r="D48" s="14"/>
      <c r="E48" s="14"/>
      <c r="F48" s="14"/>
      <c r="G48" s="14"/>
      <c r="H48" s="14" t="s">
        <v>14</v>
      </c>
      <c r="I48" s="14"/>
      <c r="J48" s="14"/>
      <c r="K48" s="14"/>
      <c r="L48" s="14" t="s">
        <v>14</v>
      </c>
      <c r="M48" s="14" t="s">
        <v>14</v>
      </c>
      <c r="N48" s="14" t="s">
        <v>14</v>
      </c>
      <c r="O48" s="14" t="s">
        <v>14</v>
      </c>
      <c r="P48" s="14"/>
      <c r="Q48" s="14"/>
      <c r="R48" s="14"/>
      <c r="S48" s="14"/>
      <c r="T48" s="15"/>
      <c r="U48" s="14"/>
      <c r="V48" s="15"/>
      <c r="W48" s="15"/>
      <c r="X48" s="15"/>
      <c r="Y48" s="15"/>
      <c r="Z48" s="16">
        <f t="shared" si="0"/>
        <v>5</v>
      </c>
      <c r="AA48" s="16">
        <f t="shared" si="1"/>
        <v>0</v>
      </c>
      <c r="AB48" s="16">
        <f t="shared" si="2"/>
        <v>5</v>
      </c>
      <c r="AC48" s="17"/>
      <c r="AD48" s="17">
        <f t="shared" si="3"/>
        <v>100</v>
      </c>
    </row>
    <row r="49" spans="1:30" ht="15.75" customHeight="1">
      <c r="A49" s="12">
        <v>44</v>
      </c>
      <c r="B49" s="12" t="s">
        <v>100</v>
      </c>
      <c r="C49" s="18" t="s">
        <v>101</v>
      </c>
      <c r="D49" s="14"/>
      <c r="E49" s="14"/>
      <c r="F49" s="14"/>
      <c r="G49" s="14"/>
      <c r="H49" s="14" t="s">
        <v>14</v>
      </c>
      <c r="I49" s="14"/>
      <c r="J49" s="14"/>
      <c r="K49" s="14"/>
      <c r="L49" s="14" t="s">
        <v>14</v>
      </c>
      <c r="M49" s="14" t="s">
        <v>14</v>
      </c>
      <c r="N49" s="14" t="s">
        <v>14</v>
      </c>
      <c r="O49" s="14" t="s">
        <v>14</v>
      </c>
      <c r="P49" s="14"/>
      <c r="Q49" s="14"/>
      <c r="R49" s="14"/>
      <c r="S49" s="14"/>
      <c r="T49" s="15"/>
      <c r="U49" s="14"/>
      <c r="V49" s="15"/>
      <c r="W49" s="15"/>
      <c r="X49" s="15"/>
      <c r="Y49" s="15"/>
      <c r="Z49" s="16">
        <f t="shared" si="0"/>
        <v>5</v>
      </c>
      <c r="AA49" s="16">
        <f t="shared" si="1"/>
        <v>0</v>
      </c>
      <c r="AB49" s="16">
        <f t="shared" si="2"/>
        <v>5</v>
      </c>
      <c r="AC49" s="17"/>
      <c r="AD49" s="17">
        <f t="shared" si="3"/>
        <v>100</v>
      </c>
    </row>
    <row r="50" spans="1:30" ht="15.75" customHeight="1">
      <c r="A50" s="12">
        <v>45</v>
      </c>
      <c r="B50" s="12" t="s">
        <v>102</v>
      </c>
      <c r="C50" s="18" t="s">
        <v>103</v>
      </c>
      <c r="D50" s="14"/>
      <c r="E50" s="14"/>
      <c r="F50" s="14"/>
      <c r="G50" s="14"/>
      <c r="H50" s="14" t="s">
        <v>14</v>
      </c>
      <c r="I50" s="14"/>
      <c r="J50" s="14"/>
      <c r="K50" s="14"/>
      <c r="L50" s="14" t="s">
        <v>14</v>
      </c>
      <c r="M50" s="14" t="s">
        <v>14</v>
      </c>
      <c r="N50" s="14" t="s">
        <v>14</v>
      </c>
      <c r="O50" s="14" t="s">
        <v>14</v>
      </c>
      <c r="P50" s="14"/>
      <c r="Q50" s="14"/>
      <c r="R50" s="14"/>
      <c r="S50" s="14"/>
      <c r="T50" s="15"/>
      <c r="U50" s="14"/>
      <c r="V50" s="15"/>
      <c r="W50" s="15"/>
      <c r="X50" s="15"/>
      <c r="Y50" s="15"/>
      <c r="Z50" s="16">
        <f t="shared" si="0"/>
        <v>5</v>
      </c>
      <c r="AA50" s="16">
        <f t="shared" si="1"/>
        <v>0</v>
      </c>
      <c r="AB50" s="16">
        <f t="shared" si="2"/>
        <v>5</v>
      </c>
      <c r="AC50" s="17"/>
      <c r="AD50" s="17">
        <f t="shared" si="3"/>
        <v>100</v>
      </c>
    </row>
    <row r="51" spans="1:30" ht="15.75" customHeight="1">
      <c r="A51" s="12">
        <v>46</v>
      </c>
      <c r="B51" s="12" t="s">
        <v>104</v>
      </c>
      <c r="C51" s="18" t="s">
        <v>105</v>
      </c>
      <c r="D51" s="14"/>
      <c r="E51" s="14"/>
      <c r="F51" s="14"/>
      <c r="G51" s="14"/>
      <c r="H51" s="14" t="s">
        <v>14</v>
      </c>
      <c r="I51" s="14"/>
      <c r="J51" s="14"/>
      <c r="K51" s="14"/>
      <c r="L51" s="14" t="s">
        <v>14</v>
      </c>
      <c r="M51" s="14" t="s">
        <v>14</v>
      </c>
      <c r="N51" s="14" t="s">
        <v>14</v>
      </c>
      <c r="O51" s="14" t="s">
        <v>14</v>
      </c>
      <c r="P51" s="14"/>
      <c r="Q51" s="14"/>
      <c r="R51" s="14"/>
      <c r="S51" s="14"/>
      <c r="T51" s="15"/>
      <c r="U51" s="14"/>
      <c r="V51" s="15"/>
      <c r="W51" s="15"/>
      <c r="X51" s="15"/>
      <c r="Y51" s="15"/>
      <c r="Z51" s="16">
        <f t="shared" si="0"/>
        <v>5</v>
      </c>
      <c r="AA51" s="16">
        <f t="shared" si="1"/>
        <v>0</v>
      </c>
      <c r="AB51" s="16">
        <f t="shared" si="2"/>
        <v>5</v>
      </c>
      <c r="AC51" s="17"/>
      <c r="AD51" s="17">
        <f t="shared" si="3"/>
        <v>100</v>
      </c>
    </row>
    <row r="52" spans="1:30" ht="15.75" customHeight="1">
      <c r="A52" s="12">
        <v>47</v>
      </c>
      <c r="B52" s="12" t="s">
        <v>106</v>
      </c>
      <c r="C52" s="18" t="s">
        <v>107</v>
      </c>
      <c r="D52" s="14"/>
      <c r="E52" s="14"/>
      <c r="F52" s="14"/>
      <c r="G52" s="14"/>
      <c r="H52" s="14" t="s">
        <v>14</v>
      </c>
      <c r="I52" s="14"/>
      <c r="J52" s="14"/>
      <c r="K52" s="14"/>
      <c r="L52" s="14" t="s">
        <v>14</v>
      </c>
      <c r="M52" s="14" t="s">
        <v>14</v>
      </c>
      <c r="N52" s="14" t="s">
        <v>14</v>
      </c>
      <c r="O52" s="14" t="s">
        <v>15</v>
      </c>
      <c r="P52" s="14"/>
      <c r="Q52" s="14"/>
      <c r="R52" s="14"/>
      <c r="S52" s="14"/>
      <c r="T52" s="15"/>
      <c r="U52" s="14"/>
      <c r="V52" s="15"/>
      <c r="W52" s="15"/>
      <c r="X52" s="15"/>
      <c r="Y52" s="15"/>
      <c r="Z52" s="16">
        <f t="shared" si="0"/>
        <v>4</v>
      </c>
      <c r="AA52" s="16">
        <f t="shared" si="1"/>
        <v>1</v>
      </c>
      <c r="AB52" s="16">
        <f t="shared" si="2"/>
        <v>5</v>
      </c>
      <c r="AC52" s="17"/>
      <c r="AD52" s="17">
        <f t="shared" si="3"/>
        <v>80</v>
      </c>
    </row>
    <row r="53" spans="1:30" ht="15.75" customHeight="1">
      <c r="A53" s="19"/>
      <c r="B53" s="19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19"/>
      <c r="AA53" s="19"/>
      <c r="AB53" s="19"/>
      <c r="AC53" s="19"/>
      <c r="AD53" s="19"/>
    </row>
    <row r="54" spans="1:30" ht="15.75" customHeight="1">
      <c r="A54" s="19"/>
      <c r="B54" s="19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19"/>
      <c r="AA54" s="19"/>
      <c r="AB54" s="19"/>
      <c r="AC54" s="19"/>
      <c r="AD54" s="19"/>
    </row>
    <row r="55" spans="1:30" ht="15.75" customHeight="1">
      <c r="A55" s="19"/>
      <c r="B55" s="19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19"/>
      <c r="AA55" s="19"/>
      <c r="AB55" s="19"/>
      <c r="AC55" s="19"/>
      <c r="AD55" s="19"/>
    </row>
    <row r="56" spans="1:30" ht="15.75" customHeight="1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19"/>
      <c r="AA56" s="19"/>
      <c r="AB56" s="19"/>
      <c r="AC56" s="19"/>
      <c r="AD56" s="19"/>
    </row>
    <row r="57" spans="1:30" ht="15.75" customHeight="1">
      <c r="A57" s="19"/>
      <c r="B57" s="19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19"/>
      <c r="AA57" s="19"/>
      <c r="AB57" s="19"/>
      <c r="AC57" s="19"/>
      <c r="AD57" s="19"/>
    </row>
    <row r="58" spans="1:30" ht="15.75" customHeight="1">
      <c r="A58" s="19"/>
      <c r="B58" s="19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19"/>
      <c r="AA58" s="19"/>
      <c r="AB58" s="19"/>
      <c r="AC58" s="19"/>
      <c r="AD58" s="19"/>
    </row>
    <row r="59" spans="1:30" ht="15.75" customHeight="1">
      <c r="A59" s="19"/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19"/>
      <c r="AA59" s="19"/>
      <c r="AB59" s="19"/>
      <c r="AC59" s="19"/>
      <c r="AD59" s="19"/>
    </row>
    <row r="60" spans="1:30" ht="15.75" customHeight="1">
      <c r="A60" s="19"/>
      <c r="B60" s="19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19"/>
      <c r="AA60" s="19"/>
      <c r="AB60" s="19"/>
      <c r="AC60" s="19"/>
      <c r="AD60" s="19"/>
    </row>
    <row r="61" spans="1:30" ht="15.75" customHeight="1">
      <c r="A61" s="19"/>
      <c r="B61" s="19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19"/>
      <c r="AA61" s="19"/>
      <c r="AB61" s="19"/>
      <c r="AC61" s="19"/>
      <c r="AD61" s="19"/>
    </row>
    <row r="62" spans="1:30" ht="15.75" customHeight="1">
      <c r="A62" s="19"/>
      <c r="B62" s="19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19"/>
      <c r="AA62" s="19"/>
      <c r="AB62" s="19"/>
      <c r="AC62" s="19"/>
      <c r="AD62" s="19"/>
    </row>
    <row r="63" spans="1:30" ht="15.75" customHeight="1">
      <c r="A63" s="19"/>
      <c r="B63" s="19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19"/>
      <c r="AA63" s="19"/>
      <c r="AB63" s="19"/>
      <c r="AC63" s="19"/>
      <c r="AD63" s="19"/>
    </row>
    <row r="64" spans="1:30" ht="15.75" customHeight="1">
      <c r="A64" s="19"/>
      <c r="B64" s="19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19"/>
      <c r="AA64" s="19"/>
      <c r="AB64" s="19"/>
      <c r="AC64" s="19"/>
      <c r="AD64" s="19"/>
    </row>
    <row r="65" spans="1:30" ht="15.75" customHeight="1">
      <c r="A65" s="19"/>
      <c r="B65" s="19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19"/>
      <c r="AA65" s="19"/>
      <c r="AB65" s="19"/>
      <c r="AC65" s="19"/>
      <c r="AD65" s="19"/>
    </row>
    <row r="66" spans="1:30" ht="15.75" customHeight="1">
      <c r="A66" s="19"/>
      <c r="B66" s="19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19"/>
      <c r="AA66" s="19"/>
      <c r="AB66" s="19"/>
      <c r="AC66" s="19"/>
      <c r="AD66" s="19"/>
    </row>
    <row r="67" spans="1:30" ht="15.75" customHeight="1">
      <c r="A67" s="19"/>
      <c r="B67" s="19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19"/>
      <c r="AA67" s="19"/>
      <c r="AB67" s="19"/>
      <c r="AC67" s="19"/>
      <c r="AD67" s="19"/>
    </row>
    <row r="68" spans="1:30" ht="15.75" customHeight="1"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1:30" ht="15.75" customHeight="1"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30" ht="15.75" customHeight="1"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30" ht="15.75" customHeight="1"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1:30" ht="15.75" customHeight="1"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30" ht="15.75" customHeight="1"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30" ht="15.75" customHeight="1"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30" ht="15.75" customHeight="1"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30" ht="15.75" customHeight="1"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1:30" ht="15.75" customHeight="1"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1:30" ht="15.75" customHeight="1"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1:30" ht="15.75" customHeight="1"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1:30" ht="15.75" customHeight="1"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4:25" ht="15.75" customHeight="1"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4:25" ht="15.75" customHeight="1"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4:25" ht="15.75" customHeight="1"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4:25" ht="15.75" customHeight="1"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4:25" ht="15.75" customHeight="1"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4:25" ht="15.75" customHeight="1"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4:25" ht="15.75" customHeight="1"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4:25" ht="15.75" customHeight="1"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4:25" ht="15.75" customHeight="1"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4:25" ht="15.75" customHeight="1"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spans="4:25" ht="15.75" customHeight="1"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spans="4:25" ht="15.75" customHeight="1"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4:25" ht="15.75" customHeight="1"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spans="4:25" ht="15.75" customHeight="1"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spans="4:25" ht="15.75" customHeight="1"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spans="4:25" ht="15.75" customHeight="1"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spans="4:25" ht="15.75" customHeight="1"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spans="4:25" ht="15.75" customHeight="1"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spans="4:25" ht="15.75" customHeight="1"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4:25" ht="15.75" customHeight="1"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4:25" ht="15.75" customHeight="1"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4:25" ht="15.75" customHeight="1"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4:25" ht="15.75" customHeight="1"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4:25" ht="15.75" customHeight="1"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4:25" ht="15.75" customHeight="1"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4:25" ht="15.75" customHeight="1"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4:25" ht="15.75" customHeight="1"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4:25" ht="15.75" customHeight="1"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4:25" ht="15.75" customHeight="1"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4:25" ht="15.75" customHeight="1"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4:25" ht="15.75" customHeight="1"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4:25" ht="15.75" customHeight="1"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4:25" ht="15.75" customHeight="1"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4:25" ht="15.75" customHeight="1"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4:25" ht="15.75" customHeight="1"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4:25" ht="15.75" customHeight="1"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4:25" ht="15.75" customHeight="1"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4:25" ht="15.75" customHeight="1"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4:25" ht="15.75" customHeight="1"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4:25" ht="15.75" customHeight="1"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4:25" ht="15.75" customHeight="1"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4:25" ht="15.75" customHeight="1"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4:25" ht="15.75" customHeight="1"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4:25" ht="15.75" customHeight="1"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4:25" ht="15.75" customHeight="1"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4:25" ht="15.75" customHeight="1"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4:25" ht="15.75" customHeight="1"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4:25" ht="15.75" customHeight="1"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4:25" ht="15.75" customHeight="1"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4:25" ht="15.75" customHeight="1"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4:25" ht="15.75" customHeight="1"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4:25" ht="15.75" customHeight="1"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4:25" ht="15.75" customHeight="1"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4:25" ht="15.75" customHeight="1"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4:25" ht="15.75" customHeight="1"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4:25" ht="15.75" customHeight="1"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4:25" ht="15.75" customHeight="1"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4:25" ht="15.75" customHeight="1"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4:25" ht="15.75" customHeight="1"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4:25" ht="15.75" customHeight="1"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4:25" ht="15.75" customHeight="1"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4:25" ht="15.75" customHeight="1"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4:25" ht="15.75" customHeight="1"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4:25" ht="15.75" customHeight="1"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4:25" ht="15.75" customHeight="1"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4:25" ht="15.75" customHeight="1"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4:25" ht="15.75" customHeight="1"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4:25" ht="15.75" customHeight="1"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4:25" ht="15.75" customHeight="1"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4:25" ht="15.75" customHeight="1"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4:25" ht="15.75" customHeight="1"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4:25" ht="15.75" customHeight="1"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4:25" ht="15.75" customHeight="1"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4:25" ht="15.75" customHeight="1"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4:25" ht="15.75" customHeight="1"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4:25" ht="15.75" customHeight="1"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4:25" ht="15.75" customHeight="1"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4:25" ht="15.75" customHeight="1"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4:25" ht="15.75" customHeight="1"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4:25" ht="15.75" customHeight="1"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4:25" ht="15.75" customHeight="1"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4:25" ht="15.75" customHeight="1"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4:25" ht="15.75" customHeight="1"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4:25" ht="15.75" customHeight="1"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4:25" ht="15.75" customHeight="1"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4:25" ht="15.75" customHeight="1"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4:25" ht="15.75" customHeight="1"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4:25" ht="15.75" customHeight="1"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4:25" ht="15.75" customHeight="1"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4:25" ht="15.75" customHeight="1"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4:25" ht="15.75" customHeight="1"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4:25" ht="15.75" customHeight="1"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4:25" ht="15.75" customHeight="1"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4:25" ht="15.75" customHeight="1"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4:25" ht="15.75" customHeight="1"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4:25" ht="15.75" customHeight="1"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4:25" ht="15.75" customHeight="1"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4:25" ht="15.75" customHeight="1"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4:25" ht="15.75" customHeight="1"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4:25" ht="15.75" customHeight="1"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4:25" ht="15.75" customHeight="1"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4:25" ht="15.75" customHeight="1"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4:25" ht="15.75" customHeight="1"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4:25" ht="15.75" customHeight="1"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4:25" ht="15.75" customHeight="1"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4:25" ht="15.75" customHeight="1"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4:25" ht="15.75" customHeight="1"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4:25" ht="15.75" customHeight="1"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4:25" ht="15.75" customHeight="1"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4:25" ht="15.75" customHeight="1"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4:25" ht="15.75" customHeight="1"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4:25" ht="15.75" customHeight="1"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4:25" ht="15.75" customHeight="1"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4:25" ht="15.75" customHeight="1"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4:25" ht="15.75" customHeight="1"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4:25" ht="15.75" customHeight="1"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4:25" ht="15.75" customHeight="1"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4:25" ht="15.75" customHeight="1"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4:25" ht="15.75" customHeight="1"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4:25" ht="15.75" customHeight="1"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4:25" ht="15.75" customHeight="1"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4:25" ht="15.75" customHeight="1"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4:25" ht="15.75" customHeight="1"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4:25" ht="15.75" customHeight="1"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4:25" ht="15.75" customHeight="1"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4:25" ht="15.75" customHeight="1"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4:25" ht="15.75" customHeight="1"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4:25" ht="15.75" customHeight="1"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4:25" ht="15.75" customHeight="1"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4:25" ht="15.75" customHeight="1"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4:25" ht="15.75" customHeight="1"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4:25" ht="15.75" customHeight="1"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4:25" ht="15.75" customHeight="1"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4:25" ht="15.75" customHeight="1"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4:25" ht="15.75" customHeight="1"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4:25" ht="15.75" customHeight="1"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4:25" ht="15.75" customHeight="1"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4:25" ht="15.75" customHeight="1"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4:25" ht="15.75" customHeight="1"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4:25" ht="15.75" customHeight="1"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4:25" ht="15.75" customHeight="1"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spans="4:25" ht="15.75" customHeight="1"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spans="4:25" ht="15.75" customHeight="1"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spans="4:25" ht="15.75" customHeight="1"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spans="4:25" ht="15.75" customHeight="1"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spans="4:25" ht="15.75" customHeight="1"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spans="4:25" ht="15.75" customHeight="1"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spans="4:25" ht="15.75" customHeight="1"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4:25" ht="15.75" customHeight="1"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4:25" ht="15.75" customHeight="1"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spans="4:25" ht="15.75" customHeight="1"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4:25" ht="15.75" customHeight="1"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4:25" ht="15.75" customHeight="1"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4:25" ht="15.75" customHeight="1"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4:25" ht="15.75" customHeight="1"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4:25" ht="15.75" customHeight="1"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4:25" ht="15.75" customHeight="1"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4:25" ht="15.75" customHeight="1"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4:25" ht="15.75" customHeight="1"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4:25" ht="15.75" customHeight="1"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4:25" ht="15.75" customHeight="1"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4:25" ht="15.75" customHeight="1"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4:25" ht="15.75" customHeight="1"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spans="4:25" ht="15.75" customHeight="1"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4:25" ht="15.75" customHeight="1"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4:25" ht="15.75" customHeight="1"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4:25" ht="15.75" customHeight="1"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4:25" ht="15.75" customHeight="1"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4:25" ht="15.75" customHeight="1"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4:25" ht="15.75" customHeight="1"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4:25" ht="15.75" customHeight="1"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4:25" ht="15.75" customHeight="1"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4:25" ht="15.75" customHeight="1"/>
    <row r="254" spans="4:25" ht="15.75" customHeight="1"/>
    <row r="255" spans="4:25" ht="15.75" customHeight="1"/>
    <row r="256" spans="4:2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6">
    <mergeCell ref="A1:AD1"/>
    <mergeCell ref="A2:AD2"/>
    <mergeCell ref="A3:A5"/>
    <mergeCell ref="D3:M3"/>
    <mergeCell ref="N3:T3"/>
    <mergeCell ref="U3:Y3"/>
  </mergeCells>
  <conditionalFormatting sqref="D6:Y52">
    <cfRule type="containsText" dxfId="3" priority="1" operator="containsText" text="P">
      <formula>NOT(ISERROR(SEARCH(("P"),(D6))))</formula>
    </cfRule>
    <cfRule type="containsText" dxfId="2" priority="2" operator="containsText" text="A">
      <formula>NOT(ISERROR(SEARCH(("A"),(D6))))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953"/>
  <sheetViews>
    <sheetView topLeftCell="B1" workbookViewId="0">
      <pane ySplit="5" topLeftCell="A6" activePane="bottomLeft" state="frozen"/>
      <selection pane="bottomLeft" sqref="A1:AD2"/>
    </sheetView>
  </sheetViews>
  <sheetFormatPr defaultColWidth="12.59765625" defaultRowHeight="15" customHeight="1"/>
  <cols>
    <col min="1" max="1" width="6.73046875" customWidth="1"/>
    <col min="2" max="2" width="15.59765625" customWidth="1"/>
    <col min="3" max="3" width="42.3984375" customWidth="1"/>
    <col min="4" max="4" width="4.265625" customWidth="1"/>
    <col min="5" max="13" width="2.86328125" customWidth="1"/>
    <col min="14" max="14" width="3.3984375" customWidth="1"/>
    <col min="15" max="24" width="2.86328125" customWidth="1"/>
    <col min="25" max="25" width="3.3984375" customWidth="1"/>
    <col min="26" max="26" width="8.3984375" customWidth="1"/>
    <col min="27" max="27" width="7.59765625" customWidth="1"/>
    <col min="28" max="28" width="6.73046875" customWidth="1"/>
  </cols>
  <sheetData>
    <row r="1" spans="1:30" ht="30.7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</row>
    <row r="2" spans="1:30" ht="30" customHeight="1">
      <c r="A2" s="34" t="s">
        <v>208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6"/>
    </row>
    <row r="3" spans="1:30" ht="33" customHeight="1">
      <c r="A3" s="37" t="s">
        <v>1</v>
      </c>
      <c r="B3" s="2"/>
      <c r="C3" s="3" t="s">
        <v>2</v>
      </c>
      <c r="D3" s="44" t="s">
        <v>3</v>
      </c>
      <c r="E3" s="41"/>
      <c r="F3" s="41"/>
      <c r="G3" s="41"/>
      <c r="H3" s="41"/>
      <c r="I3" s="41"/>
      <c r="J3" s="41"/>
      <c r="K3" s="41"/>
      <c r="L3" s="41"/>
      <c r="M3" s="42"/>
      <c r="N3" s="43" t="s">
        <v>4</v>
      </c>
      <c r="O3" s="41"/>
      <c r="P3" s="41"/>
      <c r="Q3" s="41"/>
      <c r="R3" s="41"/>
      <c r="S3" s="41"/>
      <c r="T3" s="42"/>
      <c r="U3" s="43"/>
      <c r="V3" s="41"/>
      <c r="W3" s="41"/>
      <c r="X3" s="41"/>
      <c r="Y3" s="42"/>
      <c r="Z3" s="4" t="s">
        <v>5</v>
      </c>
      <c r="AA3" s="4" t="s">
        <v>6</v>
      </c>
      <c r="AB3" s="5" t="s">
        <v>7</v>
      </c>
      <c r="AC3" s="4" t="s">
        <v>8</v>
      </c>
    </row>
    <row r="4" spans="1:30" ht="15.75" customHeight="1">
      <c r="A4" s="38"/>
      <c r="B4" s="6"/>
      <c r="C4" s="3" t="s">
        <v>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7"/>
      <c r="V4" s="7"/>
      <c r="W4" s="8"/>
      <c r="X4" s="7"/>
      <c r="Y4" s="7"/>
      <c r="Z4" s="9"/>
      <c r="AA4" s="9"/>
      <c r="AB4" s="9"/>
      <c r="AC4" s="9"/>
    </row>
    <row r="5" spans="1:30" ht="15.75" customHeight="1">
      <c r="A5" s="39"/>
      <c r="B5" s="1" t="s">
        <v>10</v>
      </c>
      <c r="C5" s="10" t="s">
        <v>11</v>
      </c>
      <c r="D5" s="7">
        <v>8</v>
      </c>
      <c r="E5" s="7"/>
      <c r="F5" s="7"/>
      <c r="G5" s="7"/>
      <c r="H5" s="7">
        <v>30</v>
      </c>
      <c r="I5" s="7"/>
      <c r="J5" s="7"/>
      <c r="K5" s="7"/>
      <c r="L5" s="7"/>
      <c r="M5" s="7"/>
      <c r="N5" s="7">
        <v>1</v>
      </c>
      <c r="O5" s="7">
        <v>8</v>
      </c>
      <c r="P5" s="7">
        <v>12</v>
      </c>
      <c r="Q5" s="7"/>
      <c r="R5" s="7"/>
      <c r="S5" s="7"/>
      <c r="T5" s="8"/>
      <c r="U5" s="7"/>
      <c r="V5" s="7"/>
      <c r="W5" s="8"/>
      <c r="X5" s="7"/>
      <c r="Y5" s="7"/>
      <c r="Z5" s="11"/>
      <c r="AA5" s="11"/>
      <c r="AB5" s="11"/>
      <c r="AC5" s="11"/>
    </row>
    <row r="6" spans="1:30" ht="15.75" customHeight="1">
      <c r="A6" s="22">
        <v>1</v>
      </c>
      <c r="B6" s="12" t="s">
        <v>108</v>
      </c>
      <c r="C6" s="18" t="s">
        <v>109</v>
      </c>
      <c r="D6" s="14" t="s">
        <v>15</v>
      </c>
      <c r="E6" s="14"/>
      <c r="F6" s="14"/>
      <c r="G6" s="14"/>
      <c r="H6" s="14" t="s">
        <v>14</v>
      </c>
      <c r="I6" s="14"/>
      <c r="J6" s="14"/>
      <c r="K6" s="14"/>
      <c r="L6" s="14"/>
      <c r="M6" s="14"/>
      <c r="N6" s="23" t="s">
        <v>14</v>
      </c>
      <c r="O6" s="23" t="s">
        <v>14</v>
      </c>
      <c r="P6" s="23" t="s">
        <v>14</v>
      </c>
      <c r="Q6" s="14"/>
      <c r="R6" s="14"/>
      <c r="S6" s="14"/>
      <c r="T6" s="15"/>
      <c r="U6" s="14"/>
      <c r="V6" s="15"/>
      <c r="W6" s="15"/>
      <c r="X6" s="15"/>
      <c r="Y6" s="15"/>
      <c r="Z6" s="16">
        <f t="shared" ref="Z6:Z52" si="0">COUNTIF(D6:Y6,"P") + COUNTIF(D6:Y6, "1")</f>
        <v>4</v>
      </c>
      <c r="AA6" s="16">
        <f t="shared" ref="AA6:AA52" si="1">COUNTIF(D6:Y6,"A") + COUNTIF(D6:Y6, "1")</f>
        <v>1</v>
      </c>
      <c r="AB6" s="16">
        <f t="shared" ref="AB6:AB52" si="2">SUM(Z6,AA6)</f>
        <v>5</v>
      </c>
      <c r="AC6" s="24">
        <f t="shared" ref="AC6:AC52" si="3">(Z6/AB6)*100</f>
        <v>80</v>
      </c>
    </row>
    <row r="7" spans="1:30" ht="15.75" customHeight="1">
      <c r="A7" s="22">
        <v>2</v>
      </c>
      <c r="B7" s="12" t="s">
        <v>205</v>
      </c>
      <c r="C7" s="18" t="s">
        <v>111</v>
      </c>
      <c r="D7" s="14" t="s">
        <v>15</v>
      </c>
      <c r="E7" s="14"/>
      <c r="F7" s="14"/>
      <c r="G7" s="14"/>
      <c r="H7" s="14" t="s">
        <v>14</v>
      </c>
      <c r="I7" s="14"/>
      <c r="J7" s="14"/>
      <c r="K7" s="14"/>
      <c r="L7" s="14"/>
      <c r="M7" s="14"/>
      <c r="N7" s="23" t="s">
        <v>14</v>
      </c>
      <c r="O7" s="23" t="s">
        <v>14</v>
      </c>
      <c r="P7" s="23" t="s">
        <v>14</v>
      </c>
      <c r="Q7" s="14"/>
      <c r="R7" s="14"/>
      <c r="S7" s="14"/>
      <c r="T7" s="15"/>
      <c r="U7" s="14"/>
      <c r="V7" s="15"/>
      <c r="W7" s="15"/>
      <c r="X7" s="15"/>
      <c r="Y7" s="15"/>
      <c r="Z7" s="16">
        <f t="shared" si="0"/>
        <v>4</v>
      </c>
      <c r="AA7" s="16">
        <f t="shared" si="1"/>
        <v>1</v>
      </c>
      <c r="AB7" s="16">
        <f t="shared" si="2"/>
        <v>5</v>
      </c>
      <c r="AC7" s="24">
        <f t="shared" si="3"/>
        <v>80</v>
      </c>
    </row>
    <row r="8" spans="1:30" ht="15.75" customHeight="1">
      <c r="A8" s="22">
        <v>3</v>
      </c>
      <c r="B8" s="12" t="s">
        <v>112</v>
      </c>
      <c r="C8" s="18" t="s">
        <v>113</v>
      </c>
      <c r="D8" s="14" t="s">
        <v>14</v>
      </c>
      <c r="E8" s="14"/>
      <c r="F8" s="14"/>
      <c r="G8" s="14"/>
      <c r="H8" s="14" t="s">
        <v>14</v>
      </c>
      <c r="I8" s="14"/>
      <c r="J8" s="14"/>
      <c r="K8" s="14"/>
      <c r="L8" s="14"/>
      <c r="M8" s="14"/>
      <c r="N8" s="23" t="s">
        <v>14</v>
      </c>
      <c r="O8" s="23" t="s">
        <v>14</v>
      </c>
      <c r="P8" s="23" t="s">
        <v>14</v>
      </c>
      <c r="Q8" s="14"/>
      <c r="R8" s="14"/>
      <c r="S8" s="14"/>
      <c r="T8" s="15"/>
      <c r="U8" s="14"/>
      <c r="V8" s="15"/>
      <c r="W8" s="15"/>
      <c r="X8" s="15"/>
      <c r="Y8" s="15"/>
      <c r="Z8" s="16">
        <f t="shared" si="0"/>
        <v>5</v>
      </c>
      <c r="AA8" s="16">
        <f t="shared" si="1"/>
        <v>0</v>
      </c>
      <c r="AB8" s="16">
        <f t="shared" si="2"/>
        <v>5</v>
      </c>
      <c r="AC8" s="24">
        <f t="shared" si="3"/>
        <v>100</v>
      </c>
    </row>
    <row r="9" spans="1:30" ht="15.75" customHeight="1">
      <c r="A9" s="22">
        <v>4</v>
      </c>
      <c r="B9" s="12" t="s">
        <v>114</v>
      </c>
      <c r="C9" s="18" t="s">
        <v>115</v>
      </c>
      <c r="D9" s="14" t="s">
        <v>14</v>
      </c>
      <c r="E9" s="14"/>
      <c r="F9" s="14"/>
      <c r="G9" s="14"/>
      <c r="H9" s="14" t="s">
        <v>14</v>
      </c>
      <c r="I9" s="14"/>
      <c r="J9" s="14"/>
      <c r="K9" s="14"/>
      <c r="L9" s="14"/>
      <c r="M9" s="14"/>
      <c r="N9" s="23" t="s">
        <v>14</v>
      </c>
      <c r="O9" s="14" t="s">
        <v>15</v>
      </c>
      <c r="P9" s="23" t="s">
        <v>14</v>
      </c>
      <c r="Q9" s="14"/>
      <c r="R9" s="14"/>
      <c r="S9" s="14"/>
      <c r="T9" s="15"/>
      <c r="U9" s="14"/>
      <c r="V9" s="15"/>
      <c r="W9" s="15"/>
      <c r="X9" s="15"/>
      <c r="Y9" s="15"/>
      <c r="Z9" s="16">
        <f t="shared" si="0"/>
        <v>4</v>
      </c>
      <c r="AA9" s="16">
        <f t="shared" si="1"/>
        <v>1</v>
      </c>
      <c r="AB9" s="16">
        <f t="shared" si="2"/>
        <v>5</v>
      </c>
      <c r="AC9" s="24">
        <f t="shared" si="3"/>
        <v>80</v>
      </c>
    </row>
    <row r="10" spans="1:30" ht="15.75" customHeight="1">
      <c r="A10" s="22">
        <v>5</v>
      </c>
      <c r="B10" s="12" t="s">
        <v>116</v>
      </c>
      <c r="C10" s="18" t="s">
        <v>117</v>
      </c>
      <c r="D10" s="14" t="s">
        <v>14</v>
      </c>
      <c r="E10" s="14"/>
      <c r="F10" s="14"/>
      <c r="G10" s="14"/>
      <c r="H10" s="14" t="s">
        <v>14</v>
      </c>
      <c r="I10" s="14"/>
      <c r="J10" s="14"/>
      <c r="K10" s="14"/>
      <c r="L10" s="14"/>
      <c r="M10" s="14"/>
      <c r="N10" s="23" t="s">
        <v>14</v>
      </c>
      <c r="O10" s="23" t="s">
        <v>14</v>
      </c>
      <c r="P10" s="23" t="s">
        <v>14</v>
      </c>
      <c r="Q10" s="14"/>
      <c r="R10" s="14"/>
      <c r="S10" s="14"/>
      <c r="T10" s="15"/>
      <c r="U10" s="14"/>
      <c r="V10" s="15"/>
      <c r="W10" s="15"/>
      <c r="X10" s="15"/>
      <c r="Y10" s="15"/>
      <c r="Z10" s="16">
        <f t="shared" si="0"/>
        <v>5</v>
      </c>
      <c r="AA10" s="16">
        <f t="shared" si="1"/>
        <v>0</v>
      </c>
      <c r="AB10" s="16">
        <f t="shared" si="2"/>
        <v>5</v>
      </c>
      <c r="AC10" s="24">
        <f t="shared" si="3"/>
        <v>100</v>
      </c>
    </row>
    <row r="11" spans="1:30" ht="15.75" customHeight="1">
      <c r="A11" s="22">
        <v>6</v>
      </c>
      <c r="B11" s="12" t="s">
        <v>118</v>
      </c>
      <c r="C11" s="18" t="s">
        <v>119</v>
      </c>
      <c r="D11" s="14" t="s">
        <v>14</v>
      </c>
      <c r="E11" s="14"/>
      <c r="F11" s="14"/>
      <c r="G11" s="14"/>
      <c r="H11" s="14" t="s">
        <v>14</v>
      </c>
      <c r="I11" s="14"/>
      <c r="J11" s="14"/>
      <c r="K11" s="14"/>
      <c r="L11" s="14"/>
      <c r="M11" s="14"/>
      <c r="N11" s="23" t="s">
        <v>14</v>
      </c>
      <c r="O11" s="14" t="s">
        <v>15</v>
      </c>
      <c r="P11" s="23" t="s">
        <v>14</v>
      </c>
      <c r="Q11" s="14"/>
      <c r="R11" s="14"/>
      <c r="S11" s="14"/>
      <c r="T11" s="15"/>
      <c r="U11" s="14"/>
      <c r="V11" s="15"/>
      <c r="W11" s="15"/>
      <c r="X11" s="15"/>
      <c r="Y11" s="15"/>
      <c r="Z11" s="16">
        <f t="shared" si="0"/>
        <v>4</v>
      </c>
      <c r="AA11" s="16">
        <f t="shared" si="1"/>
        <v>1</v>
      </c>
      <c r="AB11" s="16">
        <f t="shared" si="2"/>
        <v>5</v>
      </c>
      <c r="AC11" s="24">
        <f t="shared" si="3"/>
        <v>80</v>
      </c>
    </row>
    <row r="12" spans="1:30" ht="15.75" customHeight="1">
      <c r="A12" s="22">
        <v>7</v>
      </c>
      <c r="B12" s="12" t="s">
        <v>120</v>
      </c>
      <c r="C12" s="18" t="s">
        <v>121</v>
      </c>
      <c r="D12" s="14" t="s">
        <v>15</v>
      </c>
      <c r="E12" s="14"/>
      <c r="F12" s="14"/>
      <c r="G12" s="14"/>
      <c r="H12" s="14" t="s">
        <v>14</v>
      </c>
      <c r="I12" s="14"/>
      <c r="J12" s="14"/>
      <c r="K12" s="14"/>
      <c r="L12" s="14"/>
      <c r="M12" s="14"/>
      <c r="N12" s="23" t="s">
        <v>14</v>
      </c>
      <c r="O12" s="23" t="s">
        <v>14</v>
      </c>
      <c r="P12" s="23" t="s">
        <v>14</v>
      </c>
      <c r="Q12" s="14"/>
      <c r="R12" s="14"/>
      <c r="S12" s="14"/>
      <c r="T12" s="15"/>
      <c r="U12" s="14"/>
      <c r="V12" s="15"/>
      <c r="W12" s="15"/>
      <c r="X12" s="15"/>
      <c r="Y12" s="15"/>
      <c r="Z12" s="16">
        <f t="shared" si="0"/>
        <v>4</v>
      </c>
      <c r="AA12" s="16">
        <f t="shared" si="1"/>
        <v>1</v>
      </c>
      <c r="AB12" s="16">
        <f t="shared" si="2"/>
        <v>5</v>
      </c>
      <c r="AC12" s="24">
        <f t="shared" si="3"/>
        <v>80</v>
      </c>
    </row>
    <row r="13" spans="1:30" ht="15.75" customHeight="1">
      <c r="A13" s="22">
        <v>8</v>
      </c>
      <c r="B13" s="12" t="s">
        <v>122</v>
      </c>
      <c r="C13" s="18" t="s">
        <v>123</v>
      </c>
      <c r="D13" s="14" t="s">
        <v>14</v>
      </c>
      <c r="E13" s="14"/>
      <c r="F13" s="14"/>
      <c r="G13" s="14"/>
      <c r="H13" s="14" t="s">
        <v>14</v>
      </c>
      <c r="I13" s="14"/>
      <c r="J13" s="14"/>
      <c r="K13" s="14"/>
      <c r="L13" s="14"/>
      <c r="M13" s="14"/>
      <c r="N13" s="23" t="s">
        <v>14</v>
      </c>
      <c r="O13" s="23" t="s">
        <v>14</v>
      </c>
      <c r="P13" s="14" t="s">
        <v>15</v>
      </c>
      <c r="Q13" s="14"/>
      <c r="R13" s="14"/>
      <c r="S13" s="14"/>
      <c r="T13" s="15"/>
      <c r="U13" s="14"/>
      <c r="V13" s="15"/>
      <c r="W13" s="15"/>
      <c r="X13" s="15"/>
      <c r="Y13" s="15"/>
      <c r="Z13" s="16">
        <f t="shared" si="0"/>
        <v>4</v>
      </c>
      <c r="AA13" s="16">
        <f t="shared" si="1"/>
        <v>1</v>
      </c>
      <c r="AB13" s="16">
        <f t="shared" si="2"/>
        <v>5</v>
      </c>
      <c r="AC13" s="24">
        <f t="shared" si="3"/>
        <v>80</v>
      </c>
    </row>
    <row r="14" spans="1:30" ht="15.75" customHeight="1">
      <c r="A14" s="22">
        <v>9</v>
      </c>
      <c r="B14" s="12" t="s">
        <v>124</v>
      </c>
      <c r="C14" s="18" t="s">
        <v>125</v>
      </c>
      <c r="D14" s="14" t="s">
        <v>14</v>
      </c>
      <c r="E14" s="14"/>
      <c r="F14" s="14"/>
      <c r="G14" s="14"/>
      <c r="H14" s="14" t="s">
        <v>14</v>
      </c>
      <c r="I14" s="14"/>
      <c r="J14" s="14"/>
      <c r="K14" s="14"/>
      <c r="L14" s="14"/>
      <c r="M14" s="14"/>
      <c r="N14" s="23" t="s">
        <v>14</v>
      </c>
      <c r="O14" s="23" t="s">
        <v>14</v>
      </c>
      <c r="P14" s="23" t="s">
        <v>14</v>
      </c>
      <c r="Q14" s="14"/>
      <c r="R14" s="14"/>
      <c r="S14" s="14"/>
      <c r="T14" s="15"/>
      <c r="U14" s="14"/>
      <c r="V14" s="15"/>
      <c r="W14" s="15"/>
      <c r="X14" s="15"/>
      <c r="Y14" s="15"/>
      <c r="Z14" s="16">
        <f t="shared" si="0"/>
        <v>5</v>
      </c>
      <c r="AA14" s="16">
        <f t="shared" si="1"/>
        <v>0</v>
      </c>
      <c r="AB14" s="16">
        <f t="shared" si="2"/>
        <v>5</v>
      </c>
      <c r="AC14" s="17">
        <f t="shared" si="3"/>
        <v>100</v>
      </c>
    </row>
    <row r="15" spans="1:30" ht="15.75" customHeight="1">
      <c r="A15" s="22">
        <v>10</v>
      </c>
      <c r="B15" s="12" t="s">
        <v>126</v>
      </c>
      <c r="C15" s="18" t="s">
        <v>127</v>
      </c>
      <c r="D15" s="14" t="s">
        <v>14</v>
      </c>
      <c r="E15" s="14"/>
      <c r="F15" s="14"/>
      <c r="G15" s="14"/>
      <c r="H15" s="14" t="s">
        <v>14</v>
      </c>
      <c r="I15" s="14"/>
      <c r="J15" s="14"/>
      <c r="K15" s="14"/>
      <c r="L15" s="14"/>
      <c r="M15" s="14"/>
      <c r="N15" s="23" t="s">
        <v>14</v>
      </c>
      <c r="O15" s="23" t="s">
        <v>14</v>
      </c>
      <c r="P15" s="14" t="s">
        <v>15</v>
      </c>
      <c r="Q15" s="14"/>
      <c r="R15" s="14"/>
      <c r="S15" s="14"/>
      <c r="T15" s="15"/>
      <c r="U15" s="14"/>
      <c r="V15" s="15"/>
      <c r="W15" s="15"/>
      <c r="X15" s="15"/>
      <c r="Y15" s="15"/>
      <c r="Z15" s="16">
        <f t="shared" si="0"/>
        <v>4</v>
      </c>
      <c r="AA15" s="16">
        <f t="shared" si="1"/>
        <v>1</v>
      </c>
      <c r="AB15" s="16">
        <f t="shared" si="2"/>
        <v>5</v>
      </c>
      <c r="AC15" s="17">
        <f t="shared" si="3"/>
        <v>80</v>
      </c>
    </row>
    <row r="16" spans="1:30" ht="15.75" customHeight="1">
      <c r="A16" s="22">
        <v>11</v>
      </c>
      <c r="B16" s="12" t="s">
        <v>128</v>
      </c>
      <c r="C16" s="18" t="s">
        <v>129</v>
      </c>
      <c r="D16" s="14" t="s">
        <v>14</v>
      </c>
      <c r="E16" s="14"/>
      <c r="F16" s="14"/>
      <c r="G16" s="14"/>
      <c r="H16" s="14" t="s">
        <v>14</v>
      </c>
      <c r="I16" s="14"/>
      <c r="J16" s="14"/>
      <c r="K16" s="14"/>
      <c r="L16" s="14"/>
      <c r="M16" s="14"/>
      <c r="N16" s="23" t="s">
        <v>14</v>
      </c>
      <c r="O16" s="23" t="s">
        <v>14</v>
      </c>
      <c r="P16" s="23" t="s">
        <v>14</v>
      </c>
      <c r="Q16" s="14"/>
      <c r="R16" s="14"/>
      <c r="S16" s="14"/>
      <c r="T16" s="15"/>
      <c r="U16" s="14"/>
      <c r="V16" s="15"/>
      <c r="W16" s="15"/>
      <c r="X16" s="15"/>
      <c r="Y16" s="15"/>
      <c r="Z16" s="16">
        <f t="shared" si="0"/>
        <v>5</v>
      </c>
      <c r="AA16" s="16">
        <f t="shared" si="1"/>
        <v>0</v>
      </c>
      <c r="AB16" s="16">
        <f t="shared" si="2"/>
        <v>5</v>
      </c>
      <c r="AC16" s="17">
        <f t="shared" si="3"/>
        <v>100</v>
      </c>
    </row>
    <row r="17" spans="1:29" ht="15.75" customHeight="1">
      <c r="A17" s="22">
        <v>12</v>
      </c>
      <c r="B17" s="12" t="s">
        <v>130</v>
      </c>
      <c r="C17" s="18" t="s">
        <v>131</v>
      </c>
      <c r="D17" s="14" t="s">
        <v>14</v>
      </c>
      <c r="E17" s="14"/>
      <c r="F17" s="14"/>
      <c r="G17" s="14"/>
      <c r="H17" s="14" t="s">
        <v>14</v>
      </c>
      <c r="I17" s="14"/>
      <c r="J17" s="14"/>
      <c r="K17" s="14"/>
      <c r="L17" s="14"/>
      <c r="M17" s="14"/>
      <c r="N17" s="23" t="s">
        <v>14</v>
      </c>
      <c r="O17" s="14" t="s">
        <v>15</v>
      </c>
      <c r="P17" s="23" t="s">
        <v>14</v>
      </c>
      <c r="Q17" s="14"/>
      <c r="R17" s="14"/>
      <c r="S17" s="14"/>
      <c r="T17" s="15"/>
      <c r="U17" s="14"/>
      <c r="V17" s="15"/>
      <c r="W17" s="15"/>
      <c r="X17" s="15"/>
      <c r="Y17" s="15"/>
      <c r="Z17" s="16">
        <f t="shared" si="0"/>
        <v>4</v>
      </c>
      <c r="AA17" s="16">
        <f t="shared" si="1"/>
        <v>1</v>
      </c>
      <c r="AB17" s="16">
        <f t="shared" si="2"/>
        <v>5</v>
      </c>
      <c r="AC17" s="17">
        <f t="shared" si="3"/>
        <v>80</v>
      </c>
    </row>
    <row r="18" spans="1:29" ht="15.75" customHeight="1">
      <c r="A18" s="22">
        <v>13</v>
      </c>
      <c r="B18" s="12" t="s">
        <v>132</v>
      </c>
      <c r="C18" s="18" t="s">
        <v>133</v>
      </c>
      <c r="D18" s="14" t="s">
        <v>14</v>
      </c>
      <c r="E18" s="14"/>
      <c r="F18" s="14"/>
      <c r="G18" s="14"/>
      <c r="H18" s="14" t="s">
        <v>14</v>
      </c>
      <c r="I18" s="14"/>
      <c r="J18" s="14"/>
      <c r="K18" s="14"/>
      <c r="L18" s="14"/>
      <c r="M18" s="14"/>
      <c r="N18" s="23" t="s">
        <v>14</v>
      </c>
      <c r="O18" s="23" t="s">
        <v>14</v>
      </c>
      <c r="P18" s="14" t="s">
        <v>15</v>
      </c>
      <c r="Q18" s="14"/>
      <c r="R18" s="14"/>
      <c r="S18" s="14"/>
      <c r="T18" s="15"/>
      <c r="U18" s="14"/>
      <c r="V18" s="15"/>
      <c r="W18" s="15"/>
      <c r="X18" s="15"/>
      <c r="Y18" s="15"/>
      <c r="Z18" s="16">
        <f t="shared" si="0"/>
        <v>4</v>
      </c>
      <c r="AA18" s="16">
        <f t="shared" si="1"/>
        <v>1</v>
      </c>
      <c r="AB18" s="16">
        <f t="shared" si="2"/>
        <v>5</v>
      </c>
      <c r="AC18" s="17">
        <f t="shared" si="3"/>
        <v>80</v>
      </c>
    </row>
    <row r="19" spans="1:29" ht="15.75" customHeight="1">
      <c r="A19" s="22">
        <v>14</v>
      </c>
      <c r="B19" s="12" t="s">
        <v>134</v>
      </c>
      <c r="C19" s="18" t="s">
        <v>135</v>
      </c>
      <c r="D19" s="14" t="s">
        <v>14</v>
      </c>
      <c r="E19" s="14"/>
      <c r="F19" s="14"/>
      <c r="G19" s="14"/>
      <c r="H19" s="14" t="s">
        <v>14</v>
      </c>
      <c r="I19" s="14"/>
      <c r="J19" s="14"/>
      <c r="K19" s="14"/>
      <c r="L19" s="14"/>
      <c r="M19" s="14"/>
      <c r="N19" s="23" t="s">
        <v>14</v>
      </c>
      <c r="O19" s="23" t="s">
        <v>14</v>
      </c>
      <c r="P19" s="23" t="s">
        <v>14</v>
      </c>
      <c r="Q19" s="14"/>
      <c r="R19" s="14"/>
      <c r="S19" s="14"/>
      <c r="T19" s="15"/>
      <c r="U19" s="14"/>
      <c r="V19" s="15"/>
      <c r="W19" s="15"/>
      <c r="X19" s="15"/>
      <c r="Y19" s="15"/>
      <c r="Z19" s="16">
        <f t="shared" si="0"/>
        <v>5</v>
      </c>
      <c r="AA19" s="16">
        <f t="shared" si="1"/>
        <v>0</v>
      </c>
      <c r="AB19" s="16">
        <f t="shared" si="2"/>
        <v>5</v>
      </c>
      <c r="AC19" s="17">
        <f t="shared" si="3"/>
        <v>100</v>
      </c>
    </row>
    <row r="20" spans="1:29" ht="15.75" customHeight="1">
      <c r="A20" s="22">
        <v>15</v>
      </c>
      <c r="B20" s="12" t="s">
        <v>136</v>
      </c>
      <c r="C20" s="18" t="s">
        <v>137</v>
      </c>
      <c r="D20" s="14" t="s">
        <v>14</v>
      </c>
      <c r="E20" s="14"/>
      <c r="F20" s="14"/>
      <c r="G20" s="14"/>
      <c r="H20" s="14" t="s">
        <v>14</v>
      </c>
      <c r="I20" s="14"/>
      <c r="J20" s="14"/>
      <c r="K20" s="14"/>
      <c r="L20" s="14"/>
      <c r="M20" s="14"/>
      <c r="N20" s="23" t="s">
        <v>14</v>
      </c>
      <c r="O20" s="23" t="s">
        <v>14</v>
      </c>
      <c r="P20" s="14" t="s">
        <v>15</v>
      </c>
      <c r="Q20" s="14"/>
      <c r="R20" s="14"/>
      <c r="S20" s="14"/>
      <c r="T20" s="15"/>
      <c r="U20" s="14"/>
      <c r="V20" s="15"/>
      <c r="W20" s="15"/>
      <c r="X20" s="15"/>
      <c r="Y20" s="15"/>
      <c r="Z20" s="16">
        <f t="shared" si="0"/>
        <v>4</v>
      </c>
      <c r="AA20" s="16">
        <f t="shared" si="1"/>
        <v>1</v>
      </c>
      <c r="AB20" s="16">
        <f t="shared" si="2"/>
        <v>5</v>
      </c>
      <c r="AC20" s="17">
        <f t="shared" si="3"/>
        <v>80</v>
      </c>
    </row>
    <row r="21" spans="1:29" ht="15.75" customHeight="1">
      <c r="A21" s="22">
        <v>16</v>
      </c>
      <c r="B21" s="12" t="s">
        <v>138</v>
      </c>
      <c r="C21" s="18" t="s">
        <v>139</v>
      </c>
      <c r="D21" s="14" t="s">
        <v>14</v>
      </c>
      <c r="E21" s="14"/>
      <c r="F21" s="14"/>
      <c r="G21" s="14"/>
      <c r="H21" s="14" t="s">
        <v>14</v>
      </c>
      <c r="I21" s="14"/>
      <c r="J21" s="14"/>
      <c r="K21" s="14"/>
      <c r="L21" s="14"/>
      <c r="M21" s="14"/>
      <c r="N21" s="23" t="s">
        <v>14</v>
      </c>
      <c r="O21" s="23" t="s">
        <v>14</v>
      </c>
      <c r="P21" s="14" t="s">
        <v>15</v>
      </c>
      <c r="Q21" s="14"/>
      <c r="R21" s="14"/>
      <c r="S21" s="14"/>
      <c r="T21" s="15"/>
      <c r="U21" s="14"/>
      <c r="V21" s="15"/>
      <c r="W21" s="15"/>
      <c r="X21" s="15"/>
      <c r="Y21" s="15"/>
      <c r="Z21" s="16">
        <f t="shared" si="0"/>
        <v>4</v>
      </c>
      <c r="AA21" s="16">
        <f t="shared" si="1"/>
        <v>1</v>
      </c>
      <c r="AB21" s="16">
        <f t="shared" si="2"/>
        <v>5</v>
      </c>
      <c r="AC21" s="17">
        <f t="shared" si="3"/>
        <v>80</v>
      </c>
    </row>
    <row r="22" spans="1:29" ht="15.75" customHeight="1">
      <c r="A22" s="22">
        <v>17</v>
      </c>
      <c r="B22" s="12" t="s">
        <v>140</v>
      </c>
      <c r="C22" s="18" t="s">
        <v>141</v>
      </c>
      <c r="D22" s="14" t="s">
        <v>14</v>
      </c>
      <c r="E22" s="14"/>
      <c r="F22" s="14"/>
      <c r="G22" s="14"/>
      <c r="H22" s="14" t="s">
        <v>14</v>
      </c>
      <c r="I22" s="14"/>
      <c r="J22" s="14"/>
      <c r="K22" s="14"/>
      <c r="L22" s="14"/>
      <c r="M22" s="14"/>
      <c r="N22" s="23" t="s">
        <v>14</v>
      </c>
      <c r="O22" s="23" t="s">
        <v>14</v>
      </c>
      <c r="P22" s="23" t="s">
        <v>14</v>
      </c>
      <c r="Q22" s="14"/>
      <c r="R22" s="14"/>
      <c r="S22" s="14"/>
      <c r="T22" s="15"/>
      <c r="U22" s="14"/>
      <c r="V22" s="15"/>
      <c r="W22" s="15"/>
      <c r="X22" s="15"/>
      <c r="Y22" s="15"/>
      <c r="Z22" s="16">
        <f t="shared" si="0"/>
        <v>5</v>
      </c>
      <c r="AA22" s="16">
        <f t="shared" si="1"/>
        <v>0</v>
      </c>
      <c r="AB22" s="16">
        <f t="shared" si="2"/>
        <v>5</v>
      </c>
      <c r="AC22" s="17">
        <f t="shared" si="3"/>
        <v>100</v>
      </c>
    </row>
    <row r="23" spans="1:29" ht="15.75" customHeight="1">
      <c r="A23" s="22">
        <v>18</v>
      </c>
      <c r="B23" s="12" t="s">
        <v>142</v>
      </c>
      <c r="C23" s="18" t="s">
        <v>143</v>
      </c>
      <c r="D23" s="14" t="s">
        <v>14</v>
      </c>
      <c r="E23" s="14"/>
      <c r="F23" s="14"/>
      <c r="G23" s="14"/>
      <c r="H23" s="14" t="s">
        <v>15</v>
      </c>
      <c r="I23" s="14"/>
      <c r="J23" s="14"/>
      <c r="K23" s="14"/>
      <c r="L23" s="14"/>
      <c r="M23" s="14"/>
      <c r="N23" s="23" t="s">
        <v>14</v>
      </c>
      <c r="O23" s="23" t="s">
        <v>14</v>
      </c>
      <c r="P23" s="14" t="s">
        <v>15</v>
      </c>
      <c r="Q23" s="14"/>
      <c r="R23" s="14"/>
      <c r="S23" s="14"/>
      <c r="T23" s="15"/>
      <c r="U23" s="14"/>
      <c r="V23" s="15"/>
      <c r="W23" s="15"/>
      <c r="X23" s="15"/>
      <c r="Y23" s="15"/>
      <c r="Z23" s="16">
        <f t="shared" si="0"/>
        <v>3</v>
      </c>
      <c r="AA23" s="16">
        <f t="shared" si="1"/>
        <v>2</v>
      </c>
      <c r="AB23" s="16">
        <f t="shared" si="2"/>
        <v>5</v>
      </c>
      <c r="AC23" s="17">
        <f t="shared" si="3"/>
        <v>60</v>
      </c>
    </row>
    <row r="24" spans="1:29" ht="15.75" customHeight="1">
      <c r="A24" s="22">
        <v>19</v>
      </c>
      <c r="B24" s="12" t="s">
        <v>144</v>
      </c>
      <c r="C24" s="18" t="s">
        <v>145</v>
      </c>
      <c r="D24" s="14" t="s">
        <v>14</v>
      </c>
      <c r="E24" s="14"/>
      <c r="F24" s="14"/>
      <c r="G24" s="14"/>
      <c r="H24" s="14" t="s">
        <v>14</v>
      </c>
      <c r="I24" s="14"/>
      <c r="J24" s="14"/>
      <c r="K24" s="14"/>
      <c r="L24" s="14"/>
      <c r="M24" s="14"/>
      <c r="N24" s="23" t="s">
        <v>14</v>
      </c>
      <c r="O24" s="23" t="s">
        <v>14</v>
      </c>
      <c r="P24" s="23" t="s">
        <v>14</v>
      </c>
      <c r="Q24" s="14"/>
      <c r="R24" s="14"/>
      <c r="S24" s="14"/>
      <c r="T24" s="15"/>
      <c r="U24" s="14"/>
      <c r="V24" s="15"/>
      <c r="W24" s="15"/>
      <c r="X24" s="15"/>
      <c r="Y24" s="15"/>
      <c r="Z24" s="16">
        <f t="shared" si="0"/>
        <v>5</v>
      </c>
      <c r="AA24" s="16">
        <f t="shared" si="1"/>
        <v>0</v>
      </c>
      <c r="AB24" s="16">
        <f t="shared" si="2"/>
        <v>5</v>
      </c>
      <c r="AC24" s="17">
        <f t="shared" si="3"/>
        <v>100</v>
      </c>
    </row>
    <row r="25" spans="1:29" ht="15.75" customHeight="1">
      <c r="A25" s="22">
        <v>20</v>
      </c>
      <c r="B25" s="12" t="s">
        <v>146</v>
      </c>
      <c r="C25" s="18" t="s">
        <v>147</v>
      </c>
      <c r="D25" s="14" t="s">
        <v>14</v>
      </c>
      <c r="E25" s="14"/>
      <c r="F25" s="14"/>
      <c r="G25" s="14"/>
      <c r="H25" s="14" t="s">
        <v>14</v>
      </c>
      <c r="I25" s="14"/>
      <c r="J25" s="14"/>
      <c r="K25" s="14"/>
      <c r="L25" s="14"/>
      <c r="M25" s="14"/>
      <c r="N25" s="23" t="s">
        <v>14</v>
      </c>
      <c r="O25" s="23" t="s">
        <v>14</v>
      </c>
      <c r="P25" s="23" t="s">
        <v>14</v>
      </c>
      <c r="Q25" s="14"/>
      <c r="R25" s="14"/>
      <c r="S25" s="14"/>
      <c r="T25" s="15"/>
      <c r="U25" s="14"/>
      <c r="V25" s="15"/>
      <c r="W25" s="15"/>
      <c r="X25" s="15"/>
      <c r="Y25" s="15"/>
      <c r="Z25" s="16">
        <f t="shared" si="0"/>
        <v>5</v>
      </c>
      <c r="AA25" s="16">
        <f t="shared" si="1"/>
        <v>0</v>
      </c>
      <c r="AB25" s="16">
        <f t="shared" si="2"/>
        <v>5</v>
      </c>
      <c r="AC25" s="17">
        <f t="shared" si="3"/>
        <v>100</v>
      </c>
    </row>
    <row r="26" spans="1:29" ht="15.75" customHeight="1">
      <c r="A26" s="22">
        <v>21</v>
      </c>
      <c r="B26" s="12" t="s">
        <v>148</v>
      </c>
      <c r="C26" s="18" t="s">
        <v>149</v>
      </c>
      <c r="D26" s="14" t="s">
        <v>14</v>
      </c>
      <c r="E26" s="14"/>
      <c r="F26" s="14"/>
      <c r="G26" s="14"/>
      <c r="H26" s="14" t="s">
        <v>14</v>
      </c>
      <c r="I26" s="14"/>
      <c r="J26" s="14"/>
      <c r="K26" s="14"/>
      <c r="L26" s="14"/>
      <c r="M26" s="14"/>
      <c r="N26" s="23" t="s">
        <v>14</v>
      </c>
      <c r="O26" s="23" t="s">
        <v>14</v>
      </c>
      <c r="P26" s="23" t="s">
        <v>14</v>
      </c>
      <c r="Q26" s="14"/>
      <c r="R26" s="14"/>
      <c r="S26" s="14"/>
      <c r="T26" s="15"/>
      <c r="U26" s="14"/>
      <c r="V26" s="15"/>
      <c r="W26" s="15"/>
      <c r="X26" s="15"/>
      <c r="Y26" s="15"/>
      <c r="Z26" s="16">
        <f t="shared" si="0"/>
        <v>5</v>
      </c>
      <c r="AA26" s="16">
        <f t="shared" si="1"/>
        <v>0</v>
      </c>
      <c r="AB26" s="16">
        <f t="shared" si="2"/>
        <v>5</v>
      </c>
      <c r="AC26" s="17">
        <f t="shared" si="3"/>
        <v>100</v>
      </c>
    </row>
    <row r="27" spans="1:29" ht="15.75" customHeight="1">
      <c r="A27" s="22">
        <v>22</v>
      </c>
      <c r="B27" s="12" t="s">
        <v>150</v>
      </c>
      <c r="C27" s="18" t="s">
        <v>151</v>
      </c>
      <c r="D27" s="14" t="s">
        <v>14</v>
      </c>
      <c r="E27" s="14"/>
      <c r="F27" s="14"/>
      <c r="G27" s="14"/>
      <c r="H27" s="14" t="s">
        <v>14</v>
      </c>
      <c r="I27" s="14"/>
      <c r="J27" s="14"/>
      <c r="K27" s="14"/>
      <c r="L27" s="14"/>
      <c r="M27" s="14"/>
      <c r="N27" s="23" t="s">
        <v>14</v>
      </c>
      <c r="O27" s="23" t="s">
        <v>14</v>
      </c>
      <c r="P27" s="23" t="s">
        <v>14</v>
      </c>
      <c r="Q27" s="14"/>
      <c r="R27" s="14"/>
      <c r="S27" s="14"/>
      <c r="T27" s="15"/>
      <c r="U27" s="14"/>
      <c r="V27" s="15"/>
      <c r="W27" s="15"/>
      <c r="X27" s="15"/>
      <c r="Y27" s="15"/>
      <c r="Z27" s="16">
        <f t="shared" si="0"/>
        <v>5</v>
      </c>
      <c r="AA27" s="16">
        <f t="shared" si="1"/>
        <v>0</v>
      </c>
      <c r="AB27" s="16">
        <f t="shared" si="2"/>
        <v>5</v>
      </c>
      <c r="AC27" s="17">
        <f t="shared" si="3"/>
        <v>100</v>
      </c>
    </row>
    <row r="28" spans="1:29" ht="15.75" customHeight="1">
      <c r="A28" s="22">
        <v>23</v>
      </c>
      <c r="B28" s="12" t="s">
        <v>152</v>
      </c>
      <c r="C28" s="18" t="s">
        <v>153</v>
      </c>
      <c r="D28" s="14" t="s">
        <v>14</v>
      </c>
      <c r="E28" s="14"/>
      <c r="F28" s="14"/>
      <c r="G28" s="14"/>
      <c r="H28" s="14" t="s">
        <v>15</v>
      </c>
      <c r="I28" s="14"/>
      <c r="J28" s="14"/>
      <c r="K28" s="14"/>
      <c r="L28" s="14"/>
      <c r="M28" s="14"/>
      <c r="N28" s="23" t="s">
        <v>14</v>
      </c>
      <c r="O28" s="23" t="s">
        <v>14</v>
      </c>
      <c r="P28" s="14" t="s">
        <v>15</v>
      </c>
      <c r="Q28" s="14"/>
      <c r="R28" s="14"/>
      <c r="S28" s="14"/>
      <c r="T28" s="15"/>
      <c r="U28" s="14"/>
      <c r="V28" s="15"/>
      <c r="W28" s="15"/>
      <c r="X28" s="15"/>
      <c r="Y28" s="15"/>
      <c r="Z28" s="16">
        <f t="shared" si="0"/>
        <v>3</v>
      </c>
      <c r="AA28" s="16">
        <f t="shared" si="1"/>
        <v>2</v>
      </c>
      <c r="AB28" s="16">
        <f t="shared" si="2"/>
        <v>5</v>
      </c>
      <c r="AC28" s="17">
        <f t="shared" si="3"/>
        <v>60</v>
      </c>
    </row>
    <row r="29" spans="1:29" ht="15.75" customHeight="1">
      <c r="A29" s="22">
        <v>24</v>
      </c>
      <c r="B29" s="12" t="s">
        <v>154</v>
      </c>
      <c r="C29" s="18" t="s">
        <v>155</v>
      </c>
      <c r="D29" s="14" t="s">
        <v>14</v>
      </c>
      <c r="E29" s="14"/>
      <c r="F29" s="14"/>
      <c r="G29" s="14"/>
      <c r="H29" s="14" t="s">
        <v>14</v>
      </c>
      <c r="I29" s="14"/>
      <c r="J29" s="14"/>
      <c r="K29" s="14"/>
      <c r="L29" s="14"/>
      <c r="M29" s="14"/>
      <c r="N29" s="23" t="s">
        <v>14</v>
      </c>
      <c r="O29" s="23" t="s">
        <v>14</v>
      </c>
      <c r="P29" s="23" t="s">
        <v>14</v>
      </c>
      <c r="Q29" s="14"/>
      <c r="R29" s="14"/>
      <c r="S29" s="14"/>
      <c r="T29" s="15"/>
      <c r="U29" s="14"/>
      <c r="V29" s="15"/>
      <c r="W29" s="15"/>
      <c r="X29" s="15"/>
      <c r="Y29" s="15"/>
      <c r="Z29" s="16">
        <f t="shared" si="0"/>
        <v>5</v>
      </c>
      <c r="AA29" s="16">
        <f t="shared" si="1"/>
        <v>0</v>
      </c>
      <c r="AB29" s="16">
        <f t="shared" si="2"/>
        <v>5</v>
      </c>
      <c r="AC29" s="17">
        <f t="shared" si="3"/>
        <v>100</v>
      </c>
    </row>
    <row r="30" spans="1:29" ht="15.75" customHeight="1">
      <c r="A30" s="22">
        <v>25</v>
      </c>
      <c r="B30" s="12" t="s">
        <v>156</v>
      </c>
      <c r="C30" s="13" t="s">
        <v>157</v>
      </c>
      <c r="D30" s="14" t="s">
        <v>14</v>
      </c>
      <c r="E30" s="14"/>
      <c r="F30" s="14"/>
      <c r="G30" s="14"/>
      <c r="H30" s="14" t="s">
        <v>14</v>
      </c>
      <c r="I30" s="14"/>
      <c r="J30" s="14"/>
      <c r="K30" s="14"/>
      <c r="L30" s="14"/>
      <c r="M30" s="14"/>
      <c r="N30" s="23" t="s">
        <v>14</v>
      </c>
      <c r="O30" s="23" t="s">
        <v>14</v>
      </c>
      <c r="P30" s="23" t="s">
        <v>14</v>
      </c>
      <c r="Q30" s="14"/>
      <c r="R30" s="14"/>
      <c r="S30" s="14"/>
      <c r="T30" s="15"/>
      <c r="U30" s="14"/>
      <c r="V30" s="15"/>
      <c r="W30" s="15"/>
      <c r="X30" s="15"/>
      <c r="Y30" s="15"/>
      <c r="Z30" s="16">
        <f t="shared" si="0"/>
        <v>5</v>
      </c>
      <c r="AA30" s="16">
        <f t="shared" si="1"/>
        <v>0</v>
      </c>
      <c r="AB30" s="16">
        <f t="shared" si="2"/>
        <v>5</v>
      </c>
      <c r="AC30" s="17">
        <f t="shared" si="3"/>
        <v>100</v>
      </c>
    </row>
    <row r="31" spans="1:29" ht="15.75" customHeight="1">
      <c r="A31" s="22">
        <v>26</v>
      </c>
      <c r="B31" s="12" t="s">
        <v>158</v>
      </c>
      <c r="C31" s="13" t="s">
        <v>159</v>
      </c>
      <c r="D31" s="14" t="s">
        <v>14</v>
      </c>
      <c r="E31" s="14"/>
      <c r="F31" s="14"/>
      <c r="G31" s="14"/>
      <c r="H31" s="14" t="s">
        <v>14</v>
      </c>
      <c r="I31" s="14"/>
      <c r="J31" s="14"/>
      <c r="K31" s="14"/>
      <c r="L31" s="14"/>
      <c r="M31" s="14"/>
      <c r="N31" s="23" t="s">
        <v>14</v>
      </c>
      <c r="O31" s="23" t="s">
        <v>14</v>
      </c>
      <c r="P31" s="23" t="s">
        <v>14</v>
      </c>
      <c r="Q31" s="14"/>
      <c r="R31" s="14"/>
      <c r="S31" s="14"/>
      <c r="T31" s="15"/>
      <c r="U31" s="14"/>
      <c r="V31" s="15"/>
      <c r="W31" s="15"/>
      <c r="X31" s="15"/>
      <c r="Y31" s="15"/>
      <c r="Z31" s="16">
        <f t="shared" si="0"/>
        <v>5</v>
      </c>
      <c r="AA31" s="16">
        <f t="shared" si="1"/>
        <v>0</v>
      </c>
      <c r="AB31" s="16">
        <f t="shared" si="2"/>
        <v>5</v>
      </c>
      <c r="AC31" s="17">
        <f t="shared" si="3"/>
        <v>100</v>
      </c>
    </row>
    <row r="32" spans="1:29" ht="15.75" customHeight="1">
      <c r="A32" s="22">
        <v>27</v>
      </c>
      <c r="B32" s="12" t="s">
        <v>160</v>
      </c>
      <c r="C32" s="13" t="s">
        <v>161</v>
      </c>
      <c r="D32" s="14" t="s">
        <v>14</v>
      </c>
      <c r="E32" s="14"/>
      <c r="F32" s="14"/>
      <c r="G32" s="14"/>
      <c r="H32" s="14" t="s">
        <v>14</v>
      </c>
      <c r="I32" s="14"/>
      <c r="J32" s="14"/>
      <c r="K32" s="14"/>
      <c r="L32" s="14"/>
      <c r="M32" s="14"/>
      <c r="N32" s="23" t="s">
        <v>14</v>
      </c>
      <c r="O32" s="23" t="s">
        <v>14</v>
      </c>
      <c r="P32" s="14" t="s">
        <v>15</v>
      </c>
      <c r="Q32" s="14"/>
      <c r="R32" s="14"/>
      <c r="S32" s="14"/>
      <c r="T32" s="15"/>
      <c r="U32" s="14"/>
      <c r="V32" s="15"/>
      <c r="W32" s="15"/>
      <c r="X32" s="15"/>
      <c r="Y32" s="15"/>
      <c r="Z32" s="16">
        <f t="shared" si="0"/>
        <v>4</v>
      </c>
      <c r="AA32" s="16">
        <f t="shared" si="1"/>
        <v>1</v>
      </c>
      <c r="AB32" s="16">
        <f t="shared" si="2"/>
        <v>5</v>
      </c>
      <c r="AC32" s="17">
        <f t="shared" si="3"/>
        <v>80</v>
      </c>
    </row>
    <row r="33" spans="1:29" ht="15.75" customHeight="1">
      <c r="A33" s="22">
        <v>28</v>
      </c>
      <c r="B33" s="12" t="s">
        <v>162</v>
      </c>
      <c r="C33" s="13" t="s">
        <v>163</v>
      </c>
      <c r="D33" s="14" t="s">
        <v>15</v>
      </c>
      <c r="E33" s="14"/>
      <c r="F33" s="14"/>
      <c r="G33" s="14"/>
      <c r="H33" s="14" t="s">
        <v>14</v>
      </c>
      <c r="I33" s="14"/>
      <c r="J33" s="14"/>
      <c r="K33" s="14"/>
      <c r="L33" s="14"/>
      <c r="M33" s="14"/>
      <c r="N33" s="23" t="s">
        <v>14</v>
      </c>
      <c r="O33" s="23" t="s">
        <v>14</v>
      </c>
      <c r="P33" s="14" t="s">
        <v>15</v>
      </c>
      <c r="Q33" s="14"/>
      <c r="R33" s="14"/>
      <c r="S33" s="14"/>
      <c r="T33" s="15"/>
      <c r="U33" s="14"/>
      <c r="V33" s="15"/>
      <c r="W33" s="15"/>
      <c r="X33" s="15"/>
      <c r="Y33" s="15"/>
      <c r="Z33" s="16">
        <f t="shared" si="0"/>
        <v>3</v>
      </c>
      <c r="AA33" s="16">
        <f t="shared" si="1"/>
        <v>2</v>
      </c>
      <c r="AB33" s="16">
        <f t="shared" si="2"/>
        <v>5</v>
      </c>
      <c r="AC33" s="17">
        <f t="shared" si="3"/>
        <v>60</v>
      </c>
    </row>
    <row r="34" spans="1:29" ht="15.75" customHeight="1">
      <c r="A34" s="22">
        <v>29</v>
      </c>
      <c r="B34" s="12" t="s">
        <v>164</v>
      </c>
      <c r="C34" s="13" t="s">
        <v>165</v>
      </c>
      <c r="D34" s="14" t="s">
        <v>14</v>
      </c>
      <c r="E34" s="14"/>
      <c r="F34" s="14"/>
      <c r="G34" s="14"/>
      <c r="H34" s="14" t="s">
        <v>15</v>
      </c>
      <c r="I34" s="14"/>
      <c r="J34" s="14"/>
      <c r="K34" s="14"/>
      <c r="L34" s="14"/>
      <c r="M34" s="14"/>
      <c r="N34" s="23" t="s">
        <v>14</v>
      </c>
      <c r="O34" s="23" t="s">
        <v>14</v>
      </c>
      <c r="P34" s="23" t="s">
        <v>14</v>
      </c>
      <c r="Q34" s="14"/>
      <c r="R34" s="14"/>
      <c r="S34" s="14"/>
      <c r="T34" s="15"/>
      <c r="U34" s="14"/>
      <c r="V34" s="15"/>
      <c r="W34" s="15"/>
      <c r="X34" s="15"/>
      <c r="Y34" s="15"/>
      <c r="Z34" s="16">
        <f t="shared" si="0"/>
        <v>4</v>
      </c>
      <c r="AA34" s="16">
        <f t="shared" si="1"/>
        <v>1</v>
      </c>
      <c r="AB34" s="16">
        <f t="shared" si="2"/>
        <v>5</v>
      </c>
      <c r="AC34" s="17">
        <f t="shared" si="3"/>
        <v>80</v>
      </c>
    </row>
    <row r="35" spans="1:29" ht="15.75" customHeight="1">
      <c r="A35" s="22">
        <v>30</v>
      </c>
      <c r="B35" s="12" t="s">
        <v>166</v>
      </c>
      <c r="C35" s="13" t="s">
        <v>167</v>
      </c>
      <c r="D35" s="14" t="s">
        <v>14</v>
      </c>
      <c r="E35" s="14"/>
      <c r="F35" s="14"/>
      <c r="G35" s="14"/>
      <c r="H35" s="14" t="s">
        <v>14</v>
      </c>
      <c r="I35" s="14"/>
      <c r="J35" s="14"/>
      <c r="K35" s="14"/>
      <c r="L35" s="14"/>
      <c r="M35" s="14"/>
      <c r="N35" s="23" t="s">
        <v>14</v>
      </c>
      <c r="O35" s="23" t="s">
        <v>14</v>
      </c>
      <c r="P35" s="14" t="s">
        <v>15</v>
      </c>
      <c r="Q35" s="14"/>
      <c r="R35" s="14"/>
      <c r="S35" s="14"/>
      <c r="T35" s="15"/>
      <c r="U35" s="14"/>
      <c r="V35" s="15"/>
      <c r="W35" s="15"/>
      <c r="X35" s="15"/>
      <c r="Y35" s="15"/>
      <c r="Z35" s="16">
        <f t="shared" si="0"/>
        <v>4</v>
      </c>
      <c r="AA35" s="16">
        <f t="shared" si="1"/>
        <v>1</v>
      </c>
      <c r="AB35" s="16">
        <f t="shared" si="2"/>
        <v>5</v>
      </c>
      <c r="AC35" s="17">
        <f t="shared" si="3"/>
        <v>80</v>
      </c>
    </row>
    <row r="36" spans="1:29" ht="15.75" customHeight="1">
      <c r="A36" s="22">
        <v>31</v>
      </c>
      <c r="B36" s="12" t="s">
        <v>168</v>
      </c>
      <c r="C36" s="13" t="s">
        <v>169</v>
      </c>
      <c r="D36" s="14" t="s">
        <v>14</v>
      </c>
      <c r="E36" s="14"/>
      <c r="F36" s="14"/>
      <c r="G36" s="14"/>
      <c r="H36" s="14" t="s">
        <v>14</v>
      </c>
      <c r="I36" s="14"/>
      <c r="J36" s="14"/>
      <c r="K36" s="14"/>
      <c r="L36" s="14"/>
      <c r="M36" s="14"/>
      <c r="N36" s="23" t="s">
        <v>14</v>
      </c>
      <c r="O36" s="23" t="s">
        <v>14</v>
      </c>
      <c r="P36" s="14" t="s">
        <v>15</v>
      </c>
      <c r="Q36" s="14"/>
      <c r="R36" s="14"/>
      <c r="S36" s="14"/>
      <c r="T36" s="15"/>
      <c r="U36" s="14"/>
      <c r="V36" s="15"/>
      <c r="W36" s="15"/>
      <c r="X36" s="15"/>
      <c r="Y36" s="15"/>
      <c r="Z36" s="16">
        <f t="shared" si="0"/>
        <v>4</v>
      </c>
      <c r="AA36" s="16">
        <f t="shared" si="1"/>
        <v>1</v>
      </c>
      <c r="AB36" s="16">
        <f t="shared" si="2"/>
        <v>5</v>
      </c>
      <c r="AC36" s="17">
        <f t="shared" si="3"/>
        <v>80</v>
      </c>
    </row>
    <row r="37" spans="1:29" ht="15.75" customHeight="1">
      <c r="A37" s="22">
        <v>32</v>
      </c>
      <c r="B37" s="12" t="s">
        <v>170</v>
      </c>
      <c r="C37" s="13" t="s">
        <v>171</v>
      </c>
      <c r="D37" s="14" t="s">
        <v>14</v>
      </c>
      <c r="E37" s="14"/>
      <c r="F37" s="14"/>
      <c r="G37" s="14"/>
      <c r="H37" s="14" t="s">
        <v>14</v>
      </c>
      <c r="I37" s="14"/>
      <c r="J37" s="14"/>
      <c r="K37" s="14"/>
      <c r="L37" s="14"/>
      <c r="M37" s="14"/>
      <c r="N37" s="23" t="s">
        <v>14</v>
      </c>
      <c r="O37" s="23" t="s">
        <v>14</v>
      </c>
      <c r="P37" s="23" t="s">
        <v>14</v>
      </c>
      <c r="Q37" s="14"/>
      <c r="R37" s="14"/>
      <c r="S37" s="14"/>
      <c r="T37" s="15"/>
      <c r="U37" s="14"/>
      <c r="V37" s="15"/>
      <c r="W37" s="15"/>
      <c r="X37" s="15"/>
      <c r="Y37" s="15"/>
      <c r="Z37" s="16">
        <f t="shared" si="0"/>
        <v>5</v>
      </c>
      <c r="AA37" s="16">
        <f t="shared" si="1"/>
        <v>0</v>
      </c>
      <c r="AB37" s="16">
        <f t="shared" si="2"/>
        <v>5</v>
      </c>
      <c r="AC37" s="17">
        <f t="shared" si="3"/>
        <v>100</v>
      </c>
    </row>
    <row r="38" spans="1:29" ht="15.75" customHeight="1">
      <c r="A38" s="22">
        <v>33</v>
      </c>
      <c r="B38" s="12" t="s">
        <v>172</v>
      </c>
      <c r="C38" s="13" t="s">
        <v>173</v>
      </c>
      <c r="D38" s="14" t="s">
        <v>14</v>
      </c>
      <c r="E38" s="14"/>
      <c r="F38" s="14"/>
      <c r="G38" s="14"/>
      <c r="H38" s="14" t="s">
        <v>14</v>
      </c>
      <c r="I38" s="14"/>
      <c r="J38" s="14"/>
      <c r="K38" s="14"/>
      <c r="L38" s="14"/>
      <c r="M38" s="14"/>
      <c r="N38" s="23" t="s">
        <v>14</v>
      </c>
      <c r="O38" s="23" t="s">
        <v>14</v>
      </c>
      <c r="P38" s="23" t="s">
        <v>14</v>
      </c>
      <c r="Q38" s="14"/>
      <c r="R38" s="14"/>
      <c r="S38" s="14"/>
      <c r="T38" s="15"/>
      <c r="U38" s="14"/>
      <c r="V38" s="15"/>
      <c r="W38" s="15"/>
      <c r="X38" s="15"/>
      <c r="Y38" s="15"/>
      <c r="Z38" s="16">
        <f t="shared" si="0"/>
        <v>5</v>
      </c>
      <c r="AA38" s="16">
        <f t="shared" si="1"/>
        <v>0</v>
      </c>
      <c r="AB38" s="16">
        <f t="shared" si="2"/>
        <v>5</v>
      </c>
      <c r="AC38" s="17">
        <f t="shared" si="3"/>
        <v>100</v>
      </c>
    </row>
    <row r="39" spans="1:29" ht="15.75" customHeight="1">
      <c r="A39" s="22">
        <v>34</v>
      </c>
      <c r="B39" s="12" t="s">
        <v>174</v>
      </c>
      <c r="C39" s="13" t="s">
        <v>175</v>
      </c>
      <c r="D39" s="14" t="s">
        <v>14</v>
      </c>
      <c r="E39" s="14"/>
      <c r="F39" s="14"/>
      <c r="G39" s="14"/>
      <c r="H39" s="14" t="s">
        <v>14</v>
      </c>
      <c r="I39" s="14"/>
      <c r="J39" s="14"/>
      <c r="K39" s="14"/>
      <c r="L39" s="14"/>
      <c r="M39" s="14"/>
      <c r="N39" s="23" t="s">
        <v>14</v>
      </c>
      <c r="O39" s="23" t="s">
        <v>14</v>
      </c>
      <c r="P39" s="14" t="s">
        <v>15</v>
      </c>
      <c r="Q39" s="14"/>
      <c r="R39" s="14"/>
      <c r="S39" s="14"/>
      <c r="T39" s="15"/>
      <c r="U39" s="14"/>
      <c r="V39" s="15"/>
      <c r="W39" s="15"/>
      <c r="X39" s="15"/>
      <c r="Y39" s="15"/>
      <c r="Z39" s="16">
        <f t="shared" si="0"/>
        <v>4</v>
      </c>
      <c r="AA39" s="16">
        <f t="shared" si="1"/>
        <v>1</v>
      </c>
      <c r="AB39" s="16">
        <f t="shared" si="2"/>
        <v>5</v>
      </c>
      <c r="AC39" s="17">
        <f t="shared" si="3"/>
        <v>80</v>
      </c>
    </row>
    <row r="40" spans="1:29" ht="15.75" customHeight="1">
      <c r="A40" s="22">
        <v>35</v>
      </c>
      <c r="B40" s="12" t="s">
        <v>176</v>
      </c>
      <c r="C40" s="13" t="s">
        <v>177</v>
      </c>
      <c r="D40" s="14" t="s">
        <v>14</v>
      </c>
      <c r="E40" s="14"/>
      <c r="F40" s="14"/>
      <c r="G40" s="14"/>
      <c r="H40" s="14" t="s">
        <v>15</v>
      </c>
      <c r="I40" s="14"/>
      <c r="J40" s="14"/>
      <c r="K40" s="14"/>
      <c r="L40" s="14"/>
      <c r="M40" s="14"/>
      <c r="N40" s="23" t="s">
        <v>14</v>
      </c>
      <c r="O40" s="23" t="s">
        <v>14</v>
      </c>
      <c r="P40" s="23" t="s">
        <v>14</v>
      </c>
      <c r="Q40" s="14"/>
      <c r="R40" s="14"/>
      <c r="S40" s="14"/>
      <c r="T40" s="15"/>
      <c r="U40" s="14"/>
      <c r="V40" s="15"/>
      <c r="W40" s="15"/>
      <c r="X40" s="15"/>
      <c r="Y40" s="15"/>
      <c r="Z40" s="16">
        <f t="shared" si="0"/>
        <v>4</v>
      </c>
      <c r="AA40" s="16">
        <f t="shared" si="1"/>
        <v>1</v>
      </c>
      <c r="AB40" s="16">
        <f t="shared" si="2"/>
        <v>5</v>
      </c>
      <c r="AC40" s="17">
        <f t="shared" si="3"/>
        <v>80</v>
      </c>
    </row>
    <row r="41" spans="1:29" ht="15.75" customHeight="1">
      <c r="A41" s="22">
        <v>36</v>
      </c>
      <c r="B41" s="12" t="s">
        <v>178</v>
      </c>
      <c r="C41" s="13" t="s">
        <v>179</v>
      </c>
      <c r="D41" s="14" t="s">
        <v>14</v>
      </c>
      <c r="E41" s="14"/>
      <c r="F41" s="14"/>
      <c r="G41" s="14"/>
      <c r="H41" s="14" t="s">
        <v>14</v>
      </c>
      <c r="I41" s="14"/>
      <c r="J41" s="14"/>
      <c r="K41" s="14"/>
      <c r="L41" s="14"/>
      <c r="M41" s="14"/>
      <c r="N41" s="23" t="s">
        <v>14</v>
      </c>
      <c r="O41" s="23" t="s">
        <v>14</v>
      </c>
      <c r="P41" s="14" t="s">
        <v>15</v>
      </c>
      <c r="Q41" s="14"/>
      <c r="R41" s="14"/>
      <c r="S41" s="14"/>
      <c r="T41" s="15"/>
      <c r="U41" s="14"/>
      <c r="V41" s="15"/>
      <c r="W41" s="15"/>
      <c r="X41" s="15"/>
      <c r="Y41" s="15"/>
      <c r="Z41" s="16">
        <f t="shared" si="0"/>
        <v>4</v>
      </c>
      <c r="AA41" s="16">
        <f t="shared" si="1"/>
        <v>1</v>
      </c>
      <c r="AB41" s="16">
        <f t="shared" si="2"/>
        <v>5</v>
      </c>
      <c r="AC41" s="17">
        <f t="shared" si="3"/>
        <v>80</v>
      </c>
    </row>
    <row r="42" spans="1:29" ht="15.75" customHeight="1">
      <c r="A42" s="22">
        <v>37</v>
      </c>
      <c r="B42" s="12" t="s">
        <v>180</v>
      </c>
      <c r="C42" s="13" t="s">
        <v>181</v>
      </c>
      <c r="D42" s="14" t="s">
        <v>15</v>
      </c>
      <c r="E42" s="14"/>
      <c r="F42" s="14"/>
      <c r="G42" s="14"/>
      <c r="H42" s="14" t="s">
        <v>14</v>
      </c>
      <c r="I42" s="14"/>
      <c r="J42" s="14"/>
      <c r="K42" s="14"/>
      <c r="L42" s="14"/>
      <c r="M42" s="14"/>
      <c r="N42" s="23" t="s">
        <v>14</v>
      </c>
      <c r="O42" s="23" t="s">
        <v>14</v>
      </c>
      <c r="P42" s="23" t="s">
        <v>14</v>
      </c>
      <c r="Q42" s="14"/>
      <c r="R42" s="14"/>
      <c r="S42" s="14"/>
      <c r="T42" s="15"/>
      <c r="U42" s="14"/>
      <c r="V42" s="15"/>
      <c r="W42" s="15"/>
      <c r="X42" s="15"/>
      <c r="Y42" s="15"/>
      <c r="Z42" s="16">
        <f t="shared" si="0"/>
        <v>4</v>
      </c>
      <c r="AA42" s="16">
        <f t="shared" si="1"/>
        <v>1</v>
      </c>
      <c r="AB42" s="16">
        <f t="shared" si="2"/>
        <v>5</v>
      </c>
      <c r="AC42" s="17">
        <f t="shared" si="3"/>
        <v>80</v>
      </c>
    </row>
    <row r="43" spans="1:29" ht="15.75" customHeight="1">
      <c r="A43" s="22">
        <v>38</v>
      </c>
      <c r="B43" s="12" t="s">
        <v>182</v>
      </c>
      <c r="C43" s="13" t="s">
        <v>183</v>
      </c>
      <c r="D43" s="14" t="s">
        <v>14</v>
      </c>
      <c r="E43" s="14"/>
      <c r="F43" s="14"/>
      <c r="G43" s="14"/>
      <c r="H43" s="14" t="s">
        <v>14</v>
      </c>
      <c r="I43" s="14"/>
      <c r="J43" s="14"/>
      <c r="K43" s="14"/>
      <c r="L43" s="14"/>
      <c r="M43" s="14"/>
      <c r="N43" s="23" t="s">
        <v>14</v>
      </c>
      <c r="O43" s="23" t="s">
        <v>14</v>
      </c>
      <c r="P43" s="14" t="s">
        <v>15</v>
      </c>
      <c r="Q43" s="14"/>
      <c r="R43" s="14"/>
      <c r="S43" s="14"/>
      <c r="T43" s="15"/>
      <c r="U43" s="14"/>
      <c r="V43" s="15"/>
      <c r="W43" s="15"/>
      <c r="X43" s="15"/>
      <c r="Y43" s="15"/>
      <c r="Z43" s="16">
        <f t="shared" si="0"/>
        <v>4</v>
      </c>
      <c r="AA43" s="16">
        <f t="shared" si="1"/>
        <v>1</v>
      </c>
      <c r="AB43" s="16">
        <f t="shared" si="2"/>
        <v>5</v>
      </c>
      <c r="AC43" s="17">
        <f t="shared" si="3"/>
        <v>80</v>
      </c>
    </row>
    <row r="44" spans="1:29" ht="15.75" customHeight="1">
      <c r="A44" s="22">
        <v>39</v>
      </c>
      <c r="B44" s="12" t="s">
        <v>184</v>
      </c>
      <c r="C44" s="13" t="s">
        <v>185</v>
      </c>
      <c r="D44" s="14" t="s">
        <v>14</v>
      </c>
      <c r="E44" s="14"/>
      <c r="F44" s="14"/>
      <c r="G44" s="14"/>
      <c r="H44" s="14" t="s">
        <v>14</v>
      </c>
      <c r="I44" s="14"/>
      <c r="J44" s="14"/>
      <c r="K44" s="14"/>
      <c r="L44" s="14"/>
      <c r="M44" s="14"/>
      <c r="N44" s="14" t="s">
        <v>15</v>
      </c>
      <c r="O44" s="23" t="s">
        <v>14</v>
      </c>
      <c r="P44" s="23" t="s">
        <v>14</v>
      </c>
      <c r="Q44" s="14"/>
      <c r="R44" s="14"/>
      <c r="S44" s="14"/>
      <c r="T44" s="15"/>
      <c r="U44" s="14"/>
      <c r="V44" s="15"/>
      <c r="W44" s="15"/>
      <c r="X44" s="15"/>
      <c r="Y44" s="15"/>
      <c r="Z44" s="16">
        <f t="shared" si="0"/>
        <v>4</v>
      </c>
      <c r="AA44" s="16">
        <f t="shared" si="1"/>
        <v>1</v>
      </c>
      <c r="AB44" s="16">
        <f t="shared" si="2"/>
        <v>5</v>
      </c>
      <c r="AC44" s="17">
        <f t="shared" si="3"/>
        <v>80</v>
      </c>
    </row>
    <row r="45" spans="1:29" ht="15.75" customHeight="1">
      <c r="A45" s="22">
        <v>40</v>
      </c>
      <c r="B45" s="12" t="s">
        <v>186</v>
      </c>
      <c r="C45" s="13" t="s">
        <v>187</v>
      </c>
      <c r="D45" s="14" t="s">
        <v>14</v>
      </c>
      <c r="E45" s="14"/>
      <c r="F45" s="14"/>
      <c r="G45" s="14"/>
      <c r="H45" s="14" t="s">
        <v>15</v>
      </c>
      <c r="I45" s="14"/>
      <c r="J45" s="14"/>
      <c r="K45" s="14"/>
      <c r="L45" s="14"/>
      <c r="M45" s="14"/>
      <c r="N45" s="23" t="s">
        <v>14</v>
      </c>
      <c r="O45" s="23" t="s">
        <v>14</v>
      </c>
      <c r="P45" s="23" t="s">
        <v>14</v>
      </c>
      <c r="Q45" s="14"/>
      <c r="R45" s="14"/>
      <c r="S45" s="14"/>
      <c r="T45" s="15"/>
      <c r="U45" s="14"/>
      <c r="V45" s="15"/>
      <c r="W45" s="15"/>
      <c r="X45" s="15"/>
      <c r="Y45" s="15"/>
      <c r="Z45" s="16">
        <f t="shared" si="0"/>
        <v>4</v>
      </c>
      <c r="AA45" s="16">
        <f t="shared" si="1"/>
        <v>1</v>
      </c>
      <c r="AB45" s="16">
        <f t="shared" si="2"/>
        <v>5</v>
      </c>
      <c r="AC45" s="17">
        <f t="shared" si="3"/>
        <v>80</v>
      </c>
    </row>
    <row r="46" spans="1:29" ht="15.75" customHeight="1">
      <c r="A46" s="22">
        <v>41</v>
      </c>
      <c r="B46" s="12" t="s">
        <v>188</v>
      </c>
      <c r="C46" s="13" t="s">
        <v>189</v>
      </c>
      <c r="D46" s="14" t="s">
        <v>14</v>
      </c>
      <c r="E46" s="14"/>
      <c r="F46" s="14"/>
      <c r="G46" s="14"/>
      <c r="H46" s="14" t="s">
        <v>14</v>
      </c>
      <c r="I46" s="14"/>
      <c r="J46" s="14"/>
      <c r="K46" s="14"/>
      <c r="L46" s="14"/>
      <c r="M46" s="14"/>
      <c r="N46" s="23" t="s">
        <v>14</v>
      </c>
      <c r="O46" s="23" t="s">
        <v>14</v>
      </c>
      <c r="P46" s="14" t="s">
        <v>15</v>
      </c>
      <c r="Q46" s="14"/>
      <c r="R46" s="14"/>
      <c r="S46" s="14"/>
      <c r="T46" s="15"/>
      <c r="U46" s="14"/>
      <c r="V46" s="15"/>
      <c r="W46" s="15"/>
      <c r="X46" s="15"/>
      <c r="Y46" s="15"/>
      <c r="Z46" s="16">
        <f t="shared" si="0"/>
        <v>4</v>
      </c>
      <c r="AA46" s="16">
        <f t="shared" si="1"/>
        <v>1</v>
      </c>
      <c r="AB46" s="16">
        <f t="shared" si="2"/>
        <v>5</v>
      </c>
      <c r="AC46" s="17">
        <f t="shared" si="3"/>
        <v>80</v>
      </c>
    </row>
    <row r="47" spans="1:29" ht="15.75" customHeight="1">
      <c r="A47" s="22">
        <v>42</v>
      </c>
      <c r="B47" s="12" t="s">
        <v>190</v>
      </c>
      <c r="C47" s="13" t="s">
        <v>191</v>
      </c>
      <c r="D47" s="14" t="s">
        <v>14</v>
      </c>
      <c r="E47" s="14"/>
      <c r="F47" s="14"/>
      <c r="G47" s="14"/>
      <c r="H47" s="14" t="s">
        <v>14</v>
      </c>
      <c r="I47" s="14"/>
      <c r="J47" s="14"/>
      <c r="K47" s="14"/>
      <c r="L47" s="14"/>
      <c r="M47" s="14"/>
      <c r="N47" s="23" t="s">
        <v>14</v>
      </c>
      <c r="O47" s="23" t="s">
        <v>14</v>
      </c>
      <c r="P47" s="14" t="s">
        <v>15</v>
      </c>
      <c r="Q47" s="14"/>
      <c r="R47" s="14"/>
      <c r="S47" s="14"/>
      <c r="T47" s="15"/>
      <c r="U47" s="14"/>
      <c r="V47" s="15"/>
      <c r="W47" s="15"/>
      <c r="X47" s="15"/>
      <c r="Y47" s="15"/>
      <c r="Z47" s="16">
        <f t="shared" si="0"/>
        <v>4</v>
      </c>
      <c r="AA47" s="16">
        <f t="shared" si="1"/>
        <v>1</v>
      </c>
      <c r="AB47" s="16">
        <f t="shared" si="2"/>
        <v>5</v>
      </c>
      <c r="AC47" s="17">
        <f t="shared" si="3"/>
        <v>80</v>
      </c>
    </row>
    <row r="48" spans="1:29" ht="15.75" customHeight="1">
      <c r="A48" s="22">
        <v>43</v>
      </c>
      <c r="B48" s="12" t="s">
        <v>192</v>
      </c>
      <c r="C48" s="13" t="s">
        <v>193</v>
      </c>
      <c r="D48" s="14" t="s">
        <v>14</v>
      </c>
      <c r="E48" s="14"/>
      <c r="F48" s="14"/>
      <c r="G48" s="14"/>
      <c r="H48" s="14" t="s">
        <v>14</v>
      </c>
      <c r="I48" s="14"/>
      <c r="J48" s="14"/>
      <c r="K48" s="14"/>
      <c r="L48" s="14"/>
      <c r="M48" s="14"/>
      <c r="N48" s="23" t="s">
        <v>14</v>
      </c>
      <c r="O48" s="23" t="s">
        <v>14</v>
      </c>
      <c r="P48" s="23" t="s">
        <v>14</v>
      </c>
      <c r="Q48" s="14"/>
      <c r="R48" s="14"/>
      <c r="S48" s="14"/>
      <c r="T48" s="15"/>
      <c r="U48" s="14"/>
      <c r="V48" s="15"/>
      <c r="W48" s="15"/>
      <c r="X48" s="15"/>
      <c r="Y48" s="15"/>
      <c r="Z48" s="16">
        <f t="shared" si="0"/>
        <v>5</v>
      </c>
      <c r="AA48" s="16">
        <f t="shared" si="1"/>
        <v>0</v>
      </c>
      <c r="AB48" s="16">
        <f t="shared" si="2"/>
        <v>5</v>
      </c>
      <c r="AC48" s="17">
        <f t="shared" si="3"/>
        <v>100</v>
      </c>
    </row>
    <row r="49" spans="1:29" ht="15.75" customHeight="1">
      <c r="A49" s="22">
        <v>44</v>
      </c>
      <c r="B49" s="12" t="s">
        <v>194</v>
      </c>
      <c r="C49" s="13" t="s">
        <v>195</v>
      </c>
      <c r="D49" s="14" t="s">
        <v>14</v>
      </c>
      <c r="E49" s="14"/>
      <c r="F49" s="14"/>
      <c r="G49" s="14"/>
      <c r="H49" s="14" t="s">
        <v>14</v>
      </c>
      <c r="I49" s="14"/>
      <c r="J49" s="14"/>
      <c r="K49" s="14"/>
      <c r="L49" s="14"/>
      <c r="M49" s="14"/>
      <c r="N49" s="23" t="s">
        <v>14</v>
      </c>
      <c r="O49" s="23" t="s">
        <v>14</v>
      </c>
      <c r="P49" s="14" t="s">
        <v>15</v>
      </c>
      <c r="Q49" s="14"/>
      <c r="R49" s="14"/>
      <c r="S49" s="14"/>
      <c r="T49" s="15"/>
      <c r="U49" s="14"/>
      <c r="V49" s="15"/>
      <c r="W49" s="15"/>
      <c r="X49" s="15"/>
      <c r="Y49" s="15"/>
      <c r="Z49" s="16">
        <f t="shared" si="0"/>
        <v>4</v>
      </c>
      <c r="AA49" s="16">
        <f t="shared" si="1"/>
        <v>1</v>
      </c>
      <c r="AB49" s="16">
        <f t="shared" si="2"/>
        <v>5</v>
      </c>
      <c r="AC49" s="17">
        <f t="shared" si="3"/>
        <v>80</v>
      </c>
    </row>
    <row r="50" spans="1:29" ht="15.75" customHeight="1">
      <c r="A50" s="22">
        <v>45</v>
      </c>
      <c r="B50" s="12" t="s">
        <v>196</v>
      </c>
      <c r="C50" s="13" t="s">
        <v>197</v>
      </c>
      <c r="D50" s="14" t="s">
        <v>14</v>
      </c>
      <c r="E50" s="14"/>
      <c r="F50" s="14"/>
      <c r="G50" s="14"/>
      <c r="H50" s="14" t="s">
        <v>15</v>
      </c>
      <c r="I50" s="14"/>
      <c r="J50" s="14"/>
      <c r="K50" s="14"/>
      <c r="L50" s="14"/>
      <c r="M50" s="14"/>
      <c r="N50" s="23" t="s">
        <v>14</v>
      </c>
      <c r="O50" s="23" t="s">
        <v>14</v>
      </c>
      <c r="P50" s="23" t="s">
        <v>14</v>
      </c>
      <c r="Q50" s="14"/>
      <c r="R50" s="14"/>
      <c r="S50" s="14"/>
      <c r="T50" s="15"/>
      <c r="U50" s="14"/>
      <c r="V50" s="15"/>
      <c r="W50" s="15"/>
      <c r="X50" s="15"/>
      <c r="Y50" s="15"/>
      <c r="Z50" s="16">
        <f t="shared" si="0"/>
        <v>4</v>
      </c>
      <c r="AA50" s="16">
        <f t="shared" si="1"/>
        <v>1</v>
      </c>
      <c r="AB50" s="16">
        <f t="shared" si="2"/>
        <v>5</v>
      </c>
      <c r="AC50" s="17">
        <f t="shared" si="3"/>
        <v>80</v>
      </c>
    </row>
    <row r="51" spans="1:29" ht="15.75" customHeight="1">
      <c r="A51" s="22">
        <v>46</v>
      </c>
      <c r="B51" s="12" t="s">
        <v>198</v>
      </c>
      <c r="C51" s="13" t="s">
        <v>199</v>
      </c>
      <c r="D51" s="14" t="s">
        <v>14</v>
      </c>
      <c r="E51" s="14"/>
      <c r="F51" s="14"/>
      <c r="G51" s="14"/>
      <c r="H51" s="14" t="s">
        <v>14</v>
      </c>
      <c r="I51" s="14"/>
      <c r="J51" s="14"/>
      <c r="K51" s="14"/>
      <c r="L51" s="14"/>
      <c r="M51" s="14"/>
      <c r="N51" s="23" t="s">
        <v>14</v>
      </c>
      <c r="O51" s="23" t="s">
        <v>14</v>
      </c>
      <c r="P51" s="14" t="s">
        <v>15</v>
      </c>
      <c r="Q51" s="14"/>
      <c r="R51" s="14"/>
      <c r="S51" s="14"/>
      <c r="T51" s="15"/>
      <c r="U51" s="14"/>
      <c r="V51" s="15"/>
      <c r="W51" s="15"/>
      <c r="X51" s="15"/>
      <c r="Y51" s="15"/>
      <c r="Z51" s="16">
        <f t="shared" si="0"/>
        <v>4</v>
      </c>
      <c r="AA51" s="16">
        <f t="shared" si="1"/>
        <v>1</v>
      </c>
      <c r="AB51" s="16">
        <f t="shared" si="2"/>
        <v>5</v>
      </c>
      <c r="AC51" s="17">
        <f t="shared" si="3"/>
        <v>80</v>
      </c>
    </row>
    <row r="52" spans="1:29" ht="15.75" customHeight="1">
      <c r="A52" s="22">
        <v>47</v>
      </c>
      <c r="B52" s="12" t="s">
        <v>200</v>
      </c>
      <c r="C52" s="13" t="s">
        <v>201</v>
      </c>
      <c r="D52" s="14" t="s">
        <v>14</v>
      </c>
      <c r="E52" s="14"/>
      <c r="F52" s="14"/>
      <c r="G52" s="14"/>
      <c r="H52" s="14" t="s">
        <v>14</v>
      </c>
      <c r="I52" s="14"/>
      <c r="J52" s="14"/>
      <c r="K52" s="14"/>
      <c r="L52" s="14"/>
      <c r="M52" s="14"/>
      <c r="N52" s="14" t="s">
        <v>15</v>
      </c>
      <c r="O52" s="23" t="s">
        <v>14</v>
      </c>
      <c r="P52" s="23" t="s">
        <v>14</v>
      </c>
      <c r="Q52" s="14"/>
      <c r="R52" s="14"/>
      <c r="S52" s="14"/>
      <c r="T52" s="15"/>
      <c r="U52" s="14"/>
      <c r="V52" s="15"/>
      <c r="W52" s="15"/>
      <c r="X52" s="15"/>
      <c r="Y52" s="15"/>
      <c r="Z52" s="16">
        <f t="shared" si="0"/>
        <v>4</v>
      </c>
      <c r="AA52" s="16">
        <f t="shared" si="1"/>
        <v>1</v>
      </c>
      <c r="AB52" s="16">
        <f t="shared" si="2"/>
        <v>5</v>
      </c>
      <c r="AC52" s="17">
        <f t="shared" si="3"/>
        <v>80</v>
      </c>
    </row>
    <row r="53" spans="1:29" ht="15.75" customHeight="1">
      <c r="A53" s="19"/>
      <c r="B53" s="19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19"/>
      <c r="AA53" s="19"/>
      <c r="AB53" s="19"/>
      <c r="AC53" s="19"/>
    </row>
    <row r="54" spans="1:29" ht="15.75" customHeight="1">
      <c r="A54" s="19"/>
      <c r="B54" s="19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19"/>
      <c r="AA54" s="19"/>
      <c r="AB54" s="19"/>
      <c r="AC54" s="19"/>
    </row>
    <row r="55" spans="1:29" ht="15.75" customHeight="1">
      <c r="A55" s="19"/>
      <c r="B55" s="19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19"/>
      <c r="AA55" s="19"/>
      <c r="AB55" s="19"/>
      <c r="AC55" s="19"/>
    </row>
    <row r="56" spans="1:29" ht="15.75" customHeight="1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19"/>
      <c r="AA56" s="19"/>
      <c r="AB56" s="19"/>
      <c r="AC56" s="19"/>
    </row>
    <row r="57" spans="1:29" ht="15.75" customHeight="1">
      <c r="A57" s="19"/>
      <c r="B57" s="19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19"/>
      <c r="AA57" s="19"/>
      <c r="AB57" s="19"/>
      <c r="AC57" s="19"/>
    </row>
    <row r="58" spans="1:29" ht="15.75" customHeight="1">
      <c r="A58" s="19"/>
      <c r="B58" s="19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19"/>
      <c r="AA58" s="19"/>
      <c r="AB58" s="19"/>
      <c r="AC58" s="19"/>
    </row>
    <row r="59" spans="1:29" ht="15.75" customHeight="1">
      <c r="A59" s="19"/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19"/>
      <c r="AA59" s="19"/>
      <c r="AB59" s="19"/>
      <c r="AC59" s="19"/>
    </row>
    <row r="60" spans="1:29" ht="15.75" customHeight="1">
      <c r="A60" s="19"/>
      <c r="B60" s="19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19"/>
      <c r="AA60" s="19"/>
      <c r="AB60" s="19"/>
      <c r="AC60" s="19"/>
    </row>
    <row r="61" spans="1:29" ht="15.75" customHeight="1">
      <c r="A61" s="19"/>
      <c r="B61" s="19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19"/>
      <c r="AA61" s="19"/>
      <c r="AB61" s="19"/>
      <c r="AC61" s="19"/>
    </row>
    <row r="62" spans="1:29" ht="15.75" customHeight="1">
      <c r="A62" s="19"/>
      <c r="B62" s="19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19"/>
      <c r="AA62" s="19"/>
      <c r="AB62" s="19"/>
      <c r="AC62" s="19"/>
    </row>
    <row r="63" spans="1:29" ht="15.75" customHeight="1">
      <c r="A63" s="19"/>
      <c r="B63" s="19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19"/>
      <c r="AA63" s="19"/>
      <c r="AB63" s="19"/>
      <c r="AC63" s="19"/>
    </row>
    <row r="64" spans="1:29" ht="15.75" customHeight="1">
      <c r="A64" s="19"/>
      <c r="B64" s="19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19"/>
      <c r="AA64" s="19"/>
      <c r="AB64" s="19"/>
      <c r="AC64" s="19"/>
    </row>
    <row r="65" spans="1:29" ht="15.75" customHeight="1">
      <c r="A65" s="19"/>
      <c r="B65" s="19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19"/>
      <c r="AA65" s="19"/>
      <c r="AB65" s="19"/>
      <c r="AC65" s="19"/>
    </row>
    <row r="66" spans="1:29" ht="15.75" customHeight="1">
      <c r="A66" s="19"/>
      <c r="B66" s="19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19"/>
      <c r="AA66" s="19"/>
      <c r="AB66" s="19"/>
      <c r="AC66" s="19"/>
    </row>
    <row r="67" spans="1:29" ht="15.75" customHeight="1">
      <c r="A67" s="19"/>
      <c r="B67" s="19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19"/>
      <c r="AA67" s="19"/>
      <c r="AB67" s="19"/>
      <c r="AC67" s="19"/>
    </row>
    <row r="68" spans="1:29" ht="15.75" customHeight="1"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1:29" ht="15.75" customHeight="1"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29" ht="15.75" customHeight="1"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29" ht="15.75" customHeight="1"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1:29" ht="15.75" customHeight="1"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9" ht="15.75" customHeight="1"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29" ht="15.75" customHeight="1"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29" ht="15.75" customHeight="1"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29" ht="15.75" customHeight="1"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1:29" ht="15.75" customHeight="1"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1:29" ht="15.75" customHeight="1"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1:29" ht="15.75" customHeight="1"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1:29" ht="15.75" customHeight="1"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4:25" ht="15.75" customHeight="1"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4:25" ht="15.75" customHeight="1"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4:25" ht="15.75" customHeight="1"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4:25" ht="15.75" customHeight="1"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4:25" ht="15.75" customHeight="1"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4:25" ht="15.75" customHeight="1"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4:25" ht="15.75" customHeight="1"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4:25" ht="15.75" customHeight="1"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4:25" ht="15.75" customHeight="1"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4:25" ht="15.75" customHeight="1"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spans="4:25" ht="15.75" customHeight="1"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spans="4:25" ht="15.75" customHeight="1"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4:25" ht="15.75" customHeight="1"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spans="4:25" ht="15.75" customHeight="1"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spans="4:25" ht="15.75" customHeight="1"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spans="4:25" ht="15.75" customHeight="1"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spans="4:25" ht="15.75" customHeight="1"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spans="4:25" ht="15.75" customHeight="1"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spans="4:25" ht="15.75" customHeight="1"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4:25" ht="15.75" customHeight="1"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4:25" ht="15.75" customHeight="1"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4:25" ht="15.75" customHeight="1"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4:25" ht="15.75" customHeight="1"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4:25" ht="15.75" customHeight="1"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4:25" ht="15.75" customHeight="1"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4:25" ht="15.75" customHeight="1"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4:25" ht="15.75" customHeight="1"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4:25" ht="15.75" customHeight="1"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4:25" ht="15.75" customHeight="1"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4:25" ht="15.75" customHeight="1"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4:25" ht="15.75" customHeight="1"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4:25" ht="15.75" customHeight="1"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4:25" ht="15.75" customHeight="1"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4:25" ht="15.75" customHeight="1"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4:25" ht="15.75" customHeight="1"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4:25" ht="15.75" customHeight="1"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4:25" ht="15.75" customHeight="1"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4:25" ht="15.75" customHeight="1"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4:25" ht="15.75" customHeight="1"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4:25" ht="15.75" customHeight="1"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4:25" ht="15.75" customHeight="1"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4:25" ht="15.75" customHeight="1"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4:25" ht="15.75" customHeight="1"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4:25" ht="15.75" customHeight="1"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4:25" ht="15.75" customHeight="1"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4:25" ht="15.75" customHeight="1"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4:25" ht="15.75" customHeight="1"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4:25" ht="15.75" customHeight="1"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4:25" ht="15.75" customHeight="1"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4:25" ht="15.75" customHeight="1"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4:25" ht="15.75" customHeight="1"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4:25" ht="15.75" customHeight="1"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4:25" ht="15.75" customHeight="1"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4:25" ht="15.75" customHeight="1"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4:25" ht="15.75" customHeight="1"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4:25" ht="15.75" customHeight="1"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4:25" ht="15.75" customHeight="1"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4:25" ht="15.75" customHeight="1"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4:25" ht="15.75" customHeight="1"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4:25" ht="15.75" customHeight="1"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4:25" ht="15.75" customHeight="1"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4:25" ht="15.75" customHeight="1"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4:25" ht="15.75" customHeight="1"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4:25" ht="15.75" customHeight="1"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4:25" ht="15.75" customHeight="1"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4:25" ht="15.75" customHeight="1"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4:25" ht="15.75" customHeight="1"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4:25" ht="15.75" customHeight="1"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4:25" ht="15.75" customHeight="1"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4:25" ht="15.75" customHeight="1"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4:25" ht="15.75" customHeight="1"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4:25" ht="15.75" customHeight="1"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4:25" ht="15.75" customHeight="1"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4:25" ht="15.75" customHeight="1"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4:25" ht="15.75" customHeight="1"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4:25" ht="15.75" customHeight="1"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4:25" ht="15.75" customHeight="1"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4:25" ht="15.75" customHeight="1"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4:25" ht="15.75" customHeight="1"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4:25" ht="15.75" customHeight="1"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4:25" ht="15.75" customHeight="1"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4:25" ht="15.75" customHeight="1"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4:25" ht="15.75" customHeight="1"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4:25" ht="15.75" customHeight="1"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4:25" ht="15.75" customHeight="1"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4:25" ht="15.75" customHeight="1"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4:25" ht="15.75" customHeight="1"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4:25" ht="15.75" customHeight="1"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4:25" ht="15.75" customHeight="1"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4:25" ht="15.75" customHeight="1"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4:25" ht="15.75" customHeight="1"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4:25" ht="15.75" customHeight="1"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4:25" ht="15.75" customHeight="1"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4:25" ht="15.75" customHeight="1"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4:25" ht="15.75" customHeight="1"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4:25" ht="15.75" customHeight="1"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4:25" ht="15.75" customHeight="1"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4:25" ht="15.75" customHeight="1"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4:25" ht="15.75" customHeight="1"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4:25" ht="15.75" customHeight="1"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4:25" ht="15.75" customHeight="1"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4:25" ht="15.75" customHeight="1"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4:25" ht="15.75" customHeight="1"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4:25" ht="15.75" customHeight="1"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4:25" ht="15.75" customHeight="1"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4:25" ht="15.75" customHeight="1"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4:25" ht="15.75" customHeight="1"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4:25" ht="15.75" customHeight="1"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4:25" ht="15.75" customHeight="1"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4:25" ht="15.75" customHeight="1"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4:25" ht="15.75" customHeight="1"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4:25" ht="15.75" customHeight="1"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4:25" ht="15.75" customHeight="1"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4:25" ht="15.75" customHeight="1"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4:25" ht="15.75" customHeight="1"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4:25" ht="15.75" customHeight="1"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4:25" ht="15.75" customHeight="1"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4:25" ht="15.75" customHeight="1"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4:25" ht="15.75" customHeight="1"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4:25" ht="15.75" customHeight="1"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4:25" ht="15.75" customHeight="1"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4:25" ht="15.75" customHeight="1"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4:25" ht="15.75" customHeight="1"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4:25" ht="15.75" customHeight="1"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4:25" ht="15.75" customHeight="1"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4:25" ht="15.75" customHeight="1"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4:25" ht="15.75" customHeight="1"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4:25" ht="15.75" customHeight="1"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4:25" ht="15.75" customHeight="1"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4:25" ht="15.75" customHeight="1"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4:25" ht="15.75" customHeight="1"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4:25" ht="15.75" customHeight="1"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4:25" ht="15.75" customHeight="1"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4:25" ht="15.75" customHeight="1"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4:25" ht="15.75" customHeight="1"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4:25" ht="15.75" customHeight="1"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4:25" ht="15.75" customHeight="1"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4:25" ht="15.75" customHeight="1"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4:25" ht="15.75" customHeight="1"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4:25" ht="15.75" customHeight="1"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4:25" ht="15.75" customHeight="1"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spans="4:25" ht="15.75" customHeight="1"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spans="4:25" ht="15.75" customHeight="1"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spans="4:25" ht="15.75" customHeight="1"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spans="4:25" ht="15.75" customHeight="1"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spans="4:25" ht="15.75" customHeight="1"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spans="4:25" ht="15.75" customHeight="1"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spans="4:25" ht="15.75" customHeight="1"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4:25" ht="15.75" customHeight="1"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4:25" ht="15.75" customHeight="1"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spans="4:25" ht="15.75" customHeight="1"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4:25" ht="15.75" customHeight="1"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4:25" ht="15.75" customHeight="1"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4:25" ht="15.75" customHeight="1"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4:25" ht="15.75" customHeight="1"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4:25" ht="15.75" customHeight="1"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4:25" ht="15.75" customHeight="1"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4:25" ht="15.75" customHeight="1"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4:25" ht="15.75" customHeight="1"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4:25" ht="15.75" customHeight="1"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4:25" ht="15.75" customHeight="1"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4:25" ht="15.75" customHeight="1"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4:25" ht="15.75" customHeight="1"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spans="4:25" ht="15.75" customHeight="1"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4:25" ht="15.75" customHeight="1"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4:25" ht="15.75" customHeight="1"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4:25" ht="15.75" customHeight="1"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4:25" ht="15.75" customHeight="1"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4:25" ht="15.75" customHeight="1"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4:25" ht="15.75" customHeight="1"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4:25" ht="15.75" customHeight="1"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4:25" ht="15.75" customHeight="1"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4:25" ht="15.75" customHeight="1"/>
    <row r="254" spans="4:25" ht="15.75" customHeight="1"/>
    <row r="255" spans="4:25" ht="15.75" customHeight="1"/>
    <row r="256" spans="4:2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6">
    <mergeCell ref="A3:A5"/>
    <mergeCell ref="D3:M3"/>
    <mergeCell ref="N3:T3"/>
    <mergeCell ref="U3:Y3"/>
    <mergeCell ref="A1:AD1"/>
    <mergeCell ref="A2:AD2"/>
  </mergeCells>
  <conditionalFormatting sqref="D6:Y52">
    <cfRule type="containsText" dxfId="1" priority="1" operator="containsText" text="P">
      <formula>NOT(ISERROR(SEARCH(("P"),(D6))))</formula>
    </cfRule>
    <cfRule type="containsText" dxfId="0" priority="2" operator="containsText" text="A">
      <formula>NOT(ISERROR(SEARCH(("A"),(D6))))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F99"/>
  <sheetViews>
    <sheetView tabSelected="1" workbookViewId="0">
      <selection activeCell="C7" sqref="C7"/>
    </sheetView>
  </sheetViews>
  <sheetFormatPr defaultRowHeight="12.75"/>
  <cols>
    <col min="2" max="2" width="27.86328125" customWidth="1"/>
    <col min="3" max="3" width="50.265625" customWidth="1"/>
    <col min="4" max="4" width="24.73046875" customWidth="1"/>
    <col min="7" max="7" width="17.86328125" bestFit="1" customWidth="1"/>
  </cols>
  <sheetData>
    <row r="2" spans="1:32" ht="17.649999999999999">
      <c r="C2" s="45" t="s">
        <v>0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7"/>
    </row>
    <row r="3" spans="1:32" ht="17.649999999999999">
      <c r="A3" s="37" t="s">
        <v>1</v>
      </c>
      <c r="B3" s="2"/>
      <c r="C3" s="45" t="s">
        <v>208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7"/>
    </row>
    <row r="4" spans="1:32" ht="15.4">
      <c r="A4" s="38"/>
      <c r="B4" s="6"/>
      <c r="C4" s="25"/>
      <c r="D4" s="29" t="s">
        <v>202</v>
      </c>
      <c r="E4" s="29" t="s">
        <v>203</v>
      </c>
      <c r="F4" s="29" t="s">
        <v>206</v>
      </c>
      <c r="G4" s="29" t="s">
        <v>204</v>
      </c>
    </row>
    <row r="5" spans="1:32" ht="14.25">
      <c r="A5" s="39"/>
      <c r="B5" s="1" t="s">
        <v>10</v>
      </c>
      <c r="C5" s="26" t="s">
        <v>11</v>
      </c>
      <c r="D5" s="29"/>
      <c r="E5" s="29"/>
      <c r="F5" s="29"/>
      <c r="G5" s="29"/>
    </row>
    <row r="6" spans="1:32" ht="15">
      <c r="A6" s="12">
        <v>1</v>
      </c>
      <c r="B6" s="12" t="s">
        <v>12</v>
      </c>
      <c r="C6" s="27" t="s">
        <v>13</v>
      </c>
      <c r="D6" s="30">
        <f>COUNTIF('G1'!D6:Y6, "P")</f>
        <v>3</v>
      </c>
      <c r="E6" s="30">
        <f>COUNTIF('G1'!D6:Y6,"P")</f>
        <v>3</v>
      </c>
      <c r="F6" s="30">
        <f>SUM(D6:E6)</f>
        <v>6</v>
      </c>
      <c r="G6" s="32">
        <f>((100*F6)/24)/100</f>
        <v>0.25</v>
      </c>
      <c r="H6" s="33" t="s">
        <v>207</v>
      </c>
      <c r="I6" s="33"/>
    </row>
    <row r="7" spans="1:32" ht="15">
      <c r="A7" s="12">
        <v>2</v>
      </c>
      <c r="B7" s="12" t="s">
        <v>16</v>
      </c>
      <c r="C7" s="27" t="s">
        <v>17</v>
      </c>
      <c r="D7" s="30">
        <f>COUNTIF(Lecture!D7:Z7, "P")</f>
        <v>17</v>
      </c>
      <c r="E7" s="30">
        <f>COUNTIF('G1'!D7:Y7,"P")</f>
        <v>5</v>
      </c>
      <c r="F7" s="30">
        <f t="shared" ref="F7:F70" si="0">SUM(D7:E7)</f>
        <v>22</v>
      </c>
      <c r="G7" s="31">
        <f t="shared" ref="G7:G70" si="1">((100*F7)/24)/100</f>
        <v>0.91666666666666674</v>
      </c>
    </row>
    <row r="8" spans="1:32" ht="15">
      <c r="A8" s="12">
        <v>3</v>
      </c>
      <c r="B8" s="12" t="s">
        <v>18</v>
      </c>
      <c r="C8" s="27" t="s">
        <v>19</v>
      </c>
      <c r="D8" s="30">
        <f>COUNTIF(Lecture!D8:Z8, "P")</f>
        <v>15</v>
      </c>
      <c r="E8" s="30">
        <f>COUNTIF('G1'!D8:Y8,"P")</f>
        <v>3</v>
      </c>
      <c r="F8" s="30">
        <f t="shared" si="0"/>
        <v>18</v>
      </c>
      <c r="G8" s="31">
        <f t="shared" si="1"/>
        <v>0.75</v>
      </c>
    </row>
    <row r="9" spans="1:32" ht="15">
      <c r="A9" s="12">
        <v>4</v>
      </c>
      <c r="B9" s="12" t="s">
        <v>20</v>
      </c>
      <c r="C9" s="27" t="s">
        <v>21</v>
      </c>
      <c r="D9" s="30">
        <f>COUNTIF(Lecture!D9:Z9, "P")</f>
        <v>16</v>
      </c>
      <c r="E9" s="30">
        <f>COUNTIF('G1'!D9:Y9,"P")</f>
        <v>3</v>
      </c>
      <c r="F9" s="30">
        <f t="shared" si="0"/>
        <v>19</v>
      </c>
      <c r="G9" s="31">
        <f t="shared" si="1"/>
        <v>0.79166666666666674</v>
      </c>
    </row>
    <row r="10" spans="1:32" ht="15">
      <c r="A10" s="12">
        <v>5</v>
      </c>
      <c r="B10" s="12" t="s">
        <v>22</v>
      </c>
      <c r="C10" s="27" t="s">
        <v>23</v>
      </c>
      <c r="D10" s="30">
        <f>COUNTIF(Lecture!D10:Z10, "P")</f>
        <v>17</v>
      </c>
      <c r="E10" s="30">
        <f>COUNTIF('G1'!D10:Y10,"P")</f>
        <v>4</v>
      </c>
      <c r="F10" s="30">
        <f t="shared" si="0"/>
        <v>21</v>
      </c>
      <c r="G10" s="31">
        <f t="shared" si="1"/>
        <v>0.875</v>
      </c>
    </row>
    <row r="11" spans="1:32" ht="15">
      <c r="A11" s="12">
        <v>6</v>
      </c>
      <c r="B11" s="12" t="s">
        <v>24</v>
      </c>
      <c r="C11" s="27" t="s">
        <v>25</v>
      </c>
      <c r="D11" s="30">
        <f>COUNTIF(Lecture!D11:Z11, "P")</f>
        <v>19</v>
      </c>
      <c r="E11" s="30">
        <f>COUNTIF('G1'!D11:Y11,"P")</f>
        <v>5</v>
      </c>
      <c r="F11" s="30">
        <f t="shared" si="0"/>
        <v>24</v>
      </c>
      <c r="G11" s="31">
        <f t="shared" si="1"/>
        <v>1</v>
      </c>
    </row>
    <row r="12" spans="1:32" ht="15">
      <c r="A12" s="12">
        <v>7</v>
      </c>
      <c r="B12" s="12" t="s">
        <v>26</v>
      </c>
      <c r="C12" s="27" t="s">
        <v>27</v>
      </c>
      <c r="D12" s="30">
        <f>COUNTIF(Lecture!D12:Z12, "P")</f>
        <v>16</v>
      </c>
      <c r="E12" s="30">
        <f>COUNTIF('G1'!D12:Y12,"P")</f>
        <v>5</v>
      </c>
      <c r="F12" s="30">
        <f t="shared" si="0"/>
        <v>21</v>
      </c>
      <c r="G12" s="31">
        <f t="shared" si="1"/>
        <v>0.875</v>
      </c>
    </row>
    <row r="13" spans="1:32" ht="15">
      <c r="A13" s="12">
        <v>8</v>
      </c>
      <c r="B13" s="12" t="s">
        <v>28</v>
      </c>
      <c r="C13" s="27" t="s">
        <v>29</v>
      </c>
      <c r="D13" s="30">
        <f>COUNTIF(Lecture!D13:Z13, "P")</f>
        <v>17</v>
      </c>
      <c r="E13" s="30">
        <f>COUNTIF('G1'!D13:Y13,"P")</f>
        <v>5</v>
      </c>
      <c r="F13" s="30">
        <f t="shared" si="0"/>
        <v>22</v>
      </c>
      <c r="G13" s="31">
        <f t="shared" si="1"/>
        <v>0.91666666666666674</v>
      </c>
    </row>
    <row r="14" spans="1:32" ht="15">
      <c r="A14" s="12">
        <v>9</v>
      </c>
      <c r="B14" s="12" t="s">
        <v>30</v>
      </c>
      <c r="C14" s="27" t="s">
        <v>31</v>
      </c>
      <c r="D14" s="30">
        <f>COUNTIF(Lecture!D14:Z14, "P")</f>
        <v>15</v>
      </c>
      <c r="E14" s="30">
        <f>COUNTIF('G1'!D14:Y14,"P")</f>
        <v>5</v>
      </c>
      <c r="F14" s="30">
        <f t="shared" si="0"/>
        <v>20</v>
      </c>
      <c r="G14" s="31">
        <f t="shared" si="1"/>
        <v>0.83333333333333326</v>
      </c>
    </row>
    <row r="15" spans="1:32" ht="15">
      <c r="A15" s="12">
        <v>10</v>
      </c>
      <c r="B15" s="12" t="s">
        <v>32</v>
      </c>
      <c r="C15" s="27" t="s">
        <v>33</v>
      </c>
      <c r="D15" s="30">
        <f>COUNTIF(Lecture!D15:Z15, "P")</f>
        <v>16</v>
      </c>
      <c r="E15" s="30">
        <f>COUNTIF('G1'!D15:Y15,"P")</f>
        <v>3</v>
      </c>
      <c r="F15" s="30">
        <f t="shared" si="0"/>
        <v>19</v>
      </c>
      <c r="G15" s="31">
        <f t="shared" si="1"/>
        <v>0.79166666666666674</v>
      </c>
    </row>
    <row r="16" spans="1:32" ht="15">
      <c r="A16" s="12">
        <v>11</v>
      </c>
      <c r="B16" s="12" t="s">
        <v>34</v>
      </c>
      <c r="C16" s="27" t="s">
        <v>35</v>
      </c>
      <c r="D16" s="30">
        <f>COUNTIF(Lecture!D16:Z16, "P")</f>
        <v>16</v>
      </c>
      <c r="E16" s="30">
        <f>COUNTIF('G1'!D16:Y16,"P")</f>
        <v>4</v>
      </c>
      <c r="F16" s="30">
        <f t="shared" si="0"/>
        <v>20</v>
      </c>
      <c r="G16" s="31">
        <f t="shared" si="1"/>
        <v>0.83333333333333326</v>
      </c>
    </row>
    <row r="17" spans="1:7" ht="15">
      <c r="A17" s="12">
        <v>12</v>
      </c>
      <c r="B17" s="12" t="s">
        <v>36</v>
      </c>
      <c r="C17" s="27" t="s">
        <v>37</v>
      </c>
      <c r="D17" s="30">
        <f>COUNTIF(Lecture!D17:Z17, "P")</f>
        <v>16</v>
      </c>
      <c r="E17" s="30">
        <f>COUNTIF('G1'!D17:Y17,"P")</f>
        <v>4</v>
      </c>
      <c r="F17" s="30">
        <f t="shared" si="0"/>
        <v>20</v>
      </c>
      <c r="G17" s="31">
        <f t="shared" si="1"/>
        <v>0.83333333333333326</v>
      </c>
    </row>
    <row r="18" spans="1:7" ht="15">
      <c r="A18" s="12">
        <v>13</v>
      </c>
      <c r="B18" s="12" t="s">
        <v>38</v>
      </c>
      <c r="C18" s="27" t="s">
        <v>39</v>
      </c>
      <c r="D18" s="30">
        <f>COUNTIF(Lecture!D18:Z18, "P")</f>
        <v>7</v>
      </c>
      <c r="E18" s="30">
        <f>COUNTIF('G1'!D18:Y18,"P")</f>
        <v>1</v>
      </c>
      <c r="F18" s="30">
        <f t="shared" si="0"/>
        <v>8</v>
      </c>
      <c r="G18" s="31">
        <f t="shared" si="1"/>
        <v>0.33333333333333337</v>
      </c>
    </row>
    <row r="19" spans="1:7" ht="15">
      <c r="A19" s="12">
        <v>14</v>
      </c>
      <c r="B19" s="12" t="s">
        <v>40</v>
      </c>
      <c r="C19" s="27" t="s">
        <v>41</v>
      </c>
      <c r="D19" s="30">
        <f>COUNTIF(Lecture!D19:Z19, "P")</f>
        <v>17</v>
      </c>
      <c r="E19" s="30">
        <f>COUNTIF('G1'!D19:Y19,"P")</f>
        <v>5</v>
      </c>
      <c r="F19" s="30">
        <f t="shared" si="0"/>
        <v>22</v>
      </c>
      <c r="G19" s="31">
        <f t="shared" si="1"/>
        <v>0.91666666666666674</v>
      </c>
    </row>
    <row r="20" spans="1:7" ht="15">
      <c r="A20" s="12">
        <v>15</v>
      </c>
      <c r="B20" s="12" t="s">
        <v>42</v>
      </c>
      <c r="C20" s="27" t="s">
        <v>43</v>
      </c>
      <c r="D20" s="30">
        <f>COUNTIF(Lecture!D20:Z20, "P")</f>
        <v>17</v>
      </c>
      <c r="E20" s="30">
        <f>COUNTIF('G1'!D20:Y20,"P")</f>
        <v>5</v>
      </c>
      <c r="F20" s="30">
        <f t="shared" si="0"/>
        <v>22</v>
      </c>
      <c r="G20" s="31">
        <f t="shared" si="1"/>
        <v>0.91666666666666674</v>
      </c>
    </row>
    <row r="21" spans="1:7" ht="15">
      <c r="A21" s="12">
        <v>16</v>
      </c>
      <c r="B21" s="12" t="s">
        <v>44</v>
      </c>
      <c r="C21" s="27" t="s">
        <v>45</v>
      </c>
      <c r="D21" s="30">
        <f>COUNTIF(Lecture!D21:Z21, "P")</f>
        <v>16</v>
      </c>
      <c r="E21" s="30">
        <f>COUNTIF('G1'!D21:Y21,"P")</f>
        <v>2</v>
      </c>
      <c r="F21" s="30">
        <f t="shared" si="0"/>
        <v>18</v>
      </c>
      <c r="G21" s="31">
        <f t="shared" si="1"/>
        <v>0.75</v>
      </c>
    </row>
    <row r="22" spans="1:7" ht="15">
      <c r="A22" s="12">
        <v>17</v>
      </c>
      <c r="B22" s="12" t="s">
        <v>46</v>
      </c>
      <c r="C22" s="27" t="s">
        <v>47</v>
      </c>
      <c r="D22" s="30">
        <f>COUNTIF(Lecture!D22:Z22, "P")</f>
        <v>16</v>
      </c>
      <c r="E22" s="30">
        <f>COUNTIF('G1'!D22:Y22,"P")</f>
        <v>4</v>
      </c>
      <c r="F22" s="30">
        <f t="shared" si="0"/>
        <v>20</v>
      </c>
      <c r="G22" s="31">
        <f t="shared" si="1"/>
        <v>0.83333333333333326</v>
      </c>
    </row>
    <row r="23" spans="1:7" ht="15">
      <c r="A23" s="12">
        <v>18</v>
      </c>
      <c r="B23" s="12" t="s">
        <v>48</v>
      </c>
      <c r="C23" s="27" t="s">
        <v>49</v>
      </c>
      <c r="D23" s="30">
        <f>COUNTIF(Lecture!D23:Z23, "P")</f>
        <v>18</v>
      </c>
      <c r="E23" s="30">
        <f>COUNTIF('G1'!D23:Y23,"P")</f>
        <v>4</v>
      </c>
      <c r="F23" s="30">
        <f t="shared" si="0"/>
        <v>22</v>
      </c>
      <c r="G23" s="31">
        <f t="shared" si="1"/>
        <v>0.91666666666666674</v>
      </c>
    </row>
    <row r="24" spans="1:7" ht="15">
      <c r="A24" s="12">
        <v>19</v>
      </c>
      <c r="B24" s="12" t="s">
        <v>50</v>
      </c>
      <c r="C24" s="27" t="s">
        <v>51</v>
      </c>
      <c r="D24" s="30">
        <f>COUNTIF(Lecture!D24:Z24, "P")</f>
        <v>18</v>
      </c>
      <c r="E24" s="30">
        <f>COUNTIF('G1'!D24:Y24,"P")</f>
        <v>4</v>
      </c>
      <c r="F24" s="30">
        <f t="shared" si="0"/>
        <v>22</v>
      </c>
      <c r="G24" s="31">
        <f t="shared" si="1"/>
        <v>0.91666666666666674</v>
      </c>
    </row>
    <row r="25" spans="1:7" ht="15">
      <c r="A25" s="12">
        <v>20</v>
      </c>
      <c r="B25" s="12" t="s">
        <v>52</v>
      </c>
      <c r="C25" s="27" t="s">
        <v>53</v>
      </c>
      <c r="D25" s="30">
        <f>COUNTIF(Lecture!D25:Z25, "P")</f>
        <v>15</v>
      </c>
      <c r="E25" s="30">
        <f>COUNTIF('G1'!D25:Y25,"P")</f>
        <v>3</v>
      </c>
      <c r="F25" s="30">
        <f t="shared" si="0"/>
        <v>18</v>
      </c>
      <c r="G25" s="31">
        <f t="shared" si="1"/>
        <v>0.75</v>
      </c>
    </row>
    <row r="26" spans="1:7" ht="15">
      <c r="A26" s="12">
        <v>21</v>
      </c>
      <c r="B26" s="12" t="s">
        <v>54</v>
      </c>
      <c r="C26" s="27" t="s">
        <v>55</v>
      </c>
      <c r="D26" s="30">
        <f>COUNTIF(Lecture!D26:Z26, "P")</f>
        <v>18</v>
      </c>
      <c r="E26" s="30">
        <f>COUNTIF('G1'!D26:Y26,"P")</f>
        <v>5</v>
      </c>
      <c r="F26" s="30">
        <f t="shared" si="0"/>
        <v>23</v>
      </c>
      <c r="G26" s="31">
        <f t="shared" si="1"/>
        <v>0.95833333333333326</v>
      </c>
    </row>
    <row r="27" spans="1:7" ht="15">
      <c r="A27" s="12">
        <v>22</v>
      </c>
      <c r="B27" s="12" t="s">
        <v>56</v>
      </c>
      <c r="C27" s="27" t="s">
        <v>57</v>
      </c>
      <c r="D27" s="30">
        <f>COUNTIF(Lecture!D27:Z27, "P")</f>
        <v>19</v>
      </c>
      <c r="E27" s="30">
        <f>COUNTIF('G1'!D27:Y27,"P")</f>
        <v>5</v>
      </c>
      <c r="F27" s="30">
        <f t="shared" si="0"/>
        <v>24</v>
      </c>
      <c r="G27" s="31">
        <f t="shared" si="1"/>
        <v>1</v>
      </c>
    </row>
    <row r="28" spans="1:7" ht="15">
      <c r="A28" s="12">
        <v>23</v>
      </c>
      <c r="B28" s="12" t="s">
        <v>58</v>
      </c>
      <c r="C28" s="27" t="s">
        <v>59</v>
      </c>
      <c r="D28" s="30">
        <f>COUNTIF(Lecture!D28:Z28, "P")</f>
        <v>5</v>
      </c>
      <c r="E28" s="30">
        <f>COUNTIF('G1'!D28:Y28,"P")</f>
        <v>1</v>
      </c>
      <c r="F28" s="30">
        <f t="shared" si="0"/>
        <v>6</v>
      </c>
      <c r="G28" s="31">
        <f t="shared" si="1"/>
        <v>0.25</v>
      </c>
    </row>
    <row r="29" spans="1:7" ht="15">
      <c r="A29" s="12">
        <v>24</v>
      </c>
      <c r="B29" s="12" t="s">
        <v>60</v>
      </c>
      <c r="C29" s="27" t="s">
        <v>61</v>
      </c>
      <c r="D29" s="30">
        <f>COUNTIF(Lecture!D29:Z29, "P")</f>
        <v>14</v>
      </c>
      <c r="E29" s="30">
        <f>COUNTIF('G1'!D29:Y29,"P")</f>
        <v>2</v>
      </c>
      <c r="F29" s="30">
        <f t="shared" si="0"/>
        <v>16</v>
      </c>
      <c r="G29" s="31">
        <f t="shared" si="1"/>
        <v>0.66666666666666674</v>
      </c>
    </row>
    <row r="30" spans="1:7" ht="15">
      <c r="A30" s="12">
        <v>25</v>
      </c>
      <c r="B30" s="12" t="s">
        <v>62</v>
      </c>
      <c r="C30" s="27" t="s">
        <v>63</v>
      </c>
      <c r="D30" s="30">
        <f>COUNTIF(Lecture!D30:Z30, "P")</f>
        <v>19</v>
      </c>
      <c r="E30" s="30">
        <f>COUNTIF('G1'!D30:Y30,"P")</f>
        <v>5</v>
      </c>
      <c r="F30" s="30">
        <f t="shared" si="0"/>
        <v>24</v>
      </c>
      <c r="G30" s="31">
        <f t="shared" si="1"/>
        <v>1</v>
      </c>
    </row>
    <row r="31" spans="1:7" ht="15">
      <c r="A31" s="12">
        <v>26</v>
      </c>
      <c r="B31" s="12" t="s">
        <v>64</v>
      </c>
      <c r="C31" s="27" t="s">
        <v>65</v>
      </c>
      <c r="D31" s="30">
        <f>COUNTIF(Lecture!D31:Z31, "P")</f>
        <v>16</v>
      </c>
      <c r="E31" s="30">
        <f>COUNTIF('G1'!D31:Y31,"P")</f>
        <v>4</v>
      </c>
      <c r="F31" s="30">
        <f t="shared" si="0"/>
        <v>20</v>
      </c>
      <c r="G31" s="31">
        <f t="shared" si="1"/>
        <v>0.83333333333333326</v>
      </c>
    </row>
    <row r="32" spans="1:7" ht="15">
      <c r="A32" s="12">
        <v>27</v>
      </c>
      <c r="B32" s="12" t="s">
        <v>66</v>
      </c>
      <c r="C32" s="27" t="s">
        <v>67</v>
      </c>
      <c r="D32" s="30">
        <f>COUNTIF(Lecture!D32:Z32, "P")</f>
        <v>18</v>
      </c>
      <c r="E32" s="30">
        <f>COUNTIF('G1'!D32:Y32,"P")</f>
        <v>4</v>
      </c>
      <c r="F32" s="30">
        <f t="shared" si="0"/>
        <v>22</v>
      </c>
      <c r="G32" s="31">
        <f t="shared" si="1"/>
        <v>0.91666666666666674</v>
      </c>
    </row>
    <row r="33" spans="1:7" ht="15">
      <c r="A33" s="12">
        <v>28</v>
      </c>
      <c r="B33" s="12" t="s">
        <v>68</v>
      </c>
      <c r="C33" s="27" t="s">
        <v>69</v>
      </c>
      <c r="D33" s="30">
        <f>COUNTIF(Lecture!D33:Z33, "P")</f>
        <v>17</v>
      </c>
      <c r="E33" s="30">
        <f>COUNTIF('G1'!D33:Y33,"P")</f>
        <v>4</v>
      </c>
      <c r="F33" s="30">
        <f t="shared" si="0"/>
        <v>21</v>
      </c>
      <c r="G33" s="31">
        <f t="shared" si="1"/>
        <v>0.875</v>
      </c>
    </row>
    <row r="34" spans="1:7" ht="15">
      <c r="A34" s="12">
        <v>29</v>
      </c>
      <c r="B34" s="12" t="s">
        <v>70</v>
      </c>
      <c r="C34" s="27" t="s">
        <v>71</v>
      </c>
      <c r="D34" s="30">
        <f>COUNTIF(Lecture!D34:Z34, "P")</f>
        <v>19</v>
      </c>
      <c r="E34" s="30">
        <f>COUNTIF('G1'!D34:Y34,"P")</f>
        <v>5</v>
      </c>
      <c r="F34" s="30">
        <f t="shared" si="0"/>
        <v>24</v>
      </c>
      <c r="G34" s="31">
        <f t="shared" si="1"/>
        <v>1</v>
      </c>
    </row>
    <row r="35" spans="1:7" ht="15">
      <c r="A35" s="12">
        <v>30</v>
      </c>
      <c r="B35" s="12" t="s">
        <v>72</v>
      </c>
      <c r="C35" s="27" t="s">
        <v>73</v>
      </c>
      <c r="D35" s="30">
        <f>COUNTIF(Lecture!D35:Z35, "P")</f>
        <v>15</v>
      </c>
      <c r="E35" s="30">
        <f>COUNTIF('G1'!D35:Y35,"P")</f>
        <v>4</v>
      </c>
      <c r="F35" s="30">
        <f t="shared" si="0"/>
        <v>19</v>
      </c>
      <c r="G35" s="31">
        <f t="shared" si="1"/>
        <v>0.79166666666666674</v>
      </c>
    </row>
    <row r="36" spans="1:7" ht="15">
      <c r="A36" s="12">
        <v>31</v>
      </c>
      <c r="B36" s="12" t="s">
        <v>74</v>
      </c>
      <c r="C36" s="27" t="s">
        <v>75</v>
      </c>
      <c r="D36" s="30">
        <f>COUNTIF(Lecture!D36:Z36, "P")</f>
        <v>19</v>
      </c>
      <c r="E36" s="30">
        <f>COUNTIF('G1'!D36:Y36,"P")</f>
        <v>4</v>
      </c>
      <c r="F36" s="30">
        <f t="shared" si="0"/>
        <v>23</v>
      </c>
      <c r="G36" s="31">
        <f t="shared" si="1"/>
        <v>0.95833333333333326</v>
      </c>
    </row>
    <row r="37" spans="1:7" ht="15">
      <c r="A37" s="12">
        <v>32</v>
      </c>
      <c r="B37" s="12" t="s">
        <v>76</v>
      </c>
      <c r="C37" s="27" t="s">
        <v>77</v>
      </c>
      <c r="D37" s="30">
        <f>COUNTIF(Lecture!D37:Z37, "P")</f>
        <v>18</v>
      </c>
      <c r="E37" s="30">
        <f>COUNTIF('G1'!D37:Y37,"P")</f>
        <v>4</v>
      </c>
      <c r="F37" s="30">
        <f t="shared" si="0"/>
        <v>22</v>
      </c>
      <c r="G37" s="31">
        <f t="shared" si="1"/>
        <v>0.91666666666666674</v>
      </c>
    </row>
    <row r="38" spans="1:7" ht="15">
      <c r="A38" s="12">
        <v>33</v>
      </c>
      <c r="B38" s="12" t="s">
        <v>78</v>
      </c>
      <c r="C38" s="27" t="s">
        <v>79</v>
      </c>
      <c r="D38" s="30">
        <f>COUNTIF(Lecture!D38:Z38, "P")</f>
        <v>16</v>
      </c>
      <c r="E38" s="30">
        <f>COUNTIF('G1'!D38:Y38,"P")</f>
        <v>3</v>
      </c>
      <c r="F38" s="30">
        <f t="shared" si="0"/>
        <v>19</v>
      </c>
      <c r="G38" s="31">
        <f t="shared" si="1"/>
        <v>0.79166666666666674</v>
      </c>
    </row>
    <row r="39" spans="1:7" ht="15">
      <c r="A39" s="12">
        <v>34</v>
      </c>
      <c r="B39" s="12" t="s">
        <v>80</v>
      </c>
      <c r="C39" s="27" t="s">
        <v>81</v>
      </c>
      <c r="D39" s="30">
        <f>COUNTIF(Lecture!D39:Z39, "P")</f>
        <v>18</v>
      </c>
      <c r="E39" s="30">
        <f>COUNTIF('G1'!D39:Y39,"P")</f>
        <v>4</v>
      </c>
      <c r="F39" s="30">
        <f t="shared" si="0"/>
        <v>22</v>
      </c>
      <c r="G39" s="31">
        <f t="shared" si="1"/>
        <v>0.91666666666666674</v>
      </c>
    </row>
    <row r="40" spans="1:7" ht="15">
      <c r="A40" s="12">
        <v>35</v>
      </c>
      <c r="B40" s="12" t="s">
        <v>82</v>
      </c>
      <c r="C40" s="27" t="s">
        <v>83</v>
      </c>
      <c r="D40" s="30">
        <f>COUNTIF(Lecture!D40:Z40, "P")</f>
        <v>18</v>
      </c>
      <c r="E40" s="30">
        <f>COUNTIF('G1'!D40:Y40,"P")</f>
        <v>5</v>
      </c>
      <c r="F40" s="30">
        <f t="shared" si="0"/>
        <v>23</v>
      </c>
      <c r="G40" s="31">
        <f t="shared" si="1"/>
        <v>0.95833333333333326</v>
      </c>
    </row>
    <row r="41" spans="1:7" ht="15">
      <c r="A41" s="12">
        <v>36</v>
      </c>
      <c r="B41" s="12" t="s">
        <v>84</v>
      </c>
      <c r="C41" s="27" t="s">
        <v>85</v>
      </c>
      <c r="D41" s="30">
        <f>COUNTIF(Lecture!D41:Z41, "P")</f>
        <v>16</v>
      </c>
      <c r="E41" s="30">
        <f>COUNTIF('G1'!D41:Y41,"P")</f>
        <v>3</v>
      </c>
      <c r="F41" s="30">
        <f t="shared" si="0"/>
        <v>19</v>
      </c>
      <c r="G41" s="31">
        <f t="shared" si="1"/>
        <v>0.79166666666666674</v>
      </c>
    </row>
    <row r="42" spans="1:7" ht="15">
      <c r="A42" s="12">
        <v>1</v>
      </c>
      <c r="B42" s="12" t="s">
        <v>86</v>
      </c>
      <c r="C42" s="28" t="s">
        <v>87</v>
      </c>
      <c r="D42" s="30">
        <f>COUNTIF(Lecture!D42:Z42, "P")</f>
        <v>16</v>
      </c>
      <c r="E42" s="30">
        <f>COUNTIF('G1'!D42:Y42,"P")</f>
        <v>3</v>
      </c>
      <c r="F42" s="30">
        <f t="shared" si="0"/>
        <v>19</v>
      </c>
      <c r="G42" s="31">
        <f t="shared" si="1"/>
        <v>0.79166666666666674</v>
      </c>
    </row>
    <row r="43" spans="1:7" ht="15">
      <c r="A43" s="12">
        <v>2</v>
      </c>
      <c r="B43" s="12" t="s">
        <v>88</v>
      </c>
      <c r="C43" s="28" t="s">
        <v>89</v>
      </c>
      <c r="D43" s="30">
        <f>COUNTIF(Lecture!D43:Z43, "P")</f>
        <v>16</v>
      </c>
      <c r="E43" s="30">
        <f>COUNTIF('G1'!D43:Y43,"P")</f>
        <v>4</v>
      </c>
      <c r="F43" s="30">
        <f t="shared" si="0"/>
        <v>20</v>
      </c>
      <c r="G43" s="31">
        <f t="shared" si="1"/>
        <v>0.83333333333333326</v>
      </c>
    </row>
    <row r="44" spans="1:7" ht="15">
      <c r="A44" s="12">
        <v>3</v>
      </c>
      <c r="B44" s="12" t="s">
        <v>90</v>
      </c>
      <c r="C44" s="28" t="s">
        <v>91</v>
      </c>
      <c r="D44" s="30">
        <f>COUNTIF(Lecture!D44:Z44, "P")</f>
        <v>18</v>
      </c>
      <c r="E44" s="30">
        <f>COUNTIF('G1'!D44:Y44,"P")</f>
        <v>5</v>
      </c>
      <c r="F44" s="30">
        <f t="shared" si="0"/>
        <v>23</v>
      </c>
      <c r="G44" s="31">
        <f t="shared" si="1"/>
        <v>0.95833333333333326</v>
      </c>
    </row>
    <row r="45" spans="1:7" ht="15">
      <c r="A45" s="12">
        <v>4</v>
      </c>
      <c r="B45" s="12" t="s">
        <v>92</v>
      </c>
      <c r="C45" s="28" t="s">
        <v>93</v>
      </c>
      <c r="D45" s="30">
        <f>COUNTIF(Lecture!D45:Z45, "P")</f>
        <v>15</v>
      </c>
      <c r="E45" s="30">
        <f>COUNTIF('G1'!D45:Y45,"P")</f>
        <v>4</v>
      </c>
      <c r="F45" s="30">
        <f t="shared" si="0"/>
        <v>19</v>
      </c>
      <c r="G45" s="31">
        <f t="shared" si="1"/>
        <v>0.79166666666666674</v>
      </c>
    </row>
    <row r="46" spans="1:7" ht="15">
      <c r="A46" s="12">
        <v>5</v>
      </c>
      <c r="B46" s="12" t="s">
        <v>94</v>
      </c>
      <c r="C46" s="28" t="s">
        <v>95</v>
      </c>
      <c r="D46" s="30">
        <f>COUNTIF(Lecture!D46:Z46, "P")</f>
        <v>17</v>
      </c>
      <c r="E46" s="30">
        <f>COUNTIF('G1'!D46:Y46,"P")</f>
        <v>5</v>
      </c>
      <c r="F46" s="30">
        <f t="shared" si="0"/>
        <v>22</v>
      </c>
      <c r="G46" s="31">
        <f t="shared" si="1"/>
        <v>0.91666666666666674</v>
      </c>
    </row>
    <row r="47" spans="1:7" ht="15">
      <c r="A47" s="12">
        <v>6</v>
      </c>
      <c r="B47" s="12" t="s">
        <v>96</v>
      </c>
      <c r="C47" s="28" t="s">
        <v>97</v>
      </c>
      <c r="D47" s="30">
        <f>COUNTIF(Lecture!D47:Z47, "P")</f>
        <v>18</v>
      </c>
      <c r="E47" s="30">
        <f>COUNTIF('G1'!D47:Y47,"P")</f>
        <v>4</v>
      </c>
      <c r="F47" s="30">
        <f t="shared" si="0"/>
        <v>22</v>
      </c>
      <c r="G47" s="31">
        <f t="shared" si="1"/>
        <v>0.91666666666666674</v>
      </c>
    </row>
    <row r="48" spans="1:7" ht="15">
      <c r="A48" s="12">
        <v>7</v>
      </c>
      <c r="B48" s="12" t="s">
        <v>98</v>
      </c>
      <c r="C48" s="28" t="s">
        <v>99</v>
      </c>
      <c r="D48" s="30">
        <f>COUNTIF(Lecture!D48:Z48, "P")</f>
        <v>18</v>
      </c>
      <c r="E48" s="30">
        <f>COUNTIF('G1'!D48:Y48,"P")</f>
        <v>5</v>
      </c>
      <c r="F48" s="30">
        <f t="shared" si="0"/>
        <v>23</v>
      </c>
      <c r="G48" s="31">
        <f t="shared" si="1"/>
        <v>0.95833333333333326</v>
      </c>
    </row>
    <row r="49" spans="1:7" ht="15">
      <c r="A49" s="12">
        <v>8</v>
      </c>
      <c r="B49" s="12" t="s">
        <v>100</v>
      </c>
      <c r="C49" s="28" t="s">
        <v>101</v>
      </c>
      <c r="D49" s="30">
        <f>COUNTIF(Lecture!D49:Z49, "P")</f>
        <v>18</v>
      </c>
      <c r="E49" s="30">
        <f>COUNTIF('G1'!D49:Y49,"P")</f>
        <v>5</v>
      </c>
      <c r="F49" s="30">
        <f t="shared" si="0"/>
        <v>23</v>
      </c>
      <c r="G49" s="31">
        <f t="shared" si="1"/>
        <v>0.95833333333333326</v>
      </c>
    </row>
    <row r="50" spans="1:7" ht="15">
      <c r="A50" s="12">
        <v>9</v>
      </c>
      <c r="B50" s="12" t="s">
        <v>102</v>
      </c>
      <c r="C50" s="28" t="s">
        <v>103</v>
      </c>
      <c r="D50" s="30">
        <f>COUNTIF(Lecture!D50:Z50, "P")</f>
        <v>18</v>
      </c>
      <c r="E50" s="30">
        <f>COUNTIF('G1'!D50:Y50,"P")</f>
        <v>5</v>
      </c>
      <c r="F50" s="30">
        <f t="shared" si="0"/>
        <v>23</v>
      </c>
      <c r="G50" s="31">
        <f t="shared" si="1"/>
        <v>0.95833333333333326</v>
      </c>
    </row>
    <row r="51" spans="1:7" ht="15">
      <c r="A51" s="12">
        <v>10</v>
      </c>
      <c r="B51" s="12" t="s">
        <v>104</v>
      </c>
      <c r="C51" s="28" t="s">
        <v>105</v>
      </c>
      <c r="D51" s="30">
        <f>COUNTIF(Lecture!D51:Z51, "P")</f>
        <v>17</v>
      </c>
      <c r="E51" s="30">
        <f>COUNTIF('G1'!D51:Y51,"P")</f>
        <v>5</v>
      </c>
      <c r="F51" s="30">
        <f t="shared" si="0"/>
        <v>22</v>
      </c>
      <c r="G51" s="31">
        <f t="shared" si="1"/>
        <v>0.91666666666666674</v>
      </c>
    </row>
    <row r="52" spans="1:7" ht="15">
      <c r="A52" s="12">
        <v>11</v>
      </c>
      <c r="B52" s="12" t="s">
        <v>106</v>
      </c>
      <c r="C52" s="28" t="s">
        <v>107</v>
      </c>
      <c r="D52" s="30">
        <f>COUNTIF(Lecture!D52:Z52, "P")</f>
        <v>15</v>
      </c>
      <c r="E52" s="30">
        <f>COUNTIF('G1'!D52:Y52,"P")</f>
        <v>4</v>
      </c>
      <c r="F52" s="30">
        <f t="shared" si="0"/>
        <v>19</v>
      </c>
      <c r="G52" s="31">
        <f t="shared" si="1"/>
        <v>0.79166666666666674</v>
      </c>
    </row>
    <row r="53" spans="1:7" ht="15">
      <c r="A53" s="12">
        <v>12</v>
      </c>
      <c r="B53" s="12" t="s">
        <v>108</v>
      </c>
      <c r="C53" s="28" t="s">
        <v>109</v>
      </c>
      <c r="D53" s="30">
        <f>COUNTIF(Lecture!D53:Z53, "P")</f>
        <v>19</v>
      </c>
      <c r="E53" s="30">
        <f>COUNTIF('G2'!D6:Y6,"P")</f>
        <v>4</v>
      </c>
      <c r="F53" s="30">
        <f t="shared" si="0"/>
        <v>23</v>
      </c>
      <c r="G53" s="31">
        <f t="shared" si="1"/>
        <v>0.95833333333333326</v>
      </c>
    </row>
    <row r="54" spans="1:7" ht="15">
      <c r="A54" s="12">
        <v>13</v>
      </c>
      <c r="B54" s="12" t="s">
        <v>110</v>
      </c>
      <c r="C54" s="28" t="s">
        <v>111</v>
      </c>
      <c r="D54" s="30">
        <f>COUNTIF(Lecture!D54:Z54, "P")</f>
        <v>19</v>
      </c>
      <c r="E54" s="30">
        <f>COUNTIF('G2'!D7:Y7,"P")</f>
        <v>4</v>
      </c>
      <c r="F54" s="30">
        <f t="shared" si="0"/>
        <v>23</v>
      </c>
      <c r="G54" s="31">
        <f t="shared" si="1"/>
        <v>0.95833333333333326</v>
      </c>
    </row>
    <row r="55" spans="1:7" ht="15">
      <c r="A55" s="12">
        <v>14</v>
      </c>
      <c r="B55" s="12" t="s">
        <v>112</v>
      </c>
      <c r="C55" s="28" t="s">
        <v>113</v>
      </c>
      <c r="D55" s="30">
        <f>COUNTIF(Lecture!D55:Z55, "P")</f>
        <v>18</v>
      </c>
      <c r="E55" s="30">
        <f>COUNTIF('G2'!D8:Y8,"P")</f>
        <v>5</v>
      </c>
      <c r="F55" s="30">
        <f t="shared" si="0"/>
        <v>23</v>
      </c>
      <c r="G55" s="31">
        <f t="shared" si="1"/>
        <v>0.95833333333333326</v>
      </c>
    </row>
    <row r="56" spans="1:7" ht="15">
      <c r="A56" s="12">
        <v>15</v>
      </c>
      <c r="B56" s="12" t="s">
        <v>114</v>
      </c>
      <c r="C56" s="28" t="s">
        <v>115</v>
      </c>
      <c r="D56" s="30">
        <f>COUNTIF(Lecture!D56:Z56, "P")</f>
        <v>16</v>
      </c>
      <c r="E56" s="30">
        <f>COUNTIF('G2'!D9:Y9,"P")</f>
        <v>4</v>
      </c>
      <c r="F56" s="30">
        <f t="shared" si="0"/>
        <v>20</v>
      </c>
      <c r="G56" s="31">
        <f t="shared" si="1"/>
        <v>0.83333333333333326</v>
      </c>
    </row>
    <row r="57" spans="1:7" ht="15">
      <c r="A57" s="12">
        <v>16</v>
      </c>
      <c r="B57" s="12" t="s">
        <v>116</v>
      </c>
      <c r="C57" s="28" t="s">
        <v>117</v>
      </c>
      <c r="D57" s="30">
        <f>COUNTIF(Lecture!D57:Z57, "P")</f>
        <v>16</v>
      </c>
      <c r="E57" s="30">
        <f>COUNTIF('G2'!D10:Y10,"P")</f>
        <v>5</v>
      </c>
      <c r="F57" s="30">
        <f t="shared" si="0"/>
        <v>21</v>
      </c>
      <c r="G57" s="31">
        <f t="shared" si="1"/>
        <v>0.875</v>
      </c>
    </row>
    <row r="58" spans="1:7" ht="15">
      <c r="A58" s="12">
        <v>17</v>
      </c>
      <c r="B58" s="12" t="s">
        <v>118</v>
      </c>
      <c r="C58" s="28" t="s">
        <v>119</v>
      </c>
      <c r="D58" s="30">
        <f>COUNTIF(Lecture!D58:Z58, "P")</f>
        <v>15</v>
      </c>
      <c r="E58" s="30">
        <f>COUNTIF('G2'!D11:Y11,"P")</f>
        <v>4</v>
      </c>
      <c r="F58" s="30">
        <f t="shared" si="0"/>
        <v>19</v>
      </c>
      <c r="G58" s="31">
        <f t="shared" si="1"/>
        <v>0.79166666666666674</v>
      </c>
    </row>
    <row r="59" spans="1:7" ht="15">
      <c r="A59" s="12">
        <v>18</v>
      </c>
      <c r="B59" s="12" t="s">
        <v>120</v>
      </c>
      <c r="C59" s="28" t="s">
        <v>121</v>
      </c>
      <c r="D59" s="30">
        <f>COUNTIF(Lecture!D59:Z59, "P")</f>
        <v>19</v>
      </c>
      <c r="E59" s="30">
        <f>COUNTIF('G2'!D12:Y12,"P")</f>
        <v>4</v>
      </c>
      <c r="F59" s="30">
        <f t="shared" si="0"/>
        <v>23</v>
      </c>
      <c r="G59" s="31">
        <f t="shared" si="1"/>
        <v>0.95833333333333326</v>
      </c>
    </row>
    <row r="60" spans="1:7" ht="15">
      <c r="A60" s="12">
        <v>19</v>
      </c>
      <c r="B60" s="12" t="s">
        <v>122</v>
      </c>
      <c r="C60" s="28" t="s">
        <v>123</v>
      </c>
      <c r="D60" s="30">
        <f>COUNTIF(Lecture!D60:Z60, "P")</f>
        <v>17</v>
      </c>
      <c r="E60" s="30">
        <f>COUNTIF('G2'!D13:Y13,"P")</f>
        <v>4</v>
      </c>
      <c r="F60" s="30">
        <f t="shared" si="0"/>
        <v>21</v>
      </c>
      <c r="G60" s="31">
        <f t="shared" si="1"/>
        <v>0.875</v>
      </c>
    </row>
    <row r="61" spans="1:7" ht="15">
      <c r="A61" s="12">
        <v>20</v>
      </c>
      <c r="B61" s="12" t="s">
        <v>124</v>
      </c>
      <c r="C61" s="28" t="s">
        <v>125</v>
      </c>
      <c r="D61" s="30">
        <f>COUNTIF(Lecture!D61:Z61, "P")</f>
        <v>15</v>
      </c>
      <c r="E61" s="30">
        <f>COUNTIF('G2'!D14:Y14,"P")</f>
        <v>5</v>
      </c>
      <c r="F61" s="30">
        <f t="shared" si="0"/>
        <v>20</v>
      </c>
      <c r="G61" s="31">
        <f t="shared" si="1"/>
        <v>0.83333333333333326</v>
      </c>
    </row>
    <row r="62" spans="1:7" ht="15">
      <c r="A62" s="12">
        <v>21</v>
      </c>
      <c r="B62" s="12" t="s">
        <v>126</v>
      </c>
      <c r="C62" s="28" t="s">
        <v>127</v>
      </c>
      <c r="D62" s="30">
        <f>COUNTIF(Lecture!D62:Z62, "P")</f>
        <v>19</v>
      </c>
      <c r="E62" s="30">
        <f>COUNTIF('G2'!D15:Y15,"P")</f>
        <v>4</v>
      </c>
      <c r="F62" s="30">
        <f t="shared" si="0"/>
        <v>23</v>
      </c>
      <c r="G62" s="31">
        <f t="shared" si="1"/>
        <v>0.95833333333333326</v>
      </c>
    </row>
    <row r="63" spans="1:7" ht="15">
      <c r="A63" s="12">
        <v>22</v>
      </c>
      <c r="B63" s="12" t="s">
        <v>128</v>
      </c>
      <c r="C63" s="28" t="s">
        <v>129</v>
      </c>
      <c r="D63" s="30">
        <f>COUNTIF(Lecture!D63:Z63, "P")</f>
        <v>18</v>
      </c>
      <c r="E63" s="30">
        <f>COUNTIF('G2'!D16:Y16,"P")</f>
        <v>5</v>
      </c>
      <c r="F63" s="30">
        <f t="shared" si="0"/>
        <v>23</v>
      </c>
      <c r="G63" s="31">
        <f t="shared" si="1"/>
        <v>0.95833333333333326</v>
      </c>
    </row>
    <row r="64" spans="1:7" ht="15">
      <c r="A64" s="12">
        <v>23</v>
      </c>
      <c r="B64" s="12" t="s">
        <v>130</v>
      </c>
      <c r="C64" s="28" t="s">
        <v>131</v>
      </c>
      <c r="D64" s="30">
        <f>COUNTIF(Lecture!D64:Z64, "P")</f>
        <v>18</v>
      </c>
      <c r="E64" s="30">
        <f>COUNTIF('G2'!D17:Y17,"P")</f>
        <v>4</v>
      </c>
      <c r="F64" s="30">
        <f t="shared" si="0"/>
        <v>22</v>
      </c>
      <c r="G64" s="31">
        <f t="shared" si="1"/>
        <v>0.91666666666666674</v>
      </c>
    </row>
    <row r="65" spans="1:7" ht="15">
      <c r="A65" s="12">
        <v>24</v>
      </c>
      <c r="B65" s="12" t="s">
        <v>132</v>
      </c>
      <c r="C65" s="28" t="s">
        <v>133</v>
      </c>
      <c r="D65" s="30">
        <f>COUNTIF(Lecture!D65:Z65, "P")</f>
        <v>18</v>
      </c>
      <c r="E65" s="30">
        <f>COUNTIF('G2'!D18:Y18,"P")</f>
        <v>4</v>
      </c>
      <c r="F65" s="30">
        <f t="shared" si="0"/>
        <v>22</v>
      </c>
      <c r="G65" s="31">
        <f t="shared" si="1"/>
        <v>0.91666666666666674</v>
      </c>
    </row>
    <row r="66" spans="1:7" ht="15">
      <c r="A66" s="12">
        <v>25</v>
      </c>
      <c r="B66" s="12" t="s">
        <v>134</v>
      </c>
      <c r="C66" s="28" t="s">
        <v>135</v>
      </c>
      <c r="D66" s="30">
        <f>COUNTIF(Lecture!D66:Z66, "P")</f>
        <v>19</v>
      </c>
      <c r="E66" s="30">
        <f>COUNTIF('G2'!D19:Y19,"P")</f>
        <v>5</v>
      </c>
      <c r="F66" s="30">
        <f t="shared" si="0"/>
        <v>24</v>
      </c>
      <c r="G66" s="31">
        <f t="shared" si="1"/>
        <v>1</v>
      </c>
    </row>
    <row r="67" spans="1:7" ht="15">
      <c r="A67" s="12">
        <v>26</v>
      </c>
      <c r="B67" s="12" t="s">
        <v>136</v>
      </c>
      <c r="C67" s="28" t="s">
        <v>137</v>
      </c>
      <c r="D67" s="30">
        <f>COUNTIF(Lecture!D67:Z67, "P")</f>
        <v>18</v>
      </c>
      <c r="E67" s="30">
        <f>COUNTIF('G2'!D20:Y20,"P")</f>
        <v>4</v>
      </c>
      <c r="F67" s="30">
        <f t="shared" si="0"/>
        <v>22</v>
      </c>
      <c r="G67" s="31">
        <f t="shared" si="1"/>
        <v>0.91666666666666674</v>
      </c>
    </row>
    <row r="68" spans="1:7" ht="15">
      <c r="A68" s="12">
        <v>27</v>
      </c>
      <c r="B68" s="12" t="s">
        <v>138</v>
      </c>
      <c r="C68" s="28" t="s">
        <v>139</v>
      </c>
      <c r="D68" s="30">
        <f>COUNTIF(Lecture!D68:Z68, "P")</f>
        <v>16</v>
      </c>
      <c r="E68" s="30">
        <f>COUNTIF('G2'!D21:Y21,"P")</f>
        <v>4</v>
      </c>
      <c r="F68" s="30">
        <f t="shared" si="0"/>
        <v>20</v>
      </c>
      <c r="G68" s="31">
        <f t="shared" si="1"/>
        <v>0.83333333333333326</v>
      </c>
    </row>
    <row r="69" spans="1:7" ht="15">
      <c r="A69" s="12">
        <v>28</v>
      </c>
      <c r="B69" s="12" t="s">
        <v>140</v>
      </c>
      <c r="C69" s="28" t="s">
        <v>141</v>
      </c>
      <c r="D69" s="30">
        <f>COUNTIF(Lecture!D69:Z69, "P")</f>
        <v>18</v>
      </c>
      <c r="E69" s="30">
        <f>COUNTIF('G2'!D22:Y22,"P")</f>
        <v>5</v>
      </c>
      <c r="F69" s="30">
        <f t="shared" si="0"/>
        <v>23</v>
      </c>
      <c r="G69" s="31">
        <f t="shared" si="1"/>
        <v>0.95833333333333326</v>
      </c>
    </row>
    <row r="70" spans="1:7" ht="15">
      <c r="A70" s="12">
        <v>29</v>
      </c>
      <c r="B70" s="12" t="s">
        <v>142</v>
      </c>
      <c r="C70" s="28" t="s">
        <v>143</v>
      </c>
      <c r="D70" s="30">
        <f>COUNTIF(Lecture!D70:Z70, "P")</f>
        <v>5</v>
      </c>
      <c r="E70" s="30">
        <f>COUNTIF('G2'!D23:Y23,"P")</f>
        <v>3</v>
      </c>
      <c r="F70" s="30">
        <f t="shared" si="0"/>
        <v>8</v>
      </c>
      <c r="G70" s="31">
        <f t="shared" si="1"/>
        <v>0.33333333333333337</v>
      </c>
    </row>
    <row r="71" spans="1:7" ht="15">
      <c r="A71" s="12">
        <v>30</v>
      </c>
      <c r="B71" s="12" t="s">
        <v>144</v>
      </c>
      <c r="C71" s="28" t="s">
        <v>145</v>
      </c>
      <c r="D71" s="30">
        <f>COUNTIF(Lecture!D71:Z71, "P")</f>
        <v>16</v>
      </c>
      <c r="E71" s="30">
        <f>COUNTIF('G2'!D24:Y24,"P")</f>
        <v>5</v>
      </c>
      <c r="F71" s="30">
        <f t="shared" ref="F71:F99" si="2">SUM(D71:E71)</f>
        <v>21</v>
      </c>
      <c r="G71" s="31">
        <f t="shared" ref="G71:G99" si="3">((100*F71)/24)/100</f>
        <v>0.875</v>
      </c>
    </row>
    <row r="72" spans="1:7" ht="15">
      <c r="A72" s="12">
        <v>31</v>
      </c>
      <c r="B72" s="12" t="s">
        <v>146</v>
      </c>
      <c r="C72" s="28" t="s">
        <v>147</v>
      </c>
      <c r="D72" s="30">
        <f>COUNTIF(Lecture!D72:Z72, "P")</f>
        <v>16</v>
      </c>
      <c r="E72" s="30">
        <f>COUNTIF('G2'!D25:Y25,"P")</f>
        <v>5</v>
      </c>
      <c r="F72" s="30">
        <f t="shared" si="2"/>
        <v>21</v>
      </c>
      <c r="G72" s="31">
        <f t="shared" si="3"/>
        <v>0.875</v>
      </c>
    </row>
    <row r="73" spans="1:7" ht="15">
      <c r="A73" s="12">
        <v>32</v>
      </c>
      <c r="B73" s="12" t="s">
        <v>148</v>
      </c>
      <c r="C73" s="28" t="s">
        <v>149</v>
      </c>
      <c r="D73" s="30">
        <f>COUNTIF(Lecture!D73:Z73, "P")</f>
        <v>17</v>
      </c>
      <c r="E73" s="30">
        <f>COUNTIF('G2'!D26:Y26,"P")</f>
        <v>5</v>
      </c>
      <c r="F73" s="30">
        <f t="shared" si="2"/>
        <v>22</v>
      </c>
      <c r="G73" s="31">
        <f t="shared" si="3"/>
        <v>0.91666666666666674</v>
      </c>
    </row>
    <row r="74" spans="1:7" ht="15">
      <c r="A74" s="12">
        <v>33</v>
      </c>
      <c r="B74" s="12" t="s">
        <v>150</v>
      </c>
      <c r="C74" s="28" t="s">
        <v>151</v>
      </c>
      <c r="D74" s="30">
        <f>COUNTIF(Lecture!D74:Z74, "P")</f>
        <v>17</v>
      </c>
      <c r="E74" s="30">
        <f>COUNTIF('G2'!D27:Y27,"P")</f>
        <v>5</v>
      </c>
      <c r="F74" s="30">
        <f t="shared" si="2"/>
        <v>22</v>
      </c>
      <c r="G74" s="31">
        <f t="shared" si="3"/>
        <v>0.91666666666666674</v>
      </c>
    </row>
    <row r="75" spans="1:7" ht="15">
      <c r="A75" s="12">
        <v>34</v>
      </c>
      <c r="B75" s="12" t="s">
        <v>152</v>
      </c>
      <c r="C75" s="28" t="s">
        <v>153</v>
      </c>
      <c r="D75" s="30">
        <f>COUNTIF(Lecture!D75:Z75, "P")</f>
        <v>16</v>
      </c>
      <c r="E75" s="30">
        <f>COUNTIF('G2'!D28:Y28,"P")</f>
        <v>3</v>
      </c>
      <c r="F75" s="30">
        <f t="shared" si="2"/>
        <v>19</v>
      </c>
      <c r="G75" s="31">
        <f t="shared" si="3"/>
        <v>0.79166666666666674</v>
      </c>
    </row>
    <row r="76" spans="1:7" ht="15">
      <c r="A76" s="12">
        <v>35</v>
      </c>
      <c r="B76" s="12" t="s">
        <v>154</v>
      </c>
      <c r="C76" s="28" t="s">
        <v>155</v>
      </c>
      <c r="D76" s="30">
        <f>COUNTIF(Lecture!D76:Z76, "P")</f>
        <v>19</v>
      </c>
      <c r="E76" s="30">
        <f>COUNTIF('G2'!D29:Y29,"P")</f>
        <v>5</v>
      </c>
      <c r="F76" s="30">
        <f t="shared" si="2"/>
        <v>24</v>
      </c>
      <c r="G76" s="31">
        <f t="shared" si="3"/>
        <v>1</v>
      </c>
    </row>
    <row r="77" spans="1:7" ht="15">
      <c r="A77" s="12">
        <v>95</v>
      </c>
      <c r="B77" s="12" t="s">
        <v>156</v>
      </c>
      <c r="C77" s="27" t="s">
        <v>157</v>
      </c>
      <c r="D77" s="30">
        <f>COUNTIF(Lecture!D77:Z77, "P")</f>
        <v>19</v>
      </c>
      <c r="E77" s="30">
        <f>COUNTIF('G2'!D30:Y30,"P")</f>
        <v>5</v>
      </c>
      <c r="F77" s="30">
        <f t="shared" si="2"/>
        <v>24</v>
      </c>
      <c r="G77" s="31">
        <f t="shared" si="3"/>
        <v>1</v>
      </c>
    </row>
    <row r="78" spans="1:7" ht="15">
      <c r="A78" s="12">
        <v>96</v>
      </c>
      <c r="B78" s="12" t="s">
        <v>158</v>
      </c>
      <c r="C78" s="27" t="s">
        <v>159</v>
      </c>
      <c r="D78" s="30">
        <f>COUNTIF(Lecture!D78:Z78, "P")</f>
        <v>16</v>
      </c>
      <c r="E78" s="30">
        <f>COUNTIF('G2'!D31:Y31,"P")</f>
        <v>5</v>
      </c>
      <c r="F78" s="30">
        <f t="shared" si="2"/>
        <v>21</v>
      </c>
      <c r="G78" s="31">
        <f t="shared" si="3"/>
        <v>0.875</v>
      </c>
    </row>
    <row r="79" spans="1:7" ht="15">
      <c r="A79" s="12">
        <v>97</v>
      </c>
      <c r="B79" s="12" t="s">
        <v>160</v>
      </c>
      <c r="C79" s="27" t="s">
        <v>161</v>
      </c>
      <c r="D79" s="30">
        <f>COUNTIF(Lecture!D79:Z79, "P")</f>
        <v>17</v>
      </c>
      <c r="E79" s="30">
        <f>COUNTIF('G2'!D32:Y32,"P")</f>
        <v>4</v>
      </c>
      <c r="F79" s="30">
        <f t="shared" si="2"/>
        <v>21</v>
      </c>
      <c r="G79" s="31">
        <f t="shared" si="3"/>
        <v>0.875</v>
      </c>
    </row>
    <row r="80" spans="1:7" ht="15">
      <c r="A80" s="12">
        <v>98</v>
      </c>
      <c r="B80" s="12" t="s">
        <v>162</v>
      </c>
      <c r="C80" s="27" t="s">
        <v>163</v>
      </c>
      <c r="D80" s="30">
        <f>COUNTIF(Lecture!D80:Z80, "P")</f>
        <v>15</v>
      </c>
      <c r="E80" s="30">
        <f>COUNTIF('G2'!D33:Y33,"P")</f>
        <v>3</v>
      </c>
      <c r="F80" s="30">
        <f t="shared" si="2"/>
        <v>18</v>
      </c>
      <c r="G80" s="31">
        <f t="shared" si="3"/>
        <v>0.75</v>
      </c>
    </row>
    <row r="81" spans="1:7" ht="15">
      <c r="A81" s="12">
        <v>99</v>
      </c>
      <c r="B81" s="12" t="s">
        <v>164</v>
      </c>
      <c r="C81" s="27" t="s">
        <v>165</v>
      </c>
      <c r="D81" s="30">
        <f>COUNTIF(Lecture!D81:Z81, "P")</f>
        <v>18</v>
      </c>
      <c r="E81" s="30">
        <f>COUNTIF('G2'!D34:Y34,"P")</f>
        <v>4</v>
      </c>
      <c r="F81" s="30">
        <f t="shared" si="2"/>
        <v>22</v>
      </c>
      <c r="G81" s="31">
        <f t="shared" si="3"/>
        <v>0.91666666666666674</v>
      </c>
    </row>
    <row r="82" spans="1:7" ht="15">
      <c r="A82" s="12">
        <v>100</v>
      </c>
      <c r="B82" s="12" t="s">
        <v>166</v>
      </c>
      <c r="C82" s="27" t="s">
        <v>167</v>
      </c>
      <c r="D82" s="30">
        <f>COUNTIF(Lecture!D82:Z82, "P")</f>
        <v>16</v>
      </c>
      <c r="E82" s="30">
        <f>COUNTIF('G2'!D35:Y35,"P")</f>
        <v>4</v>
      </c>
      <c r="F82" s="30">
        <f t="shared" si="2"/>
        <v>20</v>
      </c>
      <c r="G82" s="31">
        <f t="shared" si="3"/>
        <v>0.83333333333333326</v>
      </c>
    </row>
    <row r="83" spans="1:7" ht="15">
      <c r="A83" s="12">
        <v>101</v>
      </c>
      <c r="B83" s="12" t="s">
        <v>168</v>
      </c>
      <c r="C83" s="27" t="s">
        <v>169</v>
      </c>
      <c r="D83" s="30">
        <f>COUNTIF(Lecture!D83:Z83, "P")</f>
        <v>17</v>
      </c>
      <c r="E83" s="30">
        <f>COUNTIF('G2'!D36:Y36,"P")</f>
        <v>4</v>
      </c>
      <c r="F83" s="30">
        <f t="shared" si="2"/>
        <v>21</v>
      </c>
      <c r="G83" s="31">
        <f t="shared" si="3"/>
        <v>0.875</v>
      </c>
    </row>
    <row r="84" spans="1:7" ht="15">
      <c r="A84" s="12">
        <v>102</v>
      </c>
      <c r="B84" s="12" t="s">
        <v>170</v>
      </c>
      <c r="C84" s="27" t="s">
        <v>171</v>
      </c>
      <c r="D84" s="30">
        <f>COUNTIF(Lecture!D84:Z84, "P")</f>
        <v>18</v>
      </c>
      <c r="E84" s="30">
        <f>COUNTIF('G2'!D37:Y37,"P")</f>
        <v>5</v>
      </c>
      <c r="F84" s="30">
        <f t="shared" si="2"/>
        <v>23</v>
      </c>
      <c r="G84" s="31">
        <f t="shared" si="3"/>
        <v>0.95833333333333326</v>
      </c>
    </row>
    <row r="85" spans="1:7" ht="15">
      <c r="A85" s="12">
        <v>103</v>
      </c>
      <c r="B85" s="12" t="s">
        <v>172</v>
      </c>
      <c r="C85" s="27" t="s">
        <v>173</v>
      </c>
      <c r="D85" s="30">
        <f>COUNTIF(Lecture!D85:Z85, "P")</f>
        <v>15</v>
      </c>
      <c r="E85" s="30">
        <f>COUNTIF('G2'!D38:Y38,"P")</f>
        <v>5</v>
      </c>
      <c r="F85" s="30">
        <f t="shared" si="2"/>
        <v>20</v>
      </c>
      <c r="G85" s="31">
        <f t="shared" si="3"/>
        <v>0.83333333333333326</v>
      </c>
    </row>
    <row r="86" spans="1:7" ht="15">
      <c r="A86" s="12">
        <v>104</v>
      </c>
      <c r="B86" s="12" t="s">
        <v>174</v>
      </c>
      <c r="C86" s="27" t="s">
        <v>175</v>
      </c>
      <c r="D86" s="30">
        <f>COUNTIF(Lecture!D86:Z86, "P")</f>
        <v>18</v>
      </c>
      <c r="E86" s="30">
        <f>COUNTIF('G2'!D39:Y39,"P")</f>
        <v>4</v>
      </c>
      <c r="F86" s="30">
        <f t="shared" si="2"/>
        <v>22</v>
      </c>
      <c r="G86" s="31">
        <f t="shared" si="3"/>
        <v>0.91666666666666674</v>
      </c>
    </row>
    <row r="87" spans="1:7" ht="15">
      <c r="A87" s="12">
        <v>105</v>
      </c>
      <c r="B87" s="12" t="s">
        <v>176</v>
      </c>
      <c r="C87" s="27" t="s">
        <v>177</v>
      </c>
      <c r="D87" s="30">
        <f>COUNTIF(Lecture!D87:Z87, "P")</f>
        <v>17</v>
      </c>
      <c r="E87" s="30">
        <f>COUNTIF('G2'!D40:Y40,"P")</f>
        <v>4</v>
      </c>
      <c r="F87" s="30">
        <f t="shared" si="2"/>
        <v>21</v>
      </c>
      <c r="G87" s="31">
        <f t="shared" si="3"/>
        <v>0.875</v>
      </c>
    </row>
    <row r="88" spans="1:7" ht="15">
      <c r="A88" s="12">
        <v>106</v>
      </c>
      <c r="B88" s="12" t="s">
        <v>178</v>
      </c>
      <c r="C88" s="27" t="s">
        <v>179</v>
      </c>
      <c r="D88" s="30">
        <f>COUNTIF(Lecture!D88:Z88, "P")</f>
        <v>16</v>
      </c>
      <c r="E88" s="30">
        <f>COUNTIF('G2'!D41:Y41,"P")</f>
        <v>4</v>
      </c>
      <c r="F88" s="30">
        <f t="shared" si="2"/>
        <v>20</v>
      </c>
      <c r="G88" s="31">
        <f t="shared" si="3"/>
        <v>0.83333333333333326</v>
      </c>
    </row>
    <row r="89" spans="1:7" ht="15">
      <c r="A89" s="12">
        <v>107</v>
      </c>
      <c r="B89" s="12" t="s">
        <v>180</v>
      </c>
      <c r="C89" s="27" t="s">
        <v>181</v>
      </c>
      <c r="D89" s="30">
        <f>COUNTIF(Lecture!D89:Z89, "P")</f>
        <v>18</v>
      </c>
      <c r="E89" s="30">
        <f>COUNTIF('G2'!D42:Y42,"P")</f>
        <v>4</v>
      </c>
      <c r="F89" s="30">
        <f t="shared" si="2"/>
        <v>22</v>
      </c>
      <c r="G89" s="31">
        <f t="shared" si="3"/>
        <v>0.91666666666666674</v>
      </c>
    </row>
    <row r="90" spans="1:7" ht="15">
      <c r="A90" s="12">
        <v>108</v>
      </c>
      <c r="B90" s="12" t="s">
        <v>182</v>
      </c>
      <c r="C90" s="27" t="s">
        <v>183</v>
      </c>
      <c r="D90" s="30">
        <f>COUNTIF(Lecture!D90:Z90, "P")</f>
        <v>18</v>
      </c>
      <c r="E90" s="30">
        <f>COUNTIF('G2'!D43:Y43,"P")</f>
        <v>4</v>
      </c>
      <c r="F90" s="30">
        <f t="shared" si="2"/>
        <v>22</v>
      </c>
      <c r="G90" s="31">
        <f t="shared" si="3"/>
        <v>0.91666666666666674</v>
      </c>
    </row>
    <row r="91" spans="1:7" ht="15">
      <c r="A91" s="12">
        <v>109</v>
      </c>
      <c r="B91" s="12" t="s">
        <v>184</v>
      </c>
      <c r="C91" s="27" t="s">
        <v>185</v>
      </c>
      <c r="D91" s="30">
        <f>COUNTIF(Lecture!D91:Z91, "P")</f>
        <v>16</v>
      </c>
      <c r="E91" s="30">
        <f>COUNTIF('G2'!D44:Y44,"P")</f>
        <v>4</v>
      </c>
      <c r="F91" s="30">
        <f t="shared" si="2"/>
        <v>20</v>
      </c>
      <c r="G91" s="31">
        <f t="shared" si="3"/>
        <v>0.83333333333333326</v>
      </c>
    </row>
    <row r="92" spans="1:7" ht="15">
      <c r="A92" s="12">
        <v>110</v>
      </c>
      <c r="B92" s="12" t="s">
        <v>186</v>
      </c>
      <c r="C92" s="27" t="s">
        <v>187</v>
      </c>
      <c r="D92" s="30">
        <f>COUNTIF(Lecture!D92:Z92, "P")</f>
        <v>16</v>
      </c>
      <c r="E92" s="30">
        <f>COUNTIF('G2'!D45:Y45,"P")</f>
        <v>4</v>
      </c>
      <c r="F92" s="30">
        <f t="shared" si="2"/>
        <v>20</v>
      </c>
      <c r="G92" s="31">
        <f t="shared" si="3"/>
        <v>0.83333333333333326</v>
      </c>
    </row>
    <row r="93" spans="1:7" ht="15">
      <c r="A93" s="12">
        <v>111</v>
      </c>
      <c r="B93" s="12" t="s">
        <v>188</v>
      </c>
      <c r="C93" s="27" t="s">
        <v>189</v>
      </c>
      <c r="D93" s="30">
        <f>COUNTIF(Lecture!D93:Z93, "P")</f>
        <v>16</v>
      </c>
      <c r="E93" s="30">
        <f>COUNTIF('G2'!D46:Y46,"P")</f>
        <v>4</v>
      </c>
      <c r="F93" s="30">
        <f t="shared" si="2"/>
        <v>20</v>
      </c>
      <c r="G93" s="31">
        <f t="shared" si="3"/>
        <v>0.83333333333333326</v>
      </c>
    </row>
    <row r="94" spans="1:7" ht="15">
      <c r="A94" s="12">
        <v>112</v>
      </c>
      <c r="B94" s="12" t="s">
        <v>190</v>
      </c>
      <c r="C94" s="27" t="s">
        <v>191</v>
      </c>
      <c r="D94" s="30">
        <f>COUNTIF(Lecture!D94:Z94, "P")</f>
        <v>17</v>
      </c>
      <c r="E94" s="30">
        <f>COUNTIF('G2'!D47:Y47,"P")</f>
        <v>4</v>
      </c>
      <c r="F94" s="30">
        <f t="shared" si="2"/>
        <v>21</v>
      </c>
      <c r="G94" s="31">
        <f t="shared" si="3"/>
        <v>0.875</v>
      </c>
    </row>
    <row r="95" spans="1:7" ht="15">
      <c r="A95" s="12">
        <v>113</v>
      </c>
      <c r="B95" s="12" t="s">
        <v>192</v>
      </c>
      <c r="C95" s="27" t="s">
        <v>193</v>
      </c>
      <c r="D95" s="30">
        <f>COUNTIF(Lecture!D95:Z95, "P")</f>
        <v>19</v>
      </c>
      <c r="E95" s="30">
        <f>COUNTIF('G2'!D48:Y48,"P")</f>
        <v>5</v>
      </c>
      <c r="F95" s="30">
        <f t="shared" si="2"/>
        <v>24</v>
      </c>
      <c r="G95" s="31">
        <f t="shared" si="3"/>
        <v>1</v>
      </c>
    </row>
    <row r="96" spans="1:7" ht="15">
      <c r="A96" s="12">
        <v>114</v>
      </c>
      <c r="B96" s="12" t="s">
        <v>194</v>
      </c>
      <c r="C96" s="27" t="s">
        <v>195</v>
      </c>
      <c r="D96" s="30">
        <f>COUNTIF(Lecture!D96:Z96, "P")</f>
        <v>16</v>
      </c>
      <c r="E96" s="30">
        <f>COUNTIF('G2'!D49:Y49,"P")</f>
        <v>4</v>
      </c>
      <c r="F96" s="30">
        <f t="shared" si="2"/>
        <v>20</v>
      </c>
      <c r="G96" s="31">
        <f t="shared" si="3"/>
        <v>0.83333333333333326</v>
      </c>
    </row>
    <row r="97" spans="1:7" ht="15">
      <c r="A97" s="12">
        <v>115</v>
      </c>
      <c r="B97" s="12" t="s">
        <v>196</v>
      </c>
      <c r="C97" s="27" t="s">
        <v>197</v>
      </c>
      <c r="D97" s="30">
        <f>COUNTIF(Lecture!D97:Z97, "P")</f>
        <v>19</v>
      </c>
      <c r="E97" s="30">
        <f>COUNTIF('G2'!D50:Y50,"P")</f>
        <v>4</v>
      </c>
      <c r="F97" s="30">
        <f t="shared" si="2"/>
        <v>23</v>
      </c>
      <c r="G97" s="31">
        <f t="shared" si="3"/>
        <v>0.95833333333333326</v>
      </c>
    </row>
    <row r="98" spans="1:7" ht="15">
      <c r="A98" s="12">
        <v>116</v>
      </c>
      <c r="B98" s="12" t="s">
        <v>198</v>
      </c>
      <c r="C98" s="27" t="s">
        <v>199</v>
      </c>
      <c r="D98" s="30">
        <f>COUNTIF(Lecture!D98:Z98, "P")</f>
        <v>19</v>
      </c>
      <c r="E98" s="30">
        <f>COUNTIF('G2'!D51:Y51,"P")</f>
        <v>4</v>
      </c>
      <c r="F98" s="30">
        <f t="shared" si="2"/>
        <v>23</v>
      </c>
      <c r="G98" s="31">
        <f t="shared" si="3"/>
        <v>0.95833333333333326</v>
      </c>
    </row>
    <row r="99" spans="1:7" ht="15">
      <c r="A99" s="12">
        <v>117</v>
      </c>
      <c r="B99" s="12" t="s">
        <v>200</v>
      </c>
      <c r="C99" s="27" t="s">
        <v>201</v>
      </c>
      <c r="D99" s="30">
        <f>COUNTIF(Lecture!D99:Z99, "P")</f>
        <v>19</v>
      </c>
      <c r="E99" s="30">
        <f>COUNTIF('G2'!D52:Y52,"P")</f>
        <v>4</v>
      </c>
      <c r="F99" s="30">
        <f t="shared" si="2"/>
        <v>23</v>
      </c>
      <c r="G99" s="31">
        <f t="shared" si="3"/>
        <v>0.95833333333333326</v>
      </c>
    </row>
  </sheetData>
  <mergeCells count="3">
    <mergeCell ref="A3:A5"/>
    <mergeCell ref="C2:AF2"/>
    <mergeCell ref="C3:AF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Lecture</vt:lpstr>
      <vt:lpstr>G1</vt:lpstr>
      <vt:lpstr>G2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 Kumar</cp:lastModifiedBy>
  <dcterms:modified xsi:type="dcterms:W3CDTF">2025-11-25T14:15:08Z</dcterms:modified>
</cp:coreProperties>
</file>