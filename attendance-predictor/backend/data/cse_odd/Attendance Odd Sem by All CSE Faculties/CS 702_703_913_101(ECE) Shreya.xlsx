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REYA_AGARWAL_14_07-22\IIIT SURAT\"/>
    </mc:Choice>
  </mc:AlternateContent>
  <bookViews>
    <workbookView xWindow="0" yWindow="0" windowWidth="23040" windowHeight="9384" activeTab="4"/>
  </bookViews>
  <sheets>
    <sheet name="CS702,CS703" sheetId="1" r:id="rId1"/>
    <sheet name="CS913" sheetId="2" r:id="rId2"/>
    <sheet name="LabB1 NLP" sheetId="3" r:id="rId3"/>
    <sheet name="LabB2NLP" sheetId="4" r:id="rId4"/>
    <sheet name="CS101 FCP" sheetId="5" r:id="rId5"/>
    <sheet name="CS101LAB G1" sheetId="6" r:id="rId6"/>
    <sheet name="CS101FCP LAB G2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7" l="1"/>
  <c r="K47" i="7" s="1"/>
  <c r="J46" i="7"/>
  <c r="K46" i="7" s="1"/>
  <c r="K45" i="7"/>
  <c r="J45" i="7"/>
  <c r="J44" i="7"/>
  <c r="K44" i="7" s="1"/>
  <c r="K43" i="7"/>
  <c r="J43" i="7"/>
  <c r="J42" i="7"/>
  <c r="K42" i="7" s="1"/>
  <c r="J41" i="7"/>
  <c r="K41" i="7" s="1"/>
  <c r="J40" i="7"/>
  <c r="K40" i="7" s="1"/>
  <c r="K39" i="7"/>
  <c r="J39" i="7"/>
  <c r="J38" i="7"/>
  <c r="K38" i="7" s="1"/>
  <c r="K37" i="7"/>
  <c r="J37" i="7"/>
  <c r="J36" i="7"/>
  <c r="K36" i="7" s="1"/>
  <c r="J35" i="7"/>
  <c r="K35" i="7" s="1"/>
  <c r="J34" i="7"/>
  <c r="K34" i="7" s="1"/>
  <c r="K33" i="7"/>
  <c r="J33" i="7"/>
  <c r="J32" i="7"/>
  <c r="K32" i="7" s="1"/>
  <c r="K31" i="7"/>
  <c r="J31" i="7"/>
  <c r="J30" i="7"/>
  <c r="K30" i="7" s="1"/>
  <c r="J29" i="7"/>
  <c r="K29" i="7" s="1"/>
  <c r="J28" i="7"/>
  <c r="K28" i="7" s="1"/>
  <c r="K27" i="7"/>
  <c r="J27" i="7"/>
  <c r="J26" i="7"/>
  <c r="K26" i="7" s="1"/>
  <c r="J25" i="7"/>
  <c r="K25" i="7" s="1"/>
  <c r="J24" i="7"/>
  <c r="K24" i="7" s="1"/>
  <c r="J23" i="7"/>
  <c r="K23" i="7" s="1"/>
  <c r="J22" i="7"/>
  <c r="K22" i="7" s="1"/>
  <c r="K21" i="7"/>
  <c r="J21" i="7"/>
  <c r="J20" i="7"/>
  <c r="K20" i="7" s="1"/>
  <c r="K19" i="7"/>
  <c r="J19" i="7"/>
  <c r="J18" i="7"/>
  <c r="K18" i="7" s="1"/>
  <c r="J17" i="7"/>
  <c r="K17" i="7" s="1"/>
  <c r="J16" i="7"/>
  <c r="K16" i="7" s="1"/>
  <c r="K15" i="7"/>
  <c r="J15" i="7"/>
  <c r="J14" i="7"/>
  <c r="K14" i="7" s="1"/>
  <c r="J13" i="7"/>
  <c r="K13" i="7" s="1"/>
  <c r="J12" i="7"/>
  <c r="K12" i="7" s="1"/>
  <c r="J11" i="7"/>
  <c r="K11" i="7" s="1"/>
  <c r="J10" i="7"/>
  <c r="K10" i="7" s="1"/>
  <c r="K9" i="7"/>
  <c r="J9" i="7"/>
  <c r="J8" i="7"/>
  <c r="K8" i="7" s="1"/>
  <c r="J47" i="6"/>
  <c r="K47" i="6" s="1"/>
  <c r="J46" i="6"/>
  <c r="K46" i="6" s="1"/>
  <c r="J45" i="6"/>
  <c r="K45" i="6" s="1"/>
  <c r="K44" i="6"/>
  <c r="J44" i="6"/>
  <c r="J43" i="6"/>
  <c r="K43" i="6" s="1"/>
  <c r="K42" i="6"/>
  <c r="J42" i="6"/>
  <c r="J41" i="6"/>
  <c r="K41" i="6" s="1"/>
  <c r="J40" i="6"/>
  <c r="K40" i="6" s="1"/>
  <c r="J39" i="6"/>
  <c r="K39" i="6" s="1"/>
  <c r="J38" i="6"/>
  <c r="K38" i="6" s="1"/>
  <c r="J37" i="6"/>
  <c r="K37" i="6" s="1"/>
  <c r="K36" i="6"/>
  <c r="J36" i="6"/>
  <c r="J35" i="6"/>
  <c r="K35" i="6" s="1"/>
  <c r="J34" i="6"/>
  <c r="K34" i="6" s="1"/>
  <c r="J33" i="6"/>
  <c r="K33" i="6" s="1"/>
  <c r="K32" i="6"/>
  <c r="J32" i="6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K24" i="6"/>
  <c r="J24" i="6"/>
  <c r="J23" i="6"/>
  <c r="K23" i="6" s="1"/>
  <c r="J22" i="6"/>
  <c r="K22" i="6" s="1"/>
  <c r="J21" i="6"/>
  <c r="K21" i="6" s="1"/>
  <c r="J20" i="6"/>
  <c r="K20" i="6" s="1"/>
  <c r="J19" i="6"/>
  <c r="K19" i="6" s="1"/>
  <c r="K18" i="6"/>
  <c r="J18" i="6"/>
  <c r="J17" i="6"/>
  <c r="K17" i="6" s="1"/>
  <c r="J16" i="6"/>
  <c r="K16" i="6" s="1"/>
  <c r="J15" i="6"/>
  <c r="K15" i="6" s="1"/>
  <c r="J14" i="6"/>
  <c r="K14" i="6" s="1"/>
  <c r="J13" i="6"/>
  <c r="K13" i="6" s="1"/>
  <c r="K12" i="6"/>
  <c r="J12" i="6"/>
  <c r="J11" i="6"/>
  <c r="K11" i="6" s="1"/>
  <c r="J10" i="6"/>
  <c r="K10" i="6" s="1"/>
  <c r="J9" i="6"/>
  <c r="K9" i="6" s="1"/>
  <c r="AM87" i="5"/>
  <c r="AM86" i="5"/>
  <c r="AM85" i="5"/>
  <c r="AM84" i="5"/>
  <c r="AM83" i="5"/>
  <c r="AM82" i="5"/>
  <c r="AM81" i="5"/>
  <c r="AM80" i="5"/>
  <c r="AM79" i="5"/>
  <c r="AM78" i="5"/>
  <c r="AM77" i="5"/>
  <c r="AM76" i="5"/>
  <c r="AM75" i="5"/>
  <c r="AM74" i="5"/>
  <c r="AM73" i="5"/>
  <c r="AM72" i="5"/>
  <c r="AM71" i="5"/>
  <c r="AM69" i="5"/>
  <c r="AM68" i="5"/>
  <c r="AM67" i="5"/>
  <c r="AM66" i="5"/>
  <c r="AM65" i="5"/>
  <c r="AM64" i="5"/>
  <c r="AM62" i="5"/>
  <c r="AM61" i="5"/>
  <c r="AM60" i="5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K87" i="5"/>
  <c r="AK86" i="5"/>
  <c r="AK85" i="5"/>
  <c r="AK84" i="5"/>
  <c r="AK83" i="5"/>
  <c r="AK82" i="5"/>
  <c r="AK81" i="5"/>
  <c r="AK80" i="5"/>
  <c r="AK79" i="5"/>
  <c r="AK78" i="5"/>
  <c r="AK77" i="5"/>
  <c r="AK76" i="5"/>
  <c r="AK75" i="5"/>
  <c r="AK74" i="5"/>
  <c r="AK73" i="5"/>
  <c r="AK72" i="5"/>
  <c r="AK71" i="5"/>
  <c r="AK70" i="5"/>
  <c r="AM70" i="5" s="1"/>
  <c r="AK69" i="5"/>
  <c r="AK68" i="5"/>
  <c r="AK67" i="5"/>
  <c r="AK66" i="5"/>
  <c r="AK65" i="5"/>
  <c r="AK64" i="5"/>
  <c r="AK63" i="5"/>
  <c r="AM63" i="5" s="1"/>
  <c r="AK62" i="5"/>
  <c r="AK61" i="5"/>
  <c r="AK60" i="5"/>
  <c r="AK59" i="5"/>
  <c r="AK58" i="5"/>
  <c r="AK57" i="5"/>
  <c r="AK56" i="5"/>
  <c r="AK55" i="5"/>
  <c r="AK54" i="5"/>
  <c r="AK53" i="5"/>
  <c r="AK52" i="5"/>
  <c r="AK51" i="5"/>
  <c r="AK50" i="5"/>
  <c r="AK49" i="5"/>
  <c r="AK48" i="5"/>
  <c r="AK47" i="5"/>
  <c r="AK46" i="5"/>
  <c r="AK45" i="5"/>
  <c r="AK44" i="5"/>
  <c r="AK43" i="5"/>
  <c r="AK42" i="5"/>
  <c r="AK41" i="5"/>
  <c r="AK40" i="5"/>
  <c r="AK39" i="5"/>
  <c r="AK38" i="5"/>
  <c r="AK37" i="5"/>
  <c r="AK36" i="5"/>
  <c r="AK35" i="5"/>
  <c r="AK34" i="5"/>
  <c r="AK33" i="5"/>
  <c r="AK32" i="5"/>
  <c r="AK31" i="5"/>
  <c r="AK30" i="5"/>
  <c r="AK29" i="5"/>
  <c r="AK28" i="5"/>
  <c r="AK27" i="5"/>
  <c r="AK26" i="5"/>
  <c r="AM26" i="5" s="1"/>
  <c r="AK25" i="5"/>
  <c r="AK24" i="5"/>
  <c r="AK23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L48" i="4"/>
  <c r="L47" i="4"/>
  <c r="L46" i="4"/>
  <c r="L45" i="4"/>
  <c r="L43" i="4"/>
  <c r="L40" i="4"/>
  <c r="L39" i="4"/>
  <c r="L38" i="4"/>
  <c r="L37" i="4"/>
  <c r="L36" i="4"/>
  <c r="L34" i="4"/>
  <c r="L31" i="4"/>
  <c r="L30" i="4"/>
  <c r="L29" i="4"/>
  <c r="L28" i="4"/>
  <c r="L27" i="4"/>
  <c r="L26" i="4"/>
  <c r="L25" i="4"/>
  <c r="L23" i="4"/>
  <c r="L22" i="4"/>
  <c r="L21" i="4"/>
  <c r="L20" i="4"/>
  <c r="L19" i="4"/>
  <c r="L18" i="4"/>
  <c r="L16" i="4"/>
  <c r="L15" i="4"/>
  <c r="L14" i="4"/>
  <c r="L13" i="4"/>
  <c r="L12" i="4"/>
  <c r="L11" i="4"/>
  <c r="J10" i="4"/>
  <c r="L10" i="4" s="1"/>
  <c r="J11" i="4"/>
  <c r="J12" i="4"/>
  <c r="J13" i="4"/>
  <c r="J14" i="4"/>
  <c r="J15" i="4"/>
  <c r="J16" i="4"/>
  <c r="J17" i="4"/>
  <c r="L17" i="4" s="1"/>
  <c r="J18" i="4"/>
  <c r="J19" i="4"/>
  <c r="J20" i="4"/>
  <c r="J21" i="4"/>
  <c r="J22" i="4"/>
  <c r="J23" i="4"/>
  <c r="J24" i="4"/>
  <c r="L24" i="4" s="1"/>
  <c r="J25" i="4"/>
  <c r="J26" i="4"/>
  <c r="J27" i="4"/>
  <c r="J28" i="4"/>
  <c r="J29" i="4"/>
  <c r="J30" i="4"/>
  <c r="J31" i="4"/>
  <c r="J32" i="4"/>
  <c r="L32" i="4" s="1"/>
  <c r="J33" i="4"/>
  <c r="L33" i="4" s="1"/>
  <c r="J34" i="4"/>
  <c r="J35" i="4"/>
  <c r="L35" i="4" s="1"/>
  <c r="J36" i="4"/>
  <c r="J37" i="4"/>
  <c r="J38" i="4"/>
  <c r="J39" i="4"/>
  <c r="J40" i="4"/>
  <c r="J41" i="4"/>
  <c r="L41" i="4" s="1"/>
  <c r="J42" i="4"/>
  <c r="L42" i="4" s="1"/>
  <c r="J43" i="4"/>
  <c r="J44" i="4"/>
  <c r="L44" i="4" s="1"/>
  <c r="J45" i="4"/>
  <c r="J46" i="4"/>
  <c r="J47" i="4"/>
  <c r="J48" i="4"/>
  <c r="K61" i="3"/>
  <c r="K60" i="3"/>
  <c r="K58" i="3"/>
  <c r="K57" i="3"/>
  <c r="K56" i="3"/>
  <c r="K55" i="3"/>
  <c r="K54" i="3"/>
  <c r="K53" i="3"/>
  <c r="K52" i="3"/>
  <c r="K51" i="3"/>
  <c r="K50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2" i="3"/>
  <c r="K31" i="3"/>
  <c r="K30" i="3"/>
  <c r="K27" i="3"/>
  <c r="K26" i="3"/>
  <c r="K25" i="3"/>
  <c r="K24" i="3"/>
  <c r="K23" i="3"/>
  <c r="K22" i="3"/>
  <c r="K21" i="3"/>
  <c r="K20" i="3"/>
  <c r="K19" i="3"/>
  <c r="K17" i="3"/>
  <c r="K16" i="3"/>
  <c r="K15" i="3"/>
  <c r="K14" i="3"/>
  <c r="K13" i="3"/>
  <c r="K12" i="3"/>
  <c r="K11" i="3"/>
  <c r="K10" i="3"/>
  <c r="K9" i="3"/>
  <c r="K8" i="3"/>
  <c r="I9" i="3"/>
  <c r="I10" i="3"/>
  <c r="I11" i="3"/>
  <c r="I12" i="3"/>
  <c r="I13" i="3"/>
  <c r="I14" i="3"/>
  <c r="I15" i="3"/>
  <c r="I16" i="3"/>
  <c r="I17" i="3"/>
  <c r="I18" i="3"/>
  <c r="K18" i="3" s="1"/>
  <c r="I19" i="3"/>
  <c r="I20" i="3"/>
  <c r="I21" i="3"/>
  <c r="I22" i="3"/>
  <c r="I23" i="3"/>
  <c r="I24" i="3"/>
  <c r="I25" i="3"/>
  <c r="I26" i="3"/>
  <c r="I27" i="3"/>
  <c r="I28" i="3"/>
  <c r="K28" i="3" s="1"/>
  <c r="I29" i="3"/>
  <c r="K29" i="3" s="1"/>
  <c r="I30" i="3"/>
  <c r="I31" i="3"/>
  <c r="I32" i="3"/>
  <c r="I33" i="3"/>
  <c r="K33" i="3" s="1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50" i="3"/>
  <c r="I51" i="3"/>
  <c r="I52" i="3"/>
  <c r="I53" i="3"/>
  <c r="I54" i="3"/>
  <c r="I55" i="3"/>
  <c r="I56" i="3"/>
  <c r="I57" i="3"/>
  <c r="I58" i="3"/>
  <c r="I59" i="3"/>
  <c r="K59" i="3" s="1"/>
  <c r="I60" i="3"/>
  <c r="I61" i="3"/>
  <c r="I62" i="3"/>
  <c r="I8" i="3"/>
  <c r="AD22" i="2" l="1"/>
  <c r="AD21" i="2"/>
  <c r="AD20" i="2"/>
  <c r="AD19" i="2"/>
  <c r="AD18" i="2"/>
  <c r="AD17" i="2"/>
  <c r="AD16" i="2"/>
  <c r="AD15" i="2"/>
  <c r="AD14" i="2"/>
  <c r="AD13" i="2"/>
  <c r="AD12" i="2"/>
  <c r="AD11" i="2"/>
  <c r="AD10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</calcChain>
</file>

<file path=xl/sharedStrings.xml><?xml version="1.0" encoding="utf-8"?>
<sst xmlns="http://schemas.openxmlformats.org/spreadsheetml/2006/main" count="880" uniqueCount="438">
  <si>
    <t>Indian Institute of Information Technology (IIIT), Surat</t>
  </si>
  <si>
    <t xml:space="preserve">Computer Science and Engineering Department                                                                                                             </t>
  </si>
  <si>
    <t>Academic Year: 2025-2026</t>
  </si>
  <si>
    <t>UI22CS01</t>
  </si>
  <si>
    <t>ABHI KUMAR</t>
  </si>
  <si>
    <t>UI22CS02</t>
  </si>
  <si>
    <t>ABHISHEK RATHORE</t>
  </si>
  <si>
    <t>UI22CS03</t>
  </si>
  <si>
    <t>ADITYA KUMAR</t>
  </si>
  <si>
    <t>UI22CS04</t>
  </si>
  <si>
    <t>ADITYA NARAIN TIWARI</t>
  </si>
  <si>
    <t>UI22CS05</t>
  </si>
  <si>
    <t>AMAAN KHAN</t>
  </si>
  <si>
    <t>UI22CS06</t>
  </si>
  <si>
    <t>ANIRUDH AGARWAL</t>
  </si>
  <si>
    <t>UI22CS07</t>
  </si>
  <si>
    <t>ANISHA SODANI</t>
  </si>
  <si>
    <t>UI22CS08</t>
  </si>
  <si>
    <t>ANNESHA KUILA</t>
  </si>
  <si>
    <t>UI22CS09</t>
  </si>
  <si>
    <t>ANURAG KUMAR</t>
  </si>
  <si>
    <t>UI22CS10</t>
  </si>
  <si>
    <t>ARYA TRIVEDI</t>
  </si>
  <si>
    <t>UI22CS12</t>
  </si>
  <si>
    <t>BHOKARKAR SHANTANU SHIVSA</t>
  </si>
  <si>
    <t>UI22CS13</t>
  </si>
  <si>
    <t>CHINTHAPARTHI HEMADEEPTHI</t>
  </si>
  <si>
    <t>UI22CS14</t>
  </si>
  <si>
    <t>DAKSH MARU</t>
  </si>
  <si>
    <t>UI22CS15</t>
  </si>
  <si>
    <t>DEEPAK KUMAR</t>
  </si>
  <si>
    <t>UI22CS16</t>
  </si>
  <si>
    <t>DEV DINESH GUPTA</t>
  </si>
  <si>
    <t>UI22CS17</t>
  </si>
  <si>
    <t>DEVANSH KUSHWAHA</t>
  </si>
  <si>
    <t>UI22CS18</t>
  </si>
  <si>
    <t>DHEERAJ</t>
  </si>
  <si>
    <t>UI22CS19</t>
  </si>
  <si>
    <t>DHOLAKIYA AKASH</t>
  </si>
  <si>
    <t>UI22CS20</t>
  </si>
  <si>
    <t>DIVYANSH SINGH</t>
  </si>
  <si>
    <t>UI22CS21</t>
  </si>
  <si>
    <t>DODDAPANENI DHANUSH</t>
  </si>
  <si>
    <t>UI22CS22</t>
  </si>
  <si>
    <t>DURGE ANWAY ANIL</t>
  </si>
  <si>
    <t>UI22CS23</t>
  </si>
  <si>
    <t>EEMANI JWALA SAI NAG MAHA</t>
  </si>
  <si>
    <t>UI22CS24</t>
  </si>
  <si>
    <t>ESLAVATH ADITYA</t>
  </si>
  <si>
    <t>UI22CS25</t>
  </si>
  <si>
    <t>GAJAL KUMAR</t>
  </si>
  <si>
    <t>UI22CS26</t>
  </si>
  <si>
    <t>GAVIREDDI HEMANTH</t>
  </si>
  <si>
    <t>UI22CS27</t>
  </si>
  <si>
    <t>GUNTI HEMANTH KUMAR</t>
  </si>
  <si>
    <t>UI22CS28</t>
  </si>
  <si>
    <t>HARSHVARDHAN MANI TRIPATH</t>
  </si>
  <si>
    <t>UI22CS29</t>
  </si>
  <si>
    <t>JANHAVI RAJENDRA NAIK</t>
  </si>
  <si>
    <t>UI22CS30</t>
  </si>
  <si>
    <t>JHA SUDARSHAN RAMAN</t>
  </si>
  <si>
    <t>UI22CS31</t>
  </si>
  <si>
    <t>JOOKANTTI ABHINAV</t>
  </si>
  <si>
    <t>UI22CS32</t>
  </si>
  <si>
    <t>KACHRIYA BHAVIN MANSUKHBH</t>
  </si>
  <si>
    <t>UI22CS33</t>
  </si>
  <si>
    <t>KALE AMAR SANJAY</t>
  </si>
  <si>
    <t>UI22CS34</t>
  </si>
  <si>
    <t>KASHISH DHURVE</t>
  </si>
  <si>
    <t>UI22CS35</t>
  </si>
  <si>
    <t>KAVAD MEET DHIRUBHAI</t>
  </si>
  <si>
    <t>UI22CS36</t>
  </si>
  <si>
    <t>KETHAVATH SHANKAR</t>
  </si>
  <si>
    <t>UI22CS37</t>
  </si>
  <si>
    <t>KHUSHI CHOUKSEY</t>
  </si>
  <si>
    <t>UI22CS38</t>
  </si>
  <si>
    <t>KONDETI LARA PRANEETH</t>
  </si>
  <si>
    <t>UI22CS40</t>
  </si>
  <si>
    <t>KURAPATI RAGHAVI</t>
  </si>
  <si>
    <t>UI22CS41</t>
  </si>
  <si>
    <t>KUSHAGRA</t>
  </si>
  <si>
    <t>UI22CS43</t>
  </si>
  <si>
    <t>MALI AJAY GANESHBHAI</t>
  </si>
  <si>
    <t>UI22CS44</t>
  </si>
  <si>
    <t>MALOTH PRAVEEN</t>
  </si>
  <si>
    <t>UI22CS48</t>
  </si>
  <si>
    <t>MOHAMMADSAMI CHOUDHARI</t>
  </si>
  <si>
    <t>UI22CS49</t>
  </si>
  <si>
    <t>MOOD KRISHNA HARSHITHA</t>
  </si>
  <si>
    <t>UI22CS50</t>
  </si>
  <si>
    <t>MOTHUKURI NAGAVARDHAN</t>
  </si>
  <si>
    <t>UI22CS51</t>
  </si>
  <si>
    <t>NADE YOGESH RAJENDRA</t>
  </si>
  <si>
    <t>UI22CS52</t>
  </si>
  <si>
    <t>NANDINI SHARMA</t>
  </si>
  <si>
    <t>UI22CS53</t>
  </si>
  <si>
    <t>NILESH KUMAR</t>
  </si>
  <si>
    <t>UI22CS54</t>
  </si>
  <si>
    <t>OJASWA VARSHNEY</t>
  </si>
  <si>
    <t>UI22CS55</t>
  </si>
  <si>
    <t>PAKALAPATI S R S KRISHNAM</t>
  </si>
  <si>
    <t>UI22CS57</t>
  </si>
  <si>
    <t>PANCHAL TEJKUMAR JAYESH</t>
  </si>
  <si>
    <t>UI22CS58</t>
  </si>
  <si>
    <t>PATEL DATTKUMAR VINODBHAI</t>
  </si>
  <si>
    <t>PAWAR SHIVANAND</t>
  </si>
  <si>
    <t>JUGAL</t>
  </si>
  <si>
    <t>UI22CS61</t>
  </si>
  <si>
    <t>PRASHASTI VYAS</t>
  </si>
  <si>
    <t>UI22CS63</t>
  </si>
  <si>
    <t>PRIYANKA GOYAL</t>
  </si>
  <si>
    <t>UI22CS64</t>
  </si>
  <si>
    <t>PRIYANSHU TOMAR</t>
  </si>
  <si>
    <t>UI22CS65</t>
  </si>
  <si>
    <t>PULAPA RAKESH</t>
  </si>
  <si>
    <t>UI22CS66</t>
  </si>
  <si>
    <t>RANGHOLIYA BHUMIL ASHOKBHAI</t>
  </si>
  <si>
    <t>UI22CS67</t>
  </si>
  <si>
    <t>REDDY ABHINAV</t>
  </si>
  <si>
    <t>UI22CS68</t>
  </si>
  <si>
    <t>RISHABH PARMAR</t>
  </si>
  <si>
    <t>UI22CS69</t>
  </si>
  <si>
    <t>SABNIS VEDASHREE PRASAD</t>
  </si>
  <si>
    <t>UI22CS70</t>
  </si>
  <si>
    <t>SAMARTH GANGRADE</t>
  </si>
  <si>
    <t>UI22CS71</t>
  </si>
  <si>
    <t>SECHI BURMAN</t>
  </si>
  <si>
    <t>UI22CS72</t>
  </si>
  <si>
    <t>SHAURYA DEVANG BHAVSAR</t>
  </si>
  <si>
    <t>UI22CS73</t>
  </si>
  <si>
    <t>SHIVANGI</t>
  </si>
  <si>
    <t>UI22CS75</t>
  </si>
  <si>
    <t>SHREYASKUMAR GOGDANI</t>
  </si>
  <si>
    <t>UI22CS76</t>
  </si>
  <si>
    <t>SHRUTI RAJESH PAULASTYE</t>
  </si>
  <si>
    <t>UI22CS77</t>
  </si>
  <si>
    <t>SUNOY ROY</t>
  </si>
  <si>
    <t>UI22CS78</t>
  </si>
  <si>
    <t>SUVRAT BAJPAI</t>
  </si>
  <si>
    <t>UI22CS79</t>
  </si>
  <si>
    <t>TARPITA SINGH</t>
  </si>
  <si>
    <t>UI22CS80</t>
  </si>
  <si>
    <t>TARUN KUMAR</t>
  </si>
  <si>
    <t>UI22CS81</t>
  </si>
  <si>
    <t>THAKKAR SPAARSH MITESH</t>
  </si>
  <si>
    <t>UI22CS82</t>
  </si>
  <si>
    <t>THELKALA REVANTH REDDY</t>
  </si>
  <si>
    <t>UI22CS83</t>
  </si>
  <si>
    <t>VATSAL KUMAR SINGH</t>
  </si>
  <si>
    <t>UI22CS84</t>
  </si>
  <si>
    <t>VEDIC</t>
  </si>
  <si>
    <t>UI22CS85</t>
  </si>
  <si>
    <t>VIKAS KUMAR</t>
  </si>
  <si>
    <t>UI22CS86</t>
  </si>
  <si>
    <t>VIKAS SHARMA</t>
  </si>
  <si>
    <t>UI22CS88</t>
  </si>
  <si>
    <t>YASH GUPTA</t>
  </si>
  <si>
    <t>August</t>
  </si>
  <si>
    <t xml:space="preserve">September </t>
  </si>
  <si>
    <t>29th</t>
  </si>
  <si>
    <t xml:space="preserve">30th </t>
  </si>
  <si>
    <t>UI22CS59</t>
  </si>
  <si>
    <t>U122CS60</t>
  </si>
  <si>
    <t>UI21CS35</t>
  </si>
  <si>
    <t>NEERAJ SRINIVAS</t>
  </si>
  <si>
    <t>UI20CS06</t>
  </si>
  <si>
    <t>Anirudh</t>
  </si>
  <si>
    <t xml:space="preserve"> 1st </t>
  </si>
  <si>
    <t>3rd</t>
  </si>
  <si>
    <t xml:space="preserve">8th </t>
  </si>
  <si>
    <t>10th</t>
  </si>
  <si>
    <t>17th</t>
  </si>
  <si>
    <t>October</t>
  </si>
  <si>
    <t xml:space="preserve">1st </t>
  </si>
  <si>
    <t xml:space="preserve">3rd </t>
  </si>
  <si>
    <t xml:space="preserve">6th </t>
  </si>
  <si>
    <t xml:space="preserve">7th </t>
  </si>
  <si>
    <t>13th</t>
  </si>
  <si>
    <t>15th</t>
  </si>
  <si>
    <t>27th</t>
  </si>
  <si>
    <t>31st</t>
  </si>
  <si>
    <t>November</t>
  </si>
  <si>
    <t>21st</t>
  </si>
  <si>
    <t>7th</t>
  </si>
  <si>
    <t>12th</t>
  </si>
  <si>
    <t>19th</t>
  </si>
  <si>
    <t>B.Tech - III  Semester - VII</t>
  </si>
  <si>
    <t>Subject Name:- Natural Language Processing (CS- 702)</t>
  </si>
  <si>
    <t>Subject Coordinator:  Dr Shreya Agarwal</t>
  </si>
  <si>
    <t>Enrolment No</t>
  </si>
  <si>
    <t>Name</t>
  </si>
  <si>
    <t>Present</t>
  </si>
  <si>
    <t>Total</t>
  </si>
  <si>
    <t>Percent</t>
  </si>
  <si>
    <t>Subject Name:- Natural Language Processing (CS- 913)</t>
  </si>
  <si>
    <t>M.Tech - III  Semester - 1</t>
  </si>
  <si>
    <t>PG25CS01</t>
  </si>
  <si>
    <t>LAKSHIKA SINGH CHOUHAN</t>
  </si>
  <si>
    <t>PG25CS02</t>
  </si>
  <si>
    <t>RAJVEER SINGH THAKUR</t>
  </si>
  <si>
    <t>PG25CS03</t>
  </si>
  <si>
    <t>ASIT SHASTRI</t>
  </si>
  <si>
    <t>PG25CS04</t>
  </si>
  <si>
    <t>RAKESH KUMAR NAYAK</t>
  </si>
  <si>
    <t>PG25CS05</t>
  </si>
  <si>
    <t>PRIYASHHA GULATI</t>
  </si>
  <si>
    <t>PG25CS06</t>
  </si>
  <si>
    <t>ADITYA PRAVIN KHARDE</t>
  </si>
  <si>
    <t>PG25CS07</t>
  </si>
  <si>
    <t>ROHANDEEP</t>
  </si>
  <si>
    <t>PG25CS08</t>
  </si>
  <si>
    <t>REVANTH N</t>
  </si>
  <si>
    <t>PG25CS09</t>
  </si>
  <si>
    <t>ANUBHA JHANWAR</t>
  </si>
  <si>
    <t>PG25CS10</t>
  </si>
  <si>
    <t>SARANSH SAXENA</t>
  </si>
  <si>
    <t>PG25CS11</t>
  </si>
  <si>
    <t>NITIN KUMAR MISHRA</t>
  </si>
  <si>
    <t>PG25CS12</t>
  </si>
  <si>
    <t>CHODVADIYA ZENALI JAGDISHBHAI</t>
  </si>
  <si>
    <t>PG25CS13</t>
  </si>
  <si>
    <t>Dhameliya Vishva Prakashbhai</t>
  </si>
  <si>
    <t>Enrolment no</t>
  </si>
  <si>
    <t>9th oct</t>
  </si>
  <si>
    <t>30th Oct</t>
  </si>
  <si>
    <t>6th Nov</t>
  </si>
  <si>
    <t>13th Nov</t>
  </si>
  <si>
    <t>18th Sep</t>
  </si>
  <si>
    <t>Enrollment no</t>
  </si>
  <si>
    <t>7th Oct</t>
  </si>
  <si>
    <t>28th oct</t>
  </si>
  <si>
    <t>4th Nov</t>
  </si>
  <si>
    <t>16th Sep</t>
  </si>
  <si>
    <t>30th Sep</t>
  </si>
  <si>
    <t>14th Oct</t>
  </si>
  <si>
    <t>11th Nov</t>
  </si>
  <si>
    <t>Reg. No./Roll No.</t>
  </si>
  <si>
    <t>UG25ECE001</t>
  </si>
  <si>
    <t>AADITESH PARASHAR</t>
  </si>
  <si>
    <t>UG25ECE002</t>
  </si>
  <si>
    <t>AARTI</t>
  </si>
  <si>
    <t>UG25ECE003</t>
  </si>
  <si>
    <t>ABHISHEK PATEL</t>
  </si>
  <si>
    <t>UG25ECE004</t>
  </si>
  <si>
    <t>ADARSH MISHRA</t>
  </si>
  <si>
    <t>UG25ECE005</t>
  </si>
  <si>
    <t>ADITYA RATHI</t>
  </si>
  <si>
    <t>UG25ECE006</t>
  </si>
  <si>
    <t>ANANT KUMAR</t>
  </si>
  <si>
    <t>UG25ECE007</t>
  </si>
  <si>
    <t>ANSHIKA</t>
  </si>
  <si>
    <t>UG25ECE008</t>
  </si>
  <si>
    <t>ANSHU</t>
  </si>
  <si>
    <t>UG25ECE009</t>
  </si>
  <si>
    <t>ANUSHKA MAURYA</t>
  </si>
  <si>
    <t>UG25ECE010</t>
  </si>
  <si>
    <t>ARNAV MANWATKAR</t>
  </si>
  <si>
    <t>UG25ECE011</t>
  </si>
  <si>
    <t>ARYAN AGIWAL</t>
  </si>
  <si>
    <t>UG25ECE013</t>
  </si>
  <si>
    <t>BHAVYA KOTECHA</t>
  </si>
  <si>
    <t>UG25ECE014</t>
  </si>
  <si>
    <t>BHUKYA GOPICHAND</t>
  </si>
  <si>
    <t>UG25ECE015</t>
  </si>
  <si>
    <t>CHAUHAN TARUN VINODBHAI</t>
  </si>
  <si>
    <t>UG25ECE016</t>
  </si>
  <si>
    <t>CHELLOJU SRITHAN</t>
  </si>
  <si>
    <t>UG25ECE017</t>
  </si>
  <si>
    <t>DEEPAK YADAV</t>
  </si>
  <si>
    <t>UG25ECE018</t>
  </si>
  <si>
    <t>DHAIRYA SINGH</t>
  </si>
  <si>
    <t>UG25ECE020</t>
  </si>
  <si>
    <t>DHRUV YADAV</t>
  </si>
  <si>
    <t>UG25ECE021</t>
  </si>
  <si>
    <t>DIKSHA GOLECHHA</t>
  </si>
  <si>
    <t>UG25ECE022</t>
  </si>
  <si>
    <t>DOBARIYA PARTHKUMAR GOPALBHAI</t>
  </si>
  <si>
    <t>UG25ECE023</t>
  </si>
  <si>
    <t>ELECTION PABIN</t>
  </si>
  <si>
    <t>UG25ECE024</t>
  </si>
  <si>
    <t>GOHIL MAHIRAJSINH KANAKSINH</t>
  </si>
  <si>
    <t>UG25ECE025</t>
  </si>
  <si>
    <t>GOLEKAR PRATHAMESH SIDRAM</t>
  </si>
  <si>
    <t>UG25ECE026</t>
  </si>
  <si>
    <t>GOTTIPATI AASRITHA</t>
  </si>
  <si>
    <t>UG25ECE027</t>
  </si>
  <si>
    <t>HARSORA MIHIR</t>
  </si>
  <si>
    <t>UG25ECE028</t>
  </si>
  <si>
    <t>HIMESH KUMAR</t>
  </si>
  <si>
    <t>UG25ECE029</t>
  </si>
  <si>
    <t>JAINIL RANGANI</t>
  </si>
  <si>
    <t>UG25ECE030</t>
  </si>
  <si>
    <t>JAYANI AKSHAYKUMAR JIGNESHBHAI</t>
  </si>
  <si>
    <t>UG25ECE031</t>
  </si>
  <si>
    <t>JETHVA YASH PARESHBHAI</t>
  </si>
  <si>
    <t>UG25ECE032</t>
  </si>
  <si>
    <t>JYOTI DOBWAL</t>
  </si>
  <si>
    <t>UG25ECE033</t>
  </si>
  <si>
    <t>KACHARIYA HIREN MAHESHBHAI</t>
  </si>
  <si>
    <t>UG25ECE034</t>
  </si>
  <si>
    <t>KAIRAV BORA</t>
  </si>
  <si>
    <t>UG25ECE035</t>
  </si>
  <si>
    <t>KALE MITHIL DEVENDRA</t>
  </si>
  <si>
    <t>UG25ECE036</t>
  </si>
  <si>
    <t>KALIGITHI KUMAR</t>
  </si>
  <si>
    <t>UG25ECE037</t>
  </si>
  <si>
    <t>KHUSHI VAISHNAV</t>
  </si>
  <si>
    <t>UG25ECE038</t>
  </si>
  <si>
    <t>MANAN JANGID</t>
  </si>
  <si>
    <t>UG25ECE039</t>
  </si>
  <si>
    <t>MOHIT JANGIR</t>
  </si>
  <si>
    <t>UG25ECE040</t>
  </si>
  <si>
    <t>MRIDUL CHORDIA</t>
  </si>
  <si>
    <t>UG25ECE041</t>
  </si>
  <si>
    <t>MUNGRA YASH RASIKBHAI</t>
  </si>
  <si>
    <t>UG25ECE042</t>
  </si>
  <si>
    <t>NAKUL KUMAR SHARMA</t>
  </si>
  <si>
    <t>UG25ECE043</t>
  </si>
  <si>
    <t>NAMYA RAJEN SHAH</t>
  </si>
  <si>
    <t>UG25ECE044</t>
  </si>
  <si>
    <t>NASIT DEEP JAYESHBHAI</t>
  </si>
  <si>
    <t>UG25ECE046</t>
  </si>
  <si>
    <t>NEHA</t>
  </si>
  <si>
    <t>UG25ECE047</t>
  </si>
  <si>
    <t>NIDHI SHAILESHKUMAR MAKWANA</t>
  </si>
  <si>
    <t>UG25ECE048</t>
  </si>
  <si>
    <t>NIKHIL KUMAR MEENA</t>
  </si>
  <si>
    <t>UG25ECE049</t>
  </si>
  <si>
    <t>NIRMAL GUPTA</t>
  </si>
  <si>
    <t>UG25ECE050</t>
  </si>
  <si>
    <t>NISHANT PANDEY</t>
  </si>
  <si>
    <t>UG25ECE051</t>
  </si>
  <si>
    <t>P RAJESH</t>
  </si>
  <si>
    <t>UG25ECE052</t>
  </si>
  <si>
    <t>PANGA ANJALI</t>
  </si>
  <si>
    <t>UG25ECE053</t>
  </si>
  <si>
    <t>PATEL JAL KAMLESHKUMAR</t>
  </si>
  <si>
    <t>UG25ECE054</t>
  </si>
  <si>
    <t>PATEL NEEL BHARATBHAI</t>
  </si>
  <si>
    <t>UG25ECE055</t>
  </si>
  <si>
    <t>PIYUSH KUMAR</t>
  </si>
  <si>
    <t>UG25ECE056</t>
  </si>
  <si>
    <t>PRACHI VERMA</t>
  </si>
  <si>
    <t>UG25ECE057</t>
  </si>
  <si>
    <t>PRAJAPATI SIYAN JAGDISHBHAI</t>
  </si>
  <si>
    <t>UG25ECE058</t>
  </si>
  <si>
    <t>PRAVEEN BAIRWA</t>
  </si>
  <si>
    <t>UG25ECE059</t>
  </si>
  <si>
    <t>PRIYANKA WARIYA</t>
  </si>
  <si>
    <t>UG25ECE060</t>
  </si>
  <si>
    <t>RAVI KUMAR</t>
  </si>
  <si>
    <t>UG25ECE061</t>
  </si>
  <si>
    <t>SAMARTH LALIT KARGATHIA</t>
  </si>
  <si>
    <t>UG25ECE062</t>
  </si>
  <si>
    <t>SAMARTH TRIPATHI</t>
  </si>
  <si>
    <t>UG25ECE063</t>
  </si>
  <si>
    <t>SAMYAK BALASAHEB WANJARE</t>
  </si>
  <si>
    <t>UG25ECE064</t>
  </si>
  <si>
    <t>SANSKRITI SRIVASTAVA</t>
  </si>
  <si>
    <t>UG25ECE065</t>
  </si>
  <si>
    <t>SHAURYA GOYAL</t>
  </si>
  <si>
    <t>UG25ECE066</t>
  </si>
  <si>
    <t>SHIVAM KUMAR</t>
  </si>
  <si>
    <t>UG25ECE067</t>
  </si>
  <si>
    <t>SHIVESH DUBEY</t>
  </si>
  <si>
    <t>UG25ECE068</t>
  </si>
  <si>
    <t>SHREEDHAR SHAILESHKUMAR JOSHI</t>
  </si>
  <si>
    <t>UG25ECE070</t>
  </si>
  <si>
    <t>SOLANKI PRATIK SHANTIBHAI</t>
  </si>
  <si>
    <t>UG25ECE071</t>
  </si>
  <si>
    <t>SONAM</t>
  </si>
  <si>
    <t>UG25ECE072</t>
  </si>
  <si>
    <t>SUMIT GHOSH</t>
  </si>
  <si>
    <t>UG25ECE073</t>
  </si>
  <si>
    <t>SUNIL KUMAWAT</t>
  </si>
  <si>
    <t>UG25ECE074</t>
  </si>
  <si>
    <t>SURAJ JADHAV</t>
  </si>
  <si>
    <t>UG25ECE075</t>
  </si>
  <si>
    <t>SUTARIYA OM PARESHBHAI</t>
  </si>
  <si>
    <t>UG25ECE076</t>
  </si>
  <si>
    <t>VADDE LOKNATHUDU</t>
  </si>
  <si>
    <t>UG25ECE077</t>
  </si>
  <si>
    <t>VANSH SHARMA</t>
  </si>
  <si>
    <t>UG25ECE078</t>
  </si>
  <si>
    <t>VARNIT TRIPATHI</t>
  </si>
  <si>
    <t>UG25ECE079</t>
  </si>
  <si>
    <t>VEER MAULIKBHAI CHAVDA</t>
  </si>
  <si>
    <t>UG25ECE080</t>
  </si>
  <si>
    <t>VEERENDRA LAXMAN CHINIWAL</t>
  </si>
  <si>
    <t>UG25ECE081</t>
  </si>
  <si>
    <t>VIVEK MEENA</t>
  </si>
  <si>
    <t>UG25ECE082</t>
  </si>
  <si>
    <t>YADAVELLI RISHI PREETHAM REDDY</t>
  </si>
  <si>
    <t>UG25ECE083</t>
  </si>
  <si>
    <t>ZINZALA KAUSHIK DHIRUBHAI</t>
  </si>
  <si>
    <t>September</t>
  </si>
  <si>
    <t>2nd</t>
  </si>
  <si>
    <t>4th</t>
  </si>
  <si>
    <t>9th</t>
  </si>
  <si>
    <t>11th</t>
  </si>
  <si>
    <t xml:space="preserve">17th </t>
  </si>
  <si>
    <t xml:space="preserve">18th </t>
  </si>
  <si>
    <t xml:space="preserve">16th </t>
  </si>
  <si>
    <t>23th</t>
  </si>
  <si>
    <t>24th</t>
  </si>
  <si>
    <t>25th</t>
  </si>
  <si>
    <t>1st</t>
  </si>
  <si>
    <t xml:space="preserve">28th </t>
  </si>
  <si>
    <t xml:space="preserve">29th </t>
  </si>
  <si>
    <t>30th</t>
  </si>
  <si>
    <t>1st Nov</t>
  </si>
  <si>
    <t>8TH Nov</t>
  </si>
  <si>
    <t xml:space="preserve"> </t>
  </si>
  <si>
    <t>12th Nov</t>
  </si>
  <si>
    <t>14th Nov</t>
  </si>
  <si>
    <t>18th Nov</t>
  </si>
  <si>
    <t>19th Nov</t>
  </si>
  <si>
    <t>20th Nov</t>
  </si>
  <si>
    <t xml:space="preserve">26th </t>
  </si>
  <si>
    <t>28th</t>
  </si>
  <si>
    <t>Count</t>
  </si>
  <si>
    <t>Presemt</t>
  </si>
  <si>
    <t>Total count</t>
  </si>
  <si>
    <t>7th Nov</t>
  </si>
  <si>
    <t>Subject Name:- Fundamentlas of Computer &amp; C Programming (CS- 101)</t>
  </si>
  <si>
    <t>B.Tech - I Semester - 1 ECE</t>
  </si>
  <si>
    <t>Subject Coordinator:  Dr Rachit Nimavat</t>
  </si>
  <si>
    <t>Subject Name:- Fundamentals of Computer &amp; C Programming (CS- 101) LAB</t>
  </si>
  <si>
    <t>Registration No</t>
  </si>
  <si>
    <t xml:space="preserve"> 6th nov</t>
  </si>
  <si>
    <t>% Attend</t>
  </si>
  <si>
    <t>25th Sep</t>
  </si>
  <si>
    <t>9th Oct</t>
  </si>
  <si>
    <t>Subject Name:- Fundamentals of Computer &amp; C Programming (CS- 101) LAB G2</t>
  </si>
  <si>
    <t>19th Se1</t>
  </si>
  <si>
    <t>31st Oct</t>
  </si>
  <si>
    <t>Subject Name:- Natural Language Processing LAB B1</t>
  </si>
  <si>
    <t>Subject Name:- Natural Language Processing LAB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</si>
</sst>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222222"/>
      <name val="Calibri"/>
      <family val="2"/>
      <scheme val="minor"/>
    </font>
    <font>
      <b/>
      <sz val="11"/>
      <color rgb="FF222222"/>
      <name val="Times New Roman"/>
      <family val="1"/>
    </font>
    <font>
      <sz val="11"/>
      <color rgb="FF222222"/>
      <name val="Calibri"/>
      <family val="2"/>
      <scheme val="minor"/>
    </font>
    <font>
      <sz val="11"/>
      <color rgb="FF22222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61">
    <xf numFmtId="0" fontId="0" fillId="0" borderId="0" xfId="0"/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8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3" borderId="6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0" fillId="4" borderId="0" xfId="0" applyFill="1"/>
    <xf numFmtId="0" fontId="5" fillId="3" borderId="9" xfId="0" applyFont="1" applyFill="1" applyBorder="1" applyAlignment="1">
      <alignment wrapText="1"/>
    </xf>
    <xf numFmtId="0" fontId="5" fillId="3" borderId="10" xfId="0" applyFont="1" applyFill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2" fillId="0" borderId="0" xfId="0" applyFont="1"/>
    <xf numFmtId="16" fontId="2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2" fillId="0" borderId="11" xfId="0" applyFont="1" applyBorder="1"/>
    <xf numFmtId="0" fontId="0" fillId="0" borderId="11" xfId="0" applyBorder="1" applyAlignment="1">
      <alignment vertical="center"/>
    </xf>
    <xf numFmtId="0" fontId="0" fillId="0" borderId="0" xfId="0" applyAlignment="1">
      <alignment horizontal="right"/>
    </xf>
    <xf numFmtId="0" fontId="0" fillId="7" borderId="0" xfId="0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7" fillId="3" borderId="8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16" fontId="2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8" borderId="0" xfId="0" applyFont="1" applyFill="1"/>
    <xf numFmtId="0" fontId="0" fillId="8" borderId="0" xfId="0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3" borderId="6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3" borderId="10" xfId="0" applyFont="1" applyFill="1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6" fontId="2" fillId="11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10" fillId="0" borderId="12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12" xfId="1" applyFont="1" applyBorder="1"/>
    <xf numFmtId="0" fontId="1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4" fillId="5" borderId="0" xfId="1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16" fontId="2" fillId="5" borderId="0" xfId="0" applyNumberFormat="1" applyFont="1" applyFill="1" applyAlignment="1">
      <alignment horizontal="center"/>
    </xf>
    <xf numFmtId="0" fontId="2" fillId="1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topLeftCell="A40" workbookViewId="0">
      <selection activeCell="X42" sqref="X42"/>
    </sheetView>
  </sheetViews>
  <sheetFormatPr defaultRowHeight="14.4"/>
  <cols>
    <col min="1" max="1" width="5.21875" customWidth="1"/>
    <col min="2" max="2" width="13.21875" customWidth="1"/>
    <col min="3" max="3" width="24.88671875" customWidth="1"/>
    <col min="4" max="4" width="17.109375" customWidth="1"/>
    <col min="30" max="30" width="6" customWidth="1"/>
  </cols>
  <sheetData>
    <row r="1" spans="1:39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1"/>
    </row>
    <row r="2" spans="1:39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1"/>
    </row>
    <row r="3" spans="1:39">
      <c r="A3" s="29" t="s">
        <v>186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1"/>
    </row>
    <row r="4" spans="1:39">
      <c r="A4" s="29" t="s">
        <v>187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1"/>
    </row>
    <row r="5" spans="1:39">
      <c r="A5" s="29" t="s">
        <v>188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1"/>
    </row>
    <row r="6" spans="1:39">
      <c r="A6" s="29" t="s">
        <v>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</row>
    <row r="8" spans="1:39">
      <c r="D8" s="26" t="s">
        <v>157</v>
      </c>
      <c r="E8" s="26"/>
      <c r="F8" s="27" t="s">
        <v>158</v>
      </c>
      <c r="G8" s="27"/>
      <c r="H8" s="27"/>
      <c r="I8" s="27"/>
      <c r="J8" s="20"/>
      <c r="K8" s="26" t="s">
        <v>172</v>
      </c>
      <c r="L8" s="26"/>
      <c r="M8" s="26"/>
      <c r="N8" s="26"/>
      <c r="O8" s="26"/>
      <c r="P8" s="26"/>
      <c r="Q8" s="26"/>
      <c r="R8" s="26"/>
      <c r="S8" s="26"/>
      <c r="T8" s="28" t="s">
        <v>181</v>
      </c>
      <c r="U8" s="28"/>
      <c r="V8" s="28"/>
      <c r="W8" s="28"/>
      <c r="X8" s="28"/>
      <c r="Y8" s="28"/>
      <c r="Z8" s="28"/>
      <c r="AA8" s="21"/>
      <c r="AB8" s="25"/>
      <c r="AC8" s="25"/>
      <c r="AD8" s="25"/>
    </row>
    <row r="9" spans="1:39">
      <c r="B9" s="22" t="s">
        <v>189</v>
      </c>
      <c r="C9" s="22" t="s">
        <v>190</v>
      </c>
      <c r="D9" s="5" t="s">
        <v>159</v>
      </c>
      <c r="E9" s="5" t="s">
        <v>160</v>
      </c>
      <c r="F9" s="5" t="s">
        <v>167</v>
      </c>
      <c r="G9" s="5" t="s">
        <v>168</v>
      </c>
      <c r="H9" s="5" t="s">
        <v>169</v>
      </c>
      <c r="I9" s="5" t="s">
        <v>170</v>
      </c>
      <c r="J9" s="5" t="s">
        <v>171</v>
      </c>
      <c r="K9" s="5" t="s">
        <v>173</v>
      </c>
      <c r="L9" s="5" t="s">
        <v>174</v>
      </c>
      <c r="M9" s="5" t="s">
        <v>175</v>
      </c>
      <c r="N9" s="13" t="s">
        <v>176</v>
      </c>
      <c r="O9" s="13" t="s">
        <v>177</v>
      </c>
      <c r="P9" s="13" t="s">
        <v>178</v>
      </c>
      <c r="Q9" s="13" t="s">
        <v>179</v>
      </c>
      <c r="R9" s="13" t="s">
        <v>159</v>
      </c>
      <c r="S9" s="5" t="s">
        <v>180</v>
      </c>
      <c r="T9" s="5" t="s">
        <v>168</v>
      </c>
      <c r="U9" s="5" t="s">
        <v>183</v>
      </c>
      <c r="V9" s="5" t="s">
        <v>170</v>
      </c>
      <c r="W9" s="5" t="s">
        <v>184</v>
      </c>
      <c r="X9" s="5" t="s">
        <v>177</v>
      </c>
      <c r="Y9" s="5" t="s">
        <v>171</v>
      </c>
      <c r="Z9" s="5" t="s">
        <v>185</v>
      </c>
      <c r="AA9" s="5" t="s">
        <v>182</v>
      </c>
      <c r="AB9" s="12" t="s">
        <v>191</v>
      </c>
      <c r="AC9" s="12" t="s">
        <v>192</v>
      </c>
      <c r="AD9" s="12" t="s">
        <v>193</v>
      </c>
    </row>
    <row r="10" spans="1:39" ht="15" thickBot="1">
      <c r="B10" s="3" t="s">
        <v>3</v>
      </c>
      <c r="C10" s="3" t="s">
        <v>4</v>
      </c>
      <c r="D10" s="4">
        <v>1</v>
      </c>
      <c r="E10" s="4">
        <v>1</v>
      </c>
      <c r="F10" s="4">
        <v>1</v>
      </c>
      <c r="G10" s="4">
        <v>0</v>
      </c>
      <c r="H10" s="4">
        <v>1</v>
      </c>
      <c r="I10" s="4">
        <v>1</v>
      </c>
      <c r="J10" s="4">
        <v>1</v>
      </c>
      <c r="K10" s="4">
        <v>0</v>
      </c>
      <c r="L10" s="4">
        <v>0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14">
        <v>1</v>
      </c>
      <c r="T10" s="4">
        <v>0</v>
      </c>
      <c r="U10" s="4">
        <v>1</v>
      </c>
      <c r="V10" s="4">
        <v>1</v>
      </c>
      <c r="W10" s="4">
        <v>1</v>
      </c>
      <c r="X10" s="14">
        <v>0</v>
      </c>
      <c r="Y10" s="4">
        <v>1</v>
      </c>
      <c r="Z10" s="4">
        <v>1</v>
      </c>
      <c r="AA10" s="4">
        <v>1</v>
      </c>
      <c r="AB10">
        <f>SUM(D10:AA10)</f>
        <v>19</v>
      </c>
      <c r="AC10" s="4">
        <v>24</v>
      </c>
      <c r="AD10" s="12">
        <f>AB10/AC10 *100</f>
        <v>79.166666666666657</v>
      </c>
    </row>
    <row r="11" spans="1:39" ht="29.4" thickBot="1">
      <c r="B11" s="1" t="s">
        <v>5</v>
      </c>
      <c r="C11" s="2" t="s">
        <v>6</v>
      </c>
      <c r="D11" s="4">
        <v>1</v>
      </c>
      <c r="E11" s="4">
        <v>1</v>
      </c>
      <c r="F11" s="4">
        <v>0</v>
      </c>
      <c r="G11" s="4">
        <v>0</v>
      </c>
      <c r="H11" s="4">
        <v>0</v>
      </c>
      <c r="I11" s="4">
        <v>1</v>
      </c>
      <c r="J11" s="4">
        <v>1</v>
      </c>
      <c r="K11" s="4">
        <v>0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14">
        <v>1</v>
      </c>
      <c r="T11" s="4">
        <v>0</v>
      </c>
      <c r="U11" s="4">
        <v>0</v>
      </c>
      <c r="V11" s="4">
        <v>1</v>
      </c>
      <c r="W11" s="4">
        <v>1</v>
      </c>
      <c r="X11" s="14">
        <v>1</v>
      </c>
      <c r="Y11" s="14">
        <v>1</v>
      </c>
      <c r="Z11" s="14">
        <v>1</v>
      </c>
      <c r="AA11" s="4">
        <v>1</v>
      </c>
      <c r="AB11">
        <f>SUM(D11:AA11)</f>
        <v>18</v>
      </c>
      <c r="AC11" s="4">
        <v>24</v>
      </c>
      <c r="AD11" s="12">
        <f t="shared" ref="AD11:AD74" si="0">AB11/AC11 *100</f>
        <v>75</v>
      </c>
    </row>
    <row r="12" spans="1:39" ht="15" thickBot="1">
      <c r="B12" s="1" t="s">
        <v>7</v>
      </c>
      <c r="C12" s="2" t="s">
        <v>8</v>
      </c>
      <c r="D12" s="4">
        <v>0</v>
      </c>
      <c r="E12" s="4">
        <v>0</v>
      </c>
      <c r="F12" s="4">
        <v>1</v>
      </c>
      <c r="G12" s="4">
        <v>1</v>
      </c>
      <c r="H12" s="4">
        <v>1</v>
      </c>
      <c r="I12" s="4">
        <v>0</v>
      </c>
      <c r="J12" s="4">
        <v>0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14">
        <v>0</v>
      </c>
      <c r="T12" s="4">
        <v>1</v>
      </c>
      <c r="U12" s="4">
        <v>1</v>
      </c>
      <c r="V12" s="4">
        <v>1</v>
      </c>
      <c r="W12" s="4">
        <v>1</v>
      </c>
      <c r="X12" s="14">
        <v>0</v>
      </c>
      <c r="Y12" s="4">
        <v>1</v>
      </c>
      <c r="Z12" s="4">
        <v>1</v>
      </c>
      <c r="AA12" s="4">
        <v>0</v>
      </c>
      <c r="AB12">
        <f>SUM(D12:AA12)</f>
        <v>17</v>
      </c>
      <c r="AC12" s="4">
        <v>24</v>
      </c>
      <c r="AD12" s="12">
        <f t="shared" si="0"/>
        <v>70.833333333333343</v>
      </c>
    </row>
    <row r="13" spans="1:39" ht="29.4" thickBot="1">
      <c r="B13" s="1" t="s">
        <v>9</v>
      </c>
      <c r="C13" s="2" t="s">
        <v>10</v>
      </c>
      <c r="D13" s="4">
        <v>0</v>
      </c>
      <c r="E13" s="4">
        <v>1</v>
      </c>
      <c r="F13" s="4">
        <v>1</v>
      </c>
      <c r="G13" s="4">
        <v>0</v>
      </c>
      <c r="H13" s="4">
        <v>1</v>
      </c>
      <c r="I13" s="4">
        <v>1</v>
      </c>
      <c r="J13" s="4">
        <v>0</v>
      </c>
      <c r="K13" s="4">
        <v>1</v>
      </c>
      <c r="L13" s="4">
        <v>1</v>
      </c>
      <c r="M13" s="4">
        <v>1</v>
      </c>
      <c r="N13" s="4">
        <v>1</v>
      </c>
      <c r="O13" s="4">
        <v>0</v>
      </c>
      <c r="P13" s="4">
        <v>1</v>
      </c>
      <c r="Q13" s="4">
        <v>1</v>
      </c>
      <c r="R13" s="4">
        <v>1</v>
      </c>
      <c r="S13" s="14">
        <v>1</v>
      </c>
      <c r="T13" s="4">
        <v>0</v>
      </c>
      <c r="U13" s="4">
        <v>1</v>
      </c>
      <c r="V13" s="4">
        <v>1</v>
      </c>
      <c r="W13" s="4">
        <v>1</v>
      </c>
      <c r="X13" s="14">
        <v>0</v>
      </c>
      <c r="Y13" s="4">
        <v>1</v>
      </c>
      <c r="Z13" s="4">
        <v>1</v>
      </c>
      <c r="AA13" s="4">
        <v>1</v>
      </c>
      <c r="AB13">
        <f t="shared" ref="AB13:AB76" si="1">SUM(D13:AA13)</f>
        <v>18</v>
      </c>
      <c r="AC13" s="4">
        <v>24</v>
      </c>
      <c r="AD13" s="12">
        <f t="shared" si="0"/>
        <v>75</v>
      </c>
    </row>
    <row r="14" spans="1:39" ht="15" thickBot="1">
      <c r="B14" s="1" t="s">
        <v>11</v>
      </c>
      <c r="C14" s="2" t="s">
        <v>12</v>
      </c>
      <c r="D14" s="4">
        <v>1</v>
      </c>
      <c r="E14" s="4">
        <v>1</v>
      </c>
      <c r="F14" s="4">
        <v>0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15">
        <v>1</v>
      </c>
      <c r="T14" s="4">
        <v>1</v>
      </c>
      <c r="U14" s="4">
        <v>0</v>
      </c>
      <c r="V14" s="4">
        <v>1</v>
      </c>
      <c r="W14" s="4">
        <v>1</v>
      </c>
      <c r="X14" s="14">
        <v>1</v>
      </c>
      <c r="Y14" s="4">
        <v>0</v>
      </c>
      <c r="Z14" s="4">
        <v>0</v>
      </c>
      <c r="AA14" s="4">
        <v>1</v>
      </c>
      <c r="AB14">
        <f t="shared" si="1"/>
        <v>19</v>
      </c>
      <c r="AC14" s="4">
        <v>24</v>
      </c>
      <c r="AD14" s="12">
        <f t="shared" si="0"/>
        <v>79.166666666666657</v>
      </c>
    </row>
    <row r="15" spans="1:39" ht="29.4" thickBot="1">
      <c r="B15" s="1" t="s">
        <v>13</v>
      </c>
      <c r="C15" s="2" t="s">
        <v>14</v>
      </c>
      <c r="D15" s="4">
        <v>0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0</v>
      </c>
      <c r="K15" s="4">
        <v>0</v>
      </c>
      <c r="L15" s="4">
        <v>0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14">
        <v>1</v>
      </c>
      <c r="T15" s="4">
        <v>1</v>
      </c>
      <c r="U15" s="4">
        <v>1</v>
      </c>
      <c r="V15" s="4">
        <v>1</v>
      </c>
      <c r="W15" s="4">
        <v>1</v>
      </c>
      <c r="X15" s="14">
        <v>0</v>
      </c>
      <c r="Y15" s="4">
        <v>1</v>
      </c>
      <c r="Z15" s="4">
        <v>1</v>
      </c>
      <c r="AA15" s="4">
        <v>1</v>
      </c>
      <c r="AB15">
        <f t="shared" si="1"/>
        <v>19</v>
      </c>
      <c r="AC15" s="4">
        <v>24</v>
      </c>
      <c r="AD15" s="12">
        <f t="shared" si="0"/>
        <v>79.166666666666657</v>
      </c>
    </row>
    <row r="16" spans="1:39" ht="15" thickBot="1">
      <c r="B16" s="1" t="s">
        <v>15</v>
      </c>
      <c r="C16" s="2" t="s">
        <v>16</v>
      </c>
      <c r="D16" s="4">
        <v>0</v>
      </c>
      <c r="E16" s="4">
        <v>0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0</v>
      </c>
      <c r="Q16" s="4">
        <v>1</v>
      </c>
      <c r="R16" s="4">
        <v>0</v>
      </c>
      <c r="S16" s="14">
        <v>1</v>
      </c>
      <c r="T16" s="4">
        <v>1</v>
      </c>
      <c r="U16" s="4">
        <v>1</v>
      </c>
      <c r="V16" s="4">
        <v>1</v>
      </c>
      <c r="W16" s="4">
        <v>1</v>
      </c>
      <c r="X16" s="14">
        <v>0</v>
      </c>
      <c r="Y16" s="4">
        <v>1</v>
      </c>
      <c r="Z16" s="4">
        <v>1</v>
      </c>
      <c r="AA16" s="4">
        <v>0</v>
      </c>
      <c r="AB16">
        <f t="shared" si="1"/>
        <v>18</v>
      </c>
      <c r="AC16" s="4">
        <v>24</v>
      </c>
      <c r="AD16" s="12">
        <f t="shared" si="0"/>
        <v>75</v>
      </c>
    </row>
    <row r="17" spans="2:30" ht="15" thickBot="1">
      <c r="B17" s="1" t="s">
        <v>17</v>
      </c>
      <c r="C17" s="2" t="s">
        <v>18</v>
      </c>
      <c r="D17" s="4">
        <v>0</v>
      </c>
      <c r="E17" s="4">
        <v>0</v>
      </c>
      <c r="F17" s="4">
        <v>0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0</v>
      </c>
      <c r="R17" s="4">
        <v>1</v>
      </c>
      <c r="S17" s="14">
        <v>1</v>
      </c>
      <c r="T17" s="4">
        <v>1</v>
      </c>
      <c r="U17" s="4">
        <v>1</v>
      </c>
      <c r="V17" s="4">
        <v>0</v>
      </c>
      <c r="W17" s="4">
        <v>1</v>
      </c>
      <c r="X17" s="14">
        <v>1</v>
      </c>
      <c r="Y17" s="4">
        <v>1</v>
      </c>
      <c r="Z17" s="4">
        <v>1</v>
      </c>
      <c r="AA17" s="4">
        <v>0</v>
      </c>
      <c r="AB17">
        <f t="shared" si="1"/>
        <v>18</v>
      </c>
      <c r="AC17" s="4">
        <v>24</v>
      </c>
      <c r="AD17" s="12">
        <f t="shared" si="0"/>
        <v>75</v>
      </c>
    </row>
    <row r="18" spans="2:30" ht="15" thickBot="1">
      <c r="B18" s="1" t="s">
        <v>19</v>
      </c>
      <c r="C18" s="2" t="s">
        <v>20</v>
      </c>
      <c r="D18" s="4">
        <v>0</v>
      </c>
      <c r="E18" s="4">
        <v>1</v>
      </c>
      <c r="F18" s="4">
        <v>1</v>
      </c>
      <c r="G18" s="4">
        <v>1</v>
      </c>
      <c r="H18" s="4">
        <v>1</v>
      </c>
      <c r="I18" s="4">
        <v>0</v>
      </c>
      <c r="J18" s="4">
        <v>1</v>
      </c>
      <c r="K18" s="4">
        <v>1</v>
      </c>
      <c r="L18" s="4">
        <v>0</v>
      </c>
      <c r="M18" s="4">
        <v>1</v>
      </c>
      <c r="N18" s="4">
        <v>1</v>
      </c>
      <c r="O18" s="4">
        <v>1</v>
      </c>
      <c r="P18" s="4">
        <v>1</v>
      </c>
      <c r="Q18" s="16">
        <v>1</v>
      </c>
      <c r="R18" s="4">
        <v>1</v>
      </c>
      <c r="S18" s="15">
        <v>1</v>
      </c>
      <c r="T18" s="4">
        <v>1</v>
      </c>
      <c r="U18" s="4">
        <v>1</v>
      </c>
      <c r="V18" s="4">
        <v>1</v>
      </c>
      <c r="W18" s="4">
        <v>0</v>
      </c>
      <c r="X18" s="14">
        <v>0</v>
      </c>
      <c r="Y18" s="4">
        <v>1</v>
      </c>
      <c r="Z18" s="4">
        <v>1</v>
      </c>
      <c r="AA18" s="4">
        <v>1</v>
      </c>
      <c r="AB18">
        <f t="shared" si="1"/>
        <v>19</v>
      </c>
      <c r="AC18" s="4">
        <v>24</v>
      </c>
      <c r="AD18" s="12">
        <f t="shared" si="0"/>
        <v>79.166666666666657</v>
      </c>
    </row>
    <row r="19" spans="2:30" ht="15" thickBot="1">
      <c r="B19" s="1" t="s">
        <v>21</v>
      </c>
      <c r="C19" s="2" t="s">
        <v>22</v>
      </c>
      <c r="D19" s="4">
        <v>1</v>
      </c>
      <c r="E19" s="4">
        <v>1</v>
      </c>
      <c r="F19" s="4">
        <v>1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  <c r="L19" s="4">
        <v>0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16">
        <v>1</v>
      </c>
      <c r="S19" s="14">
        <v>1</v>
      </c>
      <c r="T19" s="4">
        <v>1</v>
      </c>
      <c r="U19" s="4">
        <v>1</v>
      </c>
      <c r="V19" s="4">
        <v>1</v>
      </c>
      <c r="W19" s="4">
        <v>1</v>
      </c>
      <c r="X19" s="14">
        <v>0</v>
      </c>
      <c r="Y19" s="14">
        <v>0</v>
      </c>
      <c r="Z19" s="4">
        <v>1</v>
      </c>
      <c r="AA19" s="4">
        <v>1</v>
      </c>
      <c r="AB19">
        <f t="shared" si="1"/>
        <v>18</v>
      </c>
      <c r="AC19" s="4">
        <v>24</v>
      </c>
      <c r="AD19" s="12">
        <f t="shared" si="0"/>
        <v>75</v>
      </c>
    </row>
    <row r="20" spans="2:30" ht="43.8" thickBot="1">
      <c r="B20" s="1" t="s">
        <v>23</v>
      </c>
      <c r="C20" s="2" t="s">
        <v>24</v>
      </c>
      <c r="D20" s="4">
        <v>0</v>
      </c>
      <c r="E20" s="4">
        <v>1</v>
      </c>
      <c r="F20" s="4">
        <v>1</v>
      </c>
      <c r="G20" s="4">
        <v>0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0</v>
      </c>
      <c r="S20" s="14">
        <v>0</v>
      </c>
      <c r="T20" s="4">
        <v>0</v>
      </c>
      <c r="U20" s="4">
        <v>1</v>
      </c>
      <c r="V20" s="4">
        <v>1</v>
      </c>
      <c r="W20" s="4">
        <v>1</v>
      </c>
      <c r="X20" s="14">
        <v>1</v>
      </c>
      <c r="Y20" s="4">
        <v>1</v>
      </c>
      <c r="Z20" s="4">
        <v>1</v>
      </c>
      <c r="AA20" s="4">
        <v>1</v>
      </c>
      <c r="AB20">
        <f t="shared" si="1"/>
        <v>19</v>
      </c>
      <c r="AC20" s="4">
        <v>24</v>
      </c>
      <c r="AD20" s="12">
        <f t="shared" si="0"/>
        <v>79.166666666666657</v>
      </c>
    </row>
    <row r="21" spans="2:30" ht="29.4" thickBot="1">
      <c r="B21" s="1" t="s">
        <v>25</v>
      </c>
      <c r="C21" s="2" t="s">
        <v>26</v>
      </c>
      <c r="D21" s="4">
        <v>1</v>
      </c>
      <c r="E21" s="4">
        <v>0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0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0</v>
      </c>
      <c r="S21" s="14">
        <v>0</v>
      </c>
      <c r="T21" s="4">
        <v>1</v>
      </c>
      <c r="U21" s="4">
        <v>1</v>
      </c>
      <c r="V21" s="4">
        <v>0</v>
      </c>
      <c r="W21" s="4">
        <v>1</v>
      </c>
      <c r="X21" s="14">
        <v>1</v>
      </c>
      <c r="Y21" s="4">
        <v>1</v>
      </c>
      <c r="Z21" s="4">
        <v>1</v>
      </c>
      <c r="AA21" s="4">
        <v>0</v>
      </c>
      <c r="AB21">
        <f t="shared" si="1"/>
        <v>18</v>
      </c>
      <c r="AC21" s="4">
        <v>24</v>
      </c>
      <c r="AD21" s="12">
        <f t="shared" si="0"/>
        <v>75</v>
      </c>
    </row>
    <row r="22" spans="2:30" ht="15" thickBot="1">
      <c r="B22" s="1" t="s">
        <v>27</v>
      </c>
      <c r="C22" s="2" t="s">
        <v>28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s="4">
        <v>1</v>
      </c>
      <c r="N22" s="4">
        <v>1</v>
      </c>
      <c r="O22" s="4">
        <v>1</v>
      </c>
      <c r="P22" s="4">
        <v>0</v>
      </c>
      <c r="Q22" s="4">
        <v>1</v>
      </c>
      <c r="R22" s="4">
        <v>1</v>
      </c>
      <c r="S22" s="14">
        <v>0</v>
      </c>
      <c r="T22" s="4">
        <v>1</v>
      </c>
      <c r="U22" s="4">
        <v>1</v>
      </c>
      <c r="V22" s="4">
        <v>1</v>
      </c>
      <c r="W22" s="4">
        <v>1</v>
      </c>
      <c r="X22" s="14">
        <v>1</v>
      </c>
      <c r="Y22" s="4">
        <v>1</v>
      </c>
      <c r="Z22" s="4">
        <v>0</v>
      </c>
      <c r="AA22" s="4">
        <v>0</v>
      </c>
      <c r="AB22">
        <f t="shared" si="1"/>
        <v>13</v>
      </c>
      <c r="AC22" s="4">
        <v>24</v>
      </c>
      <c r="AD22" s="12">
        <f t="shared" si="0"/>
        <v>54.166666666666664</v>
      </c>
    </row>
    <row r="23" spans="2:30" ht="15" thickBot="1">
      <c r="B23" s="1" t="s">
        <v>29</v>
      </c>
      <c r="C23" s="2" t="s">
        <v>30</v>
      </c>
      <c r="D23" s="4">
        <v>0</v>
      </c>
      <c r="E23" s="4">
        <v>1</v>
      </c>
      <c r="F23" s="4">
        <v>1</v>
      </c>
      <c r="G23" s="4">
        <v>1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1</v>
      </c>
      <c r="S23" s="14">
        <v>1</v>
      </c>
      <c r="T23" s="4">
        <v>1</v>
      </c>
      <c r="U23" s="4">
        <v>1</v>
      </c>
      <c r="V23" s="4">
        <v>0</v>
      </c>
      <c r="W23" s="4">
        <v>1</v>
      </c>
      <c r="X23" s="14">
        <v>1</v>
      </c>
      <c r="Y23" s="4">
        <v>1</v>
      </c>
      <c r="Z23" s="4">
        <v>0</v>
      </c>
      <c r="AA23" s="4">
        <v>1</v>
      </c>
      <c r="AB23">
        <f t="shared" si="1"/>
        <v>13</v>
      </c>
      <c r="AC23" s="4">
        <v>24</v>
      </c>
      <c r="AD23" s="12">
        <f t="shared" si="0"/>
        <v>54.166666666666664</v>
      </c>
    </row>
    <row r="24" spans="2:30" ht="29.4" thickBot="1">
      <c r="B24" s="1" t="s">
        <v>31</v>
      </c>
      <c r="C24" s="2" t="s">
        <v>32</v>
      </c>
      <c r="D24" s="4">
        <v>0</v>
      </c>
      <c r="E24" s="4">
        <v>1</v>
      </c>
      <c r="F24" s="4">
        <v>0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1</v>
      </c>
      <c r="S24" s="14">
        <v>1</v>
      </c>
      <c r="T24" s="4">
        <v>1</v>
      </c>
      <c r="U24" s="4">
        <v>0</v>
      </c>
      <c r="V24" s="4">
        <v>1</v>
      </c>
      <c r="W24" s="4">
        <v>1</v>
      </c>
      <c r="X24" s="14">
        <v>1</v>
      </c>
      <c r="Y24" s="4">
        <v>0</v>
      </c>
      <c r="Z24" s="4">
        <v>1</v>
      </c>
      <c r="AA24" s="4">
        <v>1</v>
      </c>
      <c r="AB24">
        <f t="shared" si="1"/>
        <v>19</v>
      </c>
      <c r="AC24" s="4">
        <v>24</v>
      </c>
      <c r="AD24" s="12">
        <f t="shared" si="0"/>
        <v>79.166666666666657</v>
      </c>
    </row>
    <row r="25" spans="2:30" ht="29.4" thickBot="1">
      <c r="B25" s="1" t="s">
        <v>33</v>
      </c>
      <c r="C25" s="2" t="s">
        <v>34</v>
      </c>
      <c r="D25" s="4">
        <v>0</v>
      </c>
      <c r="E25" s="4">
        <v>0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0</v>
      </c>
      <c r="M25" s="4">
        <v>1</v>
      </c>
      <c r="N25" s="4">
        <v>1</v>
      </c>
      <c r="O25" s="4">
        <v>1</v>
      </c>
      <c r="P25" s="4">
        <v>0</v>
      </c>
      <c r="Q25" s="4">
        <v>1</v>
      </c>
      <c r="R25" s="4">
        <v>1</v>
      </c>
      <c r="S25" s="15">
        <v>1</v>
      </c>
      <c r="T25" s="4">
        <v>1</v>
      </c>
      <c r="U25" s="4">
        <v>0</v>
      </c>
      <c r="V25" s="4">
        <v>1</v>
      </c>
      <c r="W25" s="4">
        <v>1</v>
      </c>
      <c r="X25" s="14">
        <v>1</v>
      </c>
      <c r="Y25" s="4">
        <v>1</v>
      </c>
      <c r="Z25" s="4">
        <v>1</v>
      </c>
      <c r="AA25" s="4">
        <v>0</v>
      </c>
      <c r="AB25">
        <f t="shared" si="1"/>
        <v>18</v>
      </c>
      <c r="AC25" s="4">
        <v>24</v>
      </c>
      <c r="AD25" s="12">
        <f t="shared" si="0"/>
        <v>75</v>
      </c>
    </row>
    <row r="26" spans="2:30" ht="15" thickBot="1">
      <c r="B26" s="1" t="s">
        <v>35</v>
      </c>
      <c r="C26" s="2" t="s">
        <v>36</v>
      </c>
      <c r="D26" s="4">
        <v>0</v>
      </c>
      <c r="E26" s="4">
        <v>0</v>
      </c>
      <c r="F26" s="4">
        <v>1</v>
      </c>
      <c r="G26" s="4">
        <v>0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0</v>
      </c>
      <c r="O26" s="4">
        <v>0</v>
      </c>
      <c r="P26" s="4">
        <v>1</v>
      </c>
      <c r="Q26" s="4">
        <v>1</v>
      </c>
      <c r="R26" s="4">
        <v>1</v>
      </c>
      <c r="S26" s="14">
        <v>1</v>
      </c>
      <c r="T26" s="4">
        <v>0</v>
      </c>
      <c r="U26" s="4">
        <v>1</v>
      </c>
      <c r="V26" s="4">
        <v>1</v>
      </c>
      <c r="W26" s="4">
        <v>1</v>
      </c>
      <c r="X26" s="14">
        <v>1</v>
      </c>
      <c r="Y26" s="4">
        <v>1</v>
      </c>
      <c r="Z26" s="4">
        <v>1</v>
      </c>
      <c r="AA26" s="4">
        <v>0</v>
      </c>
      <c r="AB26">
        <f t="shared" si="1"/>
        <v>17</v>
      </c>
      <c r="AC26" s="4">
        <v>24</v>
      </c>
      <c r="AD26" s="12">
        <f t="shared" si="0"/>
        <v>70.833333333333343</v>
      </c>
    </row>
    <row r="27" spans="2:30" ht="29.4" thickBot="1">
      <c r="B27" s="1" t="s">
        <v>37</v>
      </c>
      <c r="C27" s="2" t="s">
        <v>38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0</v>
      </c>
      <c r="M27" s="4">
        <v>0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14">
        <v>1</v>
      </c>
      <c r="T27" s="4">
        <v>1</v>
      </c>
      <c r="U27" s="4">
        <v>1</v>
      </c>
      <c r="V27" s="4">
        <v>1</v>
      </c>
      <c r="W27" s="4">
        <v>1</v>
      </c>
      <c r="X27" s="14">
        <v>0</v>
      </c>
      <c r="Y27" s="4">
        <v>1</v>
      </c>
      <c r="Z27" s="4">
        <v>1</v>
      </c>
      <c r="AA27" s="4">
        <v>1</v>
      </c>
      <c r="AB27">
        <f t="shared" si="1"/>
        <v>21</v>
      </c>
      <c r="AC27" s="4">
        <v>24</v>
      </c>
      <c r="AD27" s="12">
        <f t="shared" si="0"/>
        <v>87.5</v>
      </c>
    </row>
    <row r="28" spans="2:30" ht="15" thickBot="1">
      <c r="B28" s="1" t="s">
        <v>39</v>
      </c>
      <c r="C28" s="2" t="s">
        <v>40</v>
      </c>
      <c r="D28" s="4">
        <v>0</v>
      </c>
      <c r="E28" s="4">
        <v>0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0</v>
      </c>
      <c r="O28" s="4">
        <v>1</v>
      </c>
      <c r="P28" s="4">
        <v>1</v>
      </c>
      <c r="Q28" s="4">
        <v>0</v>
      </c>
      <c r="R28" s="4">
        <v>1</v>
      </c>
      <c r="S28" s="14">
        <v>1</v>
      </c>
      <c r="T28" s="4">
        <v>0</v>
      </c>
      <c r="U28" s="4">
        <v>1</v>
      </c>
      <c r="V28" s="4">
        <v>1</v>
      </c>
      <c r="W28" s="4">
        <v>1</v>
      </c>
      <c r="X28" s="14">
        <v>1</v>
      </c>
      <c r="Y28" s="4">
        <v>1</v>
      </c>
      <c r="Z28" s="4">
        <v>0</v>
      </c>
      <c r="AA28" s="4">
        <v>0</v>
      </c>
      <c r="AB28">
        <f t="shared" si="1"/>
        <v>17</v>
      </c>
      <c r="AC28" s="4">
        <v>24</v>
      </c>
      <c r="AD28" s="12">
        <f t="shared" si="0"/>
        <v>70.833333333333343</v>
      </c>
    </row>
    <row r="29" spans="2:30" ht="29.4" thickBot="1">
      <c r="B29" s="1" t="s">
        <v>41</v>
      </c>
      <c r="C29" s="2" t="s">
        <v>42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0</v>
      </c>
      <c r="L29" s="4">
        <v>0</v>
      </c>
      <c r="M29" s="4">
        <v>1</v>
      </c>
      <c r="N29" s="4">
        <v>0</v>
      </c>
      <c r="O29" s="4">
        <v>1</v>
      </c>
      <c r="P29" s="4">
        <v>1</v>
      </c>
      <c r="Q29" s="4">
        <v>0</v>
      </c>
      <c r="R29" s="4">
        <v>1</v>
      </c>
      <c r="S29" s="14">
        <v>0</v>
      </c>
      <c r="T29" s="4">
        <v>1</v>
      </c>
      <c r="U29" s="4">
        <v>1</v>
      </c>
      <c r="V29" s="4">
        <v>1</v>
      </c>
      <c r="W29" s="4">
        <v>1</v>
      </c>
      <c r="X29" s="14">
        <v>0</v>
      </c>
      <c r="Y29" s="4">
        <v>1</v>
      </c>
      <c r="Z29" s="4">
        <v>1</v>
      </c>
      <c r="AA29" s="4">
        <v>1</v>
      </c>
      <c r="AB29">
        <f t="shared" si="1"/>
        <v>18</v>
      </c>
      <c r="AC29" s="4">
        <v>24</v>
      </c>
      <c r="AD29" s="12">
        <f t="shared" si="0"/>
        <v>75</v>
      </c>
    </row>
    <row r="30" spans="2:30" ht="29.4" thickBot="1">
      <c r="B30" s="1" t="s">
        <v>43</v>
      </c>
      <c r="C30" s="2" t="s">
        <v>44</v>
      </c>
      <c r="D30" s="4">
        <v>0</v>
      </c>
      <c r="E30" s="4">
        <v>1</v>
      </c>
      <c r="F30" s="4">
        <v>1</v>
      </c>
      <c r="G30" s="4">
        <v>0</v>
      </c>
      <c r="H30" s="4">
        <v>1</v>
      </c>
      <c r="I30" s="4">
        <v>1</v>
      </c>
      <c r="J30" s="4">
        <v>0</v>
      </c>
      <c r="K30" s="4">
        <v>0</v>
      </c>
      <c r="L30" s="4">
        <v>0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14">
        <v>1</v>
      </c>
      <c r="T30" s="4">
        <v>1</v>
      </c>
      <c r="U30" s="4">
        <v>1</v>
      </c>
      <c r="V30" s="4">
        <v>1</v>
      </c>
      <c r="W30" s="4">
        <v>1</v>
      </c>
      <c r="X30" s="14">
        <v>0</v>
      </c>
      <c r="Y30" s="4">
        <v>1</v>
      </c>
      <c r="Z30" s="4">
        <v>1</v>
      </c>
      <c r="AA30" s="4">
        <v>1</v>
      </c>
      <c r="AB30">
        <f t="shared" si="1"/>
        <v>18</v>
      </c>
      <c r="AC30" s="4">
        <v>24</v>
      </c>
      <c r="AD30" s="12">
        <f t="shared" si="0"/>
        <v>75</v>
      </c>
    </row>
    <row r="31" spans="2:30" ht="29.4" thickBot="1">
      <c r="B31" s="1" t="s">
        <v>45</v>
      </c>
      <c r="C31" s="2" t="s">
        <v>46</v>
      </c>
      <c r="D31" s="4">
        <v>0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0</v>
      </c>
      <c r="O31" s="4">
        <v>1</v>
      </c>
      <c r="P31" s="4">
        <v>1</v>
      </c>
      <c r="Q31" s="4">
        <v>0</v>
      </c>
      <c r="R31" s="4">
        <v>1</v>
      </c>
      <c r="S31" s="14">
        <v>1</v>
      </c>
      <c r="T31" s="4">
        <v>1</v>
      </c>
      <c r="U31" s="4">
        <v>0</v>
      </c>
      <c r="V31" s="4">
        <v>0</v>
      </c>
      <c r="W31" s="4">
        <v>1</v>
      </c>
      <c r="X31" s="14">
        <v>0</v>
      </c>
      <c r="Y31" s="4">
        <v>1</v>
      </c>
      <c r="Z31" s="4">
        <v>1</v>
      </c>
      <c r="AA31" s="4">
        <v>1</v>
      </c>
      <c r="AB31">
        <f t="shared" si="1"/>
        <v>18</v>
      </c>
      <c r="AC31" s="4">
        <v>24</v>
      </c>
      <c r="AD31" s="12">
        <f t="shared" si="0"/>
        <v>75</v>
      </c>
    </row>
    <row r="32" spans="2:30" ht="29.4" thickBot="1">
      <c r="B32" s="1" t="s">
        <v>47</v>
      </c>
      <c r="C32" s="2" t="s">
        <v>48</v>
      </c>
      <c r="D32" s="4">
        <v>0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0</v>
      </c>
      <c r="L32" s="4">
        <v>0</v>
      </c>
      <c r="M32" s="4">
        <v>1</v>
      </c>
      <c r="N32" s="4">
        <v>1</v>
      </c>
      <c r="O32" s="4">
        <v>0</v>
      </c>
      <c r="P32" s="4">
        <v>1</v>
      </c>
      <c r="Q32" s="4">
        <v>1</v>
      </c>
      <c r="R32" s="4">
        <v>1</v>
      </c>
      <c r="S32" s="14">
        <v>0</v>
      </c>
      <c r="T32" s="4">
        <v>1</v>
      </c>
      <c r="U32" s="4">
        <v>0</v>
      </c>
      <c r="V32" s="4">
        <v>1</v>
      </c>
      <c r="W32" s="4">
        <v>1</v>
      </c>
      <c r="X32" s="14">
        <v>1</v>
      </c>
      <c r="Y32" s="4">
        <v>1</v>
      </c>
      <c r="Z32" s="4">
        <v>1</v>
      </c>
      <c r="AA32" s="4">
        <v>1</v>
      </c>
      <c r="AB32">
        <f t="shared" si="1"/>
        <v>18</v>
      </c>
      <c r="AC32" s="4">
        <v>24</v>
      </c>
      <c r="AD32" s="12">
        <f t="shared" si="0"/>
        <v>75</v>
      </c>
    </row>
    <row r="33" spans="2:30" ht="15" thickBot="1">
      <c r="B33" s="1" t="s">
        <v>49</v>
      </c>
      <c r="C33" s="2" t="s">
        <v>50</v>
      </c>
      <c r="D33" s="4">
        <v>0</v>
      </c>
      <c r="E33" s="4">
        <v>0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14">
        <v>1</v>
      </c>
      <c r="T33" s="4">
        <v>1</v>
      </c>
      <c r="U33" s="4">
        <v>0</v>
      </c>
      <c r="V33" s="4">
        <v>1</v>
      </c>
      <c r="W33" s="4">
        <v>0</v>
      </c>
      <c r="X33" s="14">
        <v>0</v>
      </c>
      <c r="Y33" s="4">
        <v>0</v>
      </c>
      <c r="Z33" s="4">
        <v>1</v>
      </c>
      <c r="AA33" s="4">
        <v>0</v>
      </c>
      <c r="AB33">
        <f t="shared" si="1"/>
        <v>17</v>
      </c>
      <c r="AC33" s="4">
        <v>24</v>
      </c>
      <c r="AD33" s="12">
        <f t="shared" si="0"/>
        <v>70.833333333333343</v>
      </c>
    </row>
    <row r="34" spans="2:30" ht="29.4" thickBot="1">
      <c r="B34" s="1" t="s">
        <v>51</v>
      </c>
      <c r="C34" s="2" t="s">
        <v>52</v>
      </c>
      <c r="D34" s="4">
        <v>1</v>
      </c>
      <c r="E34" s="4">
        <v>1</v>
      </c>
      <c r="F34" s="4">
        <v>0</v>
      </c>
      <c r="G34" s="4">
        <v>0</v>
      </c>
      <c r="H34" s="4">
        <v>1</v>
      </c>
      <c r="I34" s="4">
        <v>1</v>
      </c>
      <c r="J34" s="4">
        <v>1</v>
      </c>
      <c r="K34" s="4">
        <v>1</v>
      </c>
      <c r="L34" s="4">
        <v>0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14">
        <v>1</v>
      </c>
      <c r="T34" s="4">
        <v>1</v>
      </c>
      <c r="U34" s="4">
        <v>0</v>
      </c>
      <c r="V34" s="4">
        <v>1</v>
      </c>
      <c r="W34" s="4">
        <v>0</v>
      </c>
      <c r="X34" s="14">
        <v>1</v>
      </c>
      <c r="Y34" s="4">
        <v>1</v>
      </c>
      <c r="Z34" s="4">
        <v>1</v>
      </c>
      <c r="AA34" s="4">
        <v>1</v>
      </c>
      <c r="AB34">
        <f t="shared" si="1"/>
        <v>19</v>
      </c>
      <c r="AC34" s="4">
        <v>24</v>
      </c>
      <c r="AD34" s="12">
        <f t="shared" si="0"/>
        <v>79.166666666666657</v>
      </c>
    </row>
    <row r="35" spans="2:30" ht="29.4" thickBot="1">
      <c r="B35" s="1" t="s">
        <v>53</v>
      </c>
      <c r="C35" s="2" t="s">
        <v>54</v>
      </c>
      <c r="D35" s="4">
        <v>0</v>
      </c>
      <c r="E35" s="4">
        <v>1</v>
      </c>
      <c r="F35" s="4">
        <v>0</v>
      </c>
      <c r="G35" s="4">
        <v>1</v>
      </c>
      <c r="H35" s="4">
        <v>0</v>
      </c>
      <c r="I35" s="4">
        <v>1</v>
      </c>
      <c r="J35" s="4">
        <v>0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14">
        <v>1</v>
      </c>
      <c r="T35" s="4">
        <v>1</v>
      </c>
      <c r="U35" s="4">
        <v>1</v>
      </c>
      <c r="V35" s="4">
        <v>1</v>
      </c>
      <c r="W35" s="4">
        <v>1</v>
      </c>
      <c r="X35" s="14">
        <v>0</v>
      </c>
      <c r="Y35" s="4">
        <v>0</v>
      </c>
      <c r="Z35" s="4">
        <v>1</v>
      </c>
      <c r="AA35" s="4">
        <v>1</v>
      </c>
      <c r="AB35">
        <f t="shared" si="1"/>
        <v>18</v>
      </c>
      <c r="AC35" s="4">
        <v>24</v>
      </c>
      <c r="AD35" s="12">
        <f t="shared" si="0"/>
        <v>75</v>
      </c>
    </row>
    <row r="36" spans="2:30" ht="29.4" thickBot="1">
      <c r="B36" s="1" t="s">
        <v>55</v>
      </c>
      <c r="C36" s="2" t="s">
        <v>56</v>
      </c>
      <c r="D36" s="4">
        <v>0</v>
      </c>
      <c r="E36" s="4">
        <v>0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0</v>
      </c>
      <c r="O36" s="4">
        <v>0</v>
      </c>
      <c r="P36" s="4">
        <v>1</v>
      </c>
      <c r="Q36" s="4">
        <v>1</v>
      </c>
      <c r="R36" s="4">
        <v>1</v>
      </c>
      <c r="S36" s="14">
        <v>0</v>
      </c>
      <c r="T36" s="4">
        <v>1</v>
      </c>
      <c r="U36" s="4">
        <v>0</v>
      </c>
      <c r="V36" s="4">
        <v>1</v>
      </c>
      <c r="W36" s="4">
        <v>1</v>
      </c>
      <c r="X36" s="14">
        <v>0</v>
      </c>
      <c r="Y36" s="4">
        <v>1</v>
      </c>
      <c r="Z36" s="4">
        <v>1</v>
      </c>
      <c r="AA36" s="4">
        <v>1</v>
      </c>
      <c r="AB36">
        <f t="shared" si="1"/>
        <v>17</v>
      </c>
      <c r="AC36" s="4">
        <v>24</v>
      </c>
      <c r="AD36" s="12">
        <f t="shared" si="0"/>
        <v>70.833333333333343</v>
      </c>
    </row>
    <row r="37" spans="2:30" ht="29.4" thickBot="1">
      <c r="B37" s="1" t="s">
        <v>57</v>
      </c>
      <c r="C37" s="2" t="s">
        <v>58</v>
      </c>
      <c r="D37" s="4">
        <v>0</v>
      </c>
      <c r="E37" s="4">
        <v>0</v>
      </c>
      <c r="F37" s="4">
        <v>1</v>
      </c>
      <c r="G37" s="4">
        <v>0</v>
      </c>
      <c r="H37" s="4">
        <v>0</v>
      </c>
      <c r="I37" s="4">
        <v>1</v>
      </c>
      <c r="J37" s="4">
        <v>1</v>
      </c>
      <c r="K37" s="16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0</v>
      </c>
      <c r="S37" s="14">
        <v>1</v>
      </c>
      <c r="T37" s="4">
        <v>1</v>
      </c>
      <c r="U37" s="4">
        <v>1</v>
      </c>
      <c r="V37" s="4">
        <v>1</v>
      </c>
      <c r="W37" s="4">
        <v>0</v>
      </c>
      <c r="X37" s="14">
        <v>1</v>
      </c>
      <c r="Y37" s="4">
        <v>1</v>
      </c>
      <c r="Z37" s="4">
        <v>1</v>
      </c>
      <c r="AA37" s="4">
        <v>0</v>
      </c>
      <c r="AB37">
        <f t="shared" si="1"/>
        <v>17</v>
      </c>
      <c r="AC37" s="4">
        <v>24</v>
      </c>
      <c r="AD37" s="12">
        <f t="shared" si="0"/>
        <v>70.833333333333343</v>
      </c>
    </row>
    <row r="38" spans="2:30" ht="29.4" thickBot="1">
      <c r="B38" s="1" t="s">
        <v>59</v>
      </c>
      <c r="C38" s="2" t="s">
        <v>60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0</v>
      </c>
      <c r="M38" s="4">
        <v>1</v>
      </c>
      <c r="N38" s="4">
        <v>1</v>
      </c>
      <c r="O38" s="4">
        <v>1</v>
      </c>
      <c r="P38" s="4">
        <v>0</v>
      </c>
      <c r="Q38" s="4">
        <v>0</v>
      </c>
      <c r="R38" s="4">
        <v>1</v>
      </c>
      <c r="S38" s="15">
        <v>1</v>
      </c>
      <c r="T38" s="4">
        <v>1</v>
      </c>
      <c r="U38" s="4">
        <v>0</v>
      </c>
      <c r="V38" s="4">
        <v>1</v>
      </c>
      <c r="W38" s="4">
        <v>0</v>
      </c>
      <c r="X38" s="14">
        <v>0</v>
      </c>
      <c r="Y38" s="4">
        <v>1</v>
      </c>
      <c r="Z38" s="4">
        <v>1</v>
      </c>
      <c r="AA38" s="4">
        <v>1</v>
      </c>
      <c r="AB38">
        <f t="shared" si="1"/>
        <v>18</v>
      </c>
      <c r="AC38" s="4">
        <v>24</v>
      </c>
      <c r="AD38" s="12">
        <f t="shared" si="0"/>
        <v>75</v>
      </c>
    </row>
    <row r="39" spans="2:30" ht="29.4" thickBot="1">
      <c r="B39" s="1" t="s">
        <v>61</v>
      </c>
      <c r="C39" s="2" t="s">
        <v>62</v>
      </c>
      <c r="D39" s="4">
        <v>0</v>
      </c>
      <c r="E39" s="4">
        <v>1</v>
      </c>
      <c r="F39" s="4">
        <v>0</v>
      </c>
      <c r="G39" s="4">
        <v>1</v>
      </c>
      <c r="H39" s="4">
        <v>1</v>
      </c>
      <c r="I39" s="4">
        <v>1</v>
      </c>
      <c r="J39" s="4">
        <v>1</v>
      </c>
      <c r="K39" s="4">
        <v>0</v>
      </c>
      <c r="L39" s="4">
        <v>1</v>
      </c>
      <c r="M39" s="4">
        <v>1</v>
      </c>
      <c r="N39" s="4">
        <v>0</v>
      </c>
      <c r="O39" s="4">
        <v>1</v>
      </c>
      <c r="P39" s="4">
        <v>1</v>
      </c>
      <c r="Q39" s="4">
        <v>1</v>
      </c>
      <c r="R39" s="4">
        <v>1</v>
      </c>
      <c r="S39" s="14">
        <v>1</v>
      </c>
      <c r="T39" s="4">
        <v>1</v>
      </c>
      <c r="U39" s="4">
        <v>1</v>
      </c>
      <c r="V39" s="4">
        <v>0</v>
      </c>
      <c r="W39" s="4">
        <v>1</v>
      </c>
      <c r="X39" s="14">
        <v>0</v>
      </c>
      <c r="Y39" s="4">
        <v>1</v>
      </c>
      <c r="Z39" s="4">
        <v>1</v>
      </c>
      <c r="AA39" s="4">
        <v>1</v>
      </c>
      <c r="AB39">
        <f t="shared" si="1"/>
        <v>18</v>
      </c>
      <c r="AC39" s="4">
        <v>24</v>
      </c>
      <c r="AD39" s="12">
        <f t="shared" si="0"/>
        <v>75</v>
      </c>
    </row>
    <row r="40" spans="2:30" ht="29.4" thickBot="1">
      <c r="B40" s="1" t="s">
        <v>63</v>
      </c>
      <c r="C40" s="2" t="s">
        <v>64</v>
      </c>
      <c r="D40" s="4">
        <v>1</v>
      </c>
      <c r="E40" s="4">
        <v>1</v>
      </c>
      <c r="F40" s="4">
        <v>0</v>
      </c>
      <c r="G40" s="4">
        <v>1</v>
      </c>
      <c r="H40" s="4">
        <v>1</v>
      </c>
      <c r="I40" s="4">
        <v>1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1</v>
      </c>
      <c r="R40" s="4">
        <v>1</v>
      </c>
      <c r="S40" s="14">
        <v>0</v>
      </c>
      <c r="T40" s="4">
        <v>0</v>
      </c>
      <c r="U40" s="4">
        <v>0</v>
      </c>
      <c r="V40" s="4">
        <v>1</v>
      </c>
      <c r="W40" s="4">
        <v>1</v>
      </c>
      <c r="X40" s="14">
        <v>0</v>
      </c>
      <c r="Y40" s="4">
        <v>1</v>
      </c>
      <c r="Z40" s="4">
        <v>1</v>
      </c>
      <c r="AA40" s="4">
        <v>1</v>
      </c>
      <c r="AB40">
        <f t="shared" si="1"/>
        <v>14</v>
      </c>
      <c r="AC40" s="4">
        <v>24</v>
      </c>
      <c r="AD40" s="12">
        <f t="shared" si="0"/>
        <v>58.333333333333336</v>
      </c>
    </row>
    <row r="41" spans="2:30" ht="15" thickBot="1">
      <c r="B41" s="1" t="s">
        <v>65</v>
      </c>
      <c r="C41" s="2" t="s">
        <v>66</v>
      </c>
      <c r="D41" s="4">
        <v>0</v>
      </c>
      <c r="E41" s="4">
        <v>1</v>
      </c>
      <c r="F41" s="4">
        <v>1</v>
      </c>
      <c r="G41" s="4">
        <v>0</v>
      </c>
      <c r="H41" s="4">
        <v>1</v>
      </c>
      <c r="I41" s="4">
        <v>1</v>
      </c>
      <c r="J41" s="4">
        <v>0</v>
      </c>
      <c r="K41" s="4">
        <v>0</v>
      </c>
      <c r="L41" s="4">
        <v>1</v>
      </c>
      <c r="M41" s="4">
        <v>0</v>
      </c>
      <c r="N41" s="4">
        <v>1</v>
      </c>
      <c r="O41" s="4">
        <v>1</v>
      </c>
      <c r="P41" s="4">
        <v>0</v>
      </c>
      <c r="Q41" s="4">
        <v>1</v>
      </c>
      <c r="R41" s="4">
        <v>0</v>
      </c>
      <c r="S41" s="14">
        <v>0</v>
      </c>
      <c r="T41" s="4">
        <v>0</v>
      </c>
      <c r="U41" s="4">
        <v>1</v>
      </c>
      <c r="V41" s="4">
        <v>1</v>
      </c>
      <c r="W41" s="4">
        <v>1</v>
      </c>
      <c r="X41" s="14">
        <v>1</v>
      </c>
      <c r="Y41" s="4">
        <v>1</v>
      </c>
      <c r="Z41" s="4">
        <v>0</v>
      </c>
      <c r="AA41" s="4">
        <v>1</v>
      </c>
      <c r="AB41">
        <f t="shared" si="1"/>
        <v>14</v>
      </c>
      <c r="AC41" s="4">
        <v>24</v>
      </c>
      <c r="AD41" s="12">
        <f t="shared" si="0"/>
        <v>58.333333333333336</v>
      </c>
    </row>
    <row r="42" spans="2:30" ht="29.4" thickBot="1">
      <c r="B42" s="1" t="s">
        <v>67</v>
      </c>
      <c r="C42" s="2" t="s">
        <v>68</v>
      </c>
      <c r="D42" s="4">
        <v>0</v>
      </c>
      <c r="E42" s="4">
        <v>1</v>
      </c>
      <c r="F42" s="4">
        <v>1</v>
      </c>
      <c r="G42" s="4">
        <v>0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0</v>
      </c>
      <c r="O42" s="4">
        <v>1</v>
      </c>
      <c r="P42" s="4">
        <v>1</v>
      </c>
      <c r="Q42" s="4">
        <v>1</v>
      </c>
      <c r="R42" s="4">
        <v>0</v>
      </c>
      <c r="S42" s="14">
        <v>1</v>
      </c>
      <c r="T42" s="4">
        <v>1</v>
      </c>
      <c r="U42" s="4">
        <v>0</v>
      </c>
      <c r="V42" s="4">
        <v>1</v>
      </c>
      <c r="W42" s="4">
        <v>1</v>
      </c>
      <c r="X42" s="14">
        <v>0</v>
      </c>
      <c r="Y42" s="4">
        <v>1</v>
      </c>
      <c r="Z42" s="4">
        <v>1</v>
      </c>
      <c r="AA42" s="4">
        <v>1</v>
      </c>
      <c r="AB42">
        <f t="shared" si="1"/>
        <v>18</v>
      </c>
      <c r="AC42" s="4">
        <v>24</v>
      </c>
      <c r="AD42" s="12">
        <f t="shared" si="0"/>
        <v>75</v>
      </c>
    </row>
    <row r="43" spans="2:30" ht="29.4" thickBot="1">
      <c r="B43" s="1" t="s">
        <v>69</v>
      </c>
      <c r="C43" s="2" t="s">
        <v>70</v>
      </c>
      <c r="D43" s="4">
        <v>1</v>
      </c>
      <c r="E43" s="4">
        <v>1</v>
      </c>
      <c r="F43" s="4">
        <v>1</v>
      </c>
      <c r="G43" s="4">
        <v>0</v>
      </c>
      <c r="H43" s="4">
        <v>1</v>
      </c>
      <c r="I43" s="4">
        <v>1</v>
      </c>
      <c r="J43" s="4">
        <v>0</v>
      </c>
      <c r="K43" s="4">
        <v>1</v>
      </c>
      <c r="L43" s="4">
        <v>1</v>
      </c>
      <c r="M43" s="4">
        <v>1</v>
      </c>
      <c r="N43" s="4">
        <v>0</v>
      </c>
      <c r="O43" s="4">
        <v>1</v>
      </c>
      <c r="P43" s="4">
        <v>1</v>
      </c>
      <c r="Q43" s="4">
        <v>1</v>
      </c>
      <c r="R43" s="4">
        <v>1</v>
      </c>
      <c r="S43" s="14">
        <v>1</v>
      </c>
      <c r="T43" s="4">
        <v>1</v>
      </c>
      <c r="U43" s="4">
        <v>0</v>
      </c>
      <c r="V43" s="4">
        <v>1</v>
      </c>
      <c r="W43" s="4">
        <v>1</v>
      </c>
      <c r="X43" s="14">
        <v>0</v>
      </c>
      <c r="Y43" s="4">
        <v>0</v>
      </c>
      <c r="Z43" s="4">
        <v>1</v>
      </c>
      <c r="AA43" s="4">
        <v>1</v>
      </c>
      <c r="AB43">
        <f t="shared" si="1"/>
        <v>18</v>
      </c>
      <c r="AC43" s="4">
        <v>24</v>
      </c>
      <c r="AD43" s="12">
        <f t="shared" si="0"/>
        <v>75</v>
      </c>
    </row>
    <row r="44" spans="2:30" ht="29.4" thickBot="1">
      <c r="B44" s="1" t="s">
        <v>71</v>
      </c>
      <c r="C44" s="2" t="s">
        <v>72</v>
      </c>
      <c r="D44" s="4">
        <v>1</v>
      </c>
      <c r="E44" s="4">
        <v>0</v>
      </c>
      <c r="F44" s="4">
        <v>0</v>
      </c>
      <c r="G44" s="4">
        <v>1</v>
      </c>
      <c r="H44" s="4">
        <v>1</v>
      </c>
      <c r="I44" s="4">
        <v>1</v>
      </c>
      <c r="J44" s="4">
        <v>1</v>
      </c>
      <c r="K44" s="4">
        <v>0</v>
      </c>
      <c r="L44" s="4">
        <v>1</v>
      </c>
      <c r="M44" s="4">
        <v>0</v>
      </c>
      <c r="N44" s="4">
        <v>1</v>
      </c>
      <c r="O44" s="4">
        <v>1</v>
      </c>
      <c r="P44" s="4">
        <v>1</v>
      </c>
      <c r="Q44" s="4">
        <v>0</v>
      </c>
      <c r="R44" s="4">
        <v>1</v>
      </c>
      <c r="S44" s="14">
        <v>1</v>
      </c>
      <c r="T44" s="4">
        <v>1</v>
      </c>
      <c r="U44" s="4">
        <v>0</v>
      </c>
      <c r="V44" s="4">
        <v>1</v>
      </c>
      <c r="W44" s="4">
        <v>1</v>
      </c>
      <c r="X44" s="14">
        <v>1</v>
      </c>
      <c r="Y44" s="4">
        <v>1</v>
      </c>
      <c r="Z44" s="4">
        <v>1</v>
      </c>
      <c r="AA44" s="4">
        <v>0</v>
      </c>
      <c r="AB44">
        <f t="shared" si="1"/>
        <v>17</v>
      </c>
      <c r="AC44" s="4">
        <v>24</v>
      </c>
      <c r="AD44" s="12">
        <f t="shared" si="0"/>
        <v>70.833333333333343</v>
      </c>
    </row>
    <row r="45" spans="2:30" ht="29.4" thickBot="1">
      <c r="B45" s="1" t="s">
        <v>73</v>
      </c>
      <c r="C45" s="2" t="s">
        <v>74</v>
      </c>
      <c r="D45" s="4">
        <v>0</v>
      </c>
      <c r="E45" s="4">
        <v>1</v>
      </c>
      <c r="F45" s="4">
        <v>0</v>
      </c>
      <c r="G45" s="4">
        <v>0</v>
      </c>
      <c r="H45" s="4">
        <v>0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0</v>
      </c>
      <c r="S45" s="14">
        <v>0</v>
      </c>
      <c r="T45" s="4">
        <v>0</v>
      </c>
      <c r="U45" s="4">
        <v>0</v>
      </c>
      <c r="V45" s="4">
        <v>1</v>
      </c>
      <c r="W45" s="4">
        <v>1</v>
      </c>
      <c r="X45" s="14">
        <v>1</v>
      </c>
      <c r="Y45" s="4">
        <v>1</v>
      </c>
      <c r="Z45" s="4">
        <v>0</v>
      </c>
      <c r="AA45" s="4">
        <v>1</v>
      </c>
      <c r="AB45">
        <f t="shared" si="1"/>
        <v>15</v>
      </c>
      <c r="AC45" s="4">
        <v>24</v>
      </c>
      <c r="AD45" s="12">
        <f t="shared" si="0"/>
        <v>62.5</v>
      </c>
    </row>
    <row r="46" spans="2:30" ht="29.4" thickBot="1">
      <c r="B46" s="1" t="s">
        <v>75</v>
      </c>
      <c r="C46" s="2" t="s">
        <v>76</v>
      </c>
      <c r="D46" s="4">
        <v>0</v>
      </c>
      <c r="E46" s="4">
        <v>1</v>
      </c>
      <c r="F46" s="4">
        <v>1</v>
      </c>
      <c r="G46" s="4">
        <v>0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14">
        <v>1</v>
      </c>
      <c r="T46" s="4">
        <v>1</v>
      </c>
      <c r="U46" s="4">
        <v>0</v>
      </c>
      <c r="V46" s="4">
        <v>0</v>
      </c>
      <c r="W46" s="4">
        <v>1</v>
      </c>
      <c r="X46" s="14">
        <v>0</v>
      </c>
      <c r="Y46" s="4">
        <v>1</v>
      </c>
      <c r="Z46" s="4">
        <v>0</v>
      </c>
      <c r="AA46" s="4">
        <v>1</v>
      </c>
      <c r="AB46">
        <f t="shared" si="1"/>
        <v>18</v>
      </c>
      <c r="AC46" s="4">
        <v>24</v>
      </c>
      <c r="AD46" s="12">
        <f t="shared" si="0"/>
        <v>75</v>
      </c>
    </row>
    <row r="47" spans="2:30" ht="29.4" thickBot="1">
      <c r="B47" s="1" t="s">
        <v>77</v>
      </c>
      <c r="C47" s="2" t="s">
        <v>78</v>
      </c>
      <c r="D47" s="4">
        <v>0</v>
      </c>
      <c r="E47" s="4">
        <v>0</v>
      </c>
      <c r="F47" s="4">
        <v>1</v>
      </c>
      <c r="G47" s="4">
        <v>0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0</v>
      </c>
      <c r="S47" s="14">
        <v>1</v>
      </c>
      <c r="T47" s="4">
        <v>1</v>
      </c>
      <c r="U47" s="4">
        <v>0</v>
      </c>
      <c r="V47" s="4">
        <v>1</v>
      </c>
      <c r="W47" s="4">
        <v>1</v>
      </c>
      <c r="X47" s="14">
        <v>1</v>
      </c>
      <c r="Y47" s="4">
        <v>1</v>
      </c>
      <c r="Z47" s="4">
        <v>0</v>
      </c>
      <c r="AA47" s="4">
        <v>0</v>
      </c>
      <c r="AB47">
        <f t="shared" si="1"/>
        <v>17</v>
      </c>
      <c r="AC47" s="4">
        <v>24</v>
      </c>
      <c r="AD47" s="12">
        <f t="shared" si="0"/>
        <v>70.833333333333343</v>
      </c>
    </row>
    <row r="48" spans="2:30" ht="15" thickBot="1">
      <c r="B48" s="1" t="s">
        <v>79</v>
      </c>
      <c r="C48" s="2" t="s">
        <v>80</v>
      </c>
      <c r="D48" s="4">
        <v>0</v>
      </c>
      <c r="E48" s="4">
        <v>1</v>
      </c>
      <c r="F48" s="4">
        <v>1</v>
      </c>
      <c r="G48" s="4">
        <v>0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0</v>
      </c>
      <c r="S48" s="14">
        <v>1</v>
      </c>
      <c r="T48" s="4">
        <v>0</v>
      </c>
      <c r="U48" s="4">
        <v>0</v>
      </c>
      <c r="V48" s="4">
        <v>0</v>
      </c>
      <c r="W48" s="4">
        <v>1</v>
      </c>
      <c r="X48" s="14">
        <v>1</v>
      </c>
      <c r="Y48" s="4">
        <v>1</v>
      </c>
      <c r="Z48" s="4">
        <v>1</v>
      </c>
      <c r="AA48" s="4">
        <v>1</v>
      </c>
      <c r="AB48">
        <f t="shared" si="1"/>
        <v>18</v>
      </c>
      <c r="AC48" s="4">
        <v>24</v>
      </c>
      <c r="AD48" s="12">
        <f t="shared" si="0"/>
        <v>75</v>
      </c>
    </row>
    <row r="49" spans="2:30" ht="29.4" thickBot="1">
      <c r="B49" s="1" t="s">
        <v>81</v>
      </c>
      <c r="C49" s="2" t="s">
        <v>82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1</v>
      </c>
      <c r="P49" s="4">
        <v>1</v>
      </c>
      <c r="Q49" s="4">
        <v>1</v>
      </c>
      <c r="R49" s="4">
        <v>0</v>
      </c>
      <c r="S49" s="14">
        <v>1</v>
      </c>
      <c r="T49" s="4">
        <v>1</v>
      </c>
      <c r="U49" s="4">
        <v>0</v>
      </c>
      <c r="V49" s="4">
        <v>1</v>
      </c>
      <c r="W49" s="4">
        <v>1</v>
      </c>
      <c r="X49" s="14">
        <v>1</v>
      </c>
      <c r="Y49" s="14">
        <v>1</v>
      </c>
      <c r="Z49" s="14">
        <v>1</v>
      </c>
      <c r="AA49" s="4">
        <v>1</v>
      </c>
      <c r="AB49">
        <f t="shared" si="1"/>
        <v>18</v>
      </c>
      <c r="AC49" s="4">
        <v>24</v>
      </c>
      <c r="AD49" s="12">
        <f t="shared" si="0"/>
        <v>75</v>
      </c>
    </row>
    <row r="50" spans="2:30" ht="29.4" thickBot="1">
      <c r="B50" s="1" t="s">
        <v>83</v>
      </c>
      <c r="C50" s="2" t="s">
        <v>84</v>
      </c>
      <c r="D50" s="4">
        <v>0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14">
        <v>1</v>
      </c>
      <c r="T50" s="4">
        <v>1</v>
      </c>
      <c r="U50" s="4">
        <v>1</v>
      </c>
      <c r="V50" s="4">
        <v>0</v>
      </c>
      <c r="W50" s="4">
        <v>1</v>
      </c>
      <c r="X50" s="14">
        <v>0</v>
      </c>
      <c r="Y50" s="4">
        <v>1</v>
      </c>
      <c r="Z50" s="14">
        <v>1</v>
      </c>
      <c r="AA50" s="4">
        <v>1</v>
      </c>
      <c r="AB50">
        <f t="shared" si="1"/>
        <v>21</v>
      </c>
      <c r="AC50" s="4">
        <v>24</v>
      </c>
      <c r="AD50" s="12">
        <f t="shared" si="0"/>
        <v>87.5</v>
      </c>
    </row>
    <row r="51" spans="2:30" ht="29.4" thickBot="1">
      <c r="B51" s="1" t="s">
        <v>85</v>
      </c>
      <c r="C51" s="2" t="s">
        <v>86</v>
      </c>
      <c r="D51" s="4">
        <v>1</v>
      </c>
      <c r="E51" s="4">
        <v>0</v>
      </c>
      <c r="F51" s="4">
        <v>1</v>
      </c>
      <c r="G51" s="4">
        <v>1</v>
      </c>
      <c r="H51" s="4">
        <v>1</v>
      </c>
      <c r="I51" s="4">
        <v>0</v>
      </c>
      <c r="J51" s="4">
        <v>1</v>
      </c>
      <c r="K51" s="4">
        <v>1</v>
      </c>
      <c r="L51" s="4">
        <v>0</v>
      </c>
      <c r="M51" s="4">
        <v>1</v>
      </c>
      <c r="N51" s="4">
        <v>1</v>
      </c>
      <c r="O51" s="4">
        <v>0</v>
      </c>
      <c r="P51" s="4">
        <v>1</v>
      </c>
      <c r="Q51" s="4">
        <v>1</v>
      </c>
      <c r="R51" s="4">
        <v>1</v>
      </c>
      <c r="S51" s="14">
        <v>1</v>
      </c>
      <c r="T51" s="4">
        <v>0</v>
      </c>
      <c r="U51" s="4">
        <v>1</v>
      </c>
      <c r="V51" s="4">
        <v>1</v>
      </c>
      <c r="W51" s="4">
        <v>0</v>
      </c>
      <c r="X51" s="14">
        <v>1</v>
      </c>
      <c r="Y51" s="4">
        <v>1</v>
      </c>
      <c r="Z51" s="4">
        <v>1</v>
      </c>
      <c r="AA51" s="4">
        <v>0</v>
      </c>
      <c r="AB51">
        <f t="shared" si="1"/>
        <v>17</v>
      </c>
      <c r="AC51" s="4">
        <v>24</v>
      </c>
      <c r="AD51" s="12">
        <f t="shared" si="0"/>
        <v>70.833333333333343</v>
      </c>
    </row>
    <row r="52" spans="2:30" ht="29.4" thickBot="1">
      <c r="B52" s="1" t="s">
        <v>87</v>
      </c>
      <c r="C52" s="2" t="s">
        <v>88</v>
      </c>
      <c r="D52" s="4">
        <v>0</v>
      </c>
      <c r="E52" s="4">
        <v>0</v>
      </c>
      <c r="F52" s="4">
        <v>1</v>
      </c>
      <c r="G52" s="4">
        <v>1</v>
      </c>
      <c r="H52" s="4">
        <v>1</v>
      </c>
      <c r="I52" s="4">
        <v>1</v>
      </c>
      <c r="J52" s="4">
        <v>0</v>
      </c>
      <c r="K52" s="4">
        <v>0</v>
      </c>
      <c r="L52" s="4">
        <v>1</v>
      </c>
      <c r="M52" s="4">
        <v>1</v>
      </c>
      <c r="N52" s="4">
        <v>1</v>
      </c>
      <c r="O52" s="4">
        <v>1</v>
      </c>
      <c r="P52" s="4">
        <v>0</v>
      </c>
      <c r="Q52" s="4">
        <v>1</v>
      </c>
      <c r="R52" s="4">
        <v>1</v>
      </c>
      <c r="S52" s="14">
        <v>1</v>
      </c>
      <c r="T52" s="4">
        <v>1</v>
      </c>
      <c r="U52" s="4">
        <v>1</v>
      </c>
      <c r="V52" s="4">
        <v>1</v>
      </c>
      <c r="W52" s="4">
        <v>1</v>
      </c>
      <c r="X52" s="14">
        <v>1</v>
      </c>
      <c r="Y52" s="4">
        <v>1</v>
      </c>
      <c r="Z52" s="4">
        <v>0</v>
      </c>
      <c r="AA52" s="4">
        <v>0</v>
      </c>
      <c r="AB52">
        <f t="shared" si="1"/>
        <v>17</v>
      </c>
      <c r="AC52" s="4">
        <v>24</v>
      </c>
      <c r="AD52" s="12">
        <f t="shared" si="0"/>
        <v>70.833333333333343</v>
      </c>
    </row>
    <row r="53" spans="2:30" ht="29.4" thickBot="1">
      <c r="B53" s="1" t="s">
        <v>89</v>
      </c>
      <c r="C53" s="2" t="s">
        <v>90</v>
      </c>
      <c r="D53" s="4">
        <v>0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0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0</v>
      </c>
      <c r="S53" s="14">
        <v>1</v>
      </c>
      <c r="T53" s="4">
        <v>1</v>
      </c>
      <c r="U53" s="4">
        <v>1</v>
      </c>
      <c r="V53" s="4">
        <v>1</v>
      </c>
      <c r="W53" s="4">
        <v>1</v>
      </c>
      <c r="X53" s="14">
        <v>0</v>
      </c>
      <c r="Y53" s="4">
        <v>1</v>
      </c>
      <c r="Z53" s="4">
        <v>1</v>
      </c>
      <c r="AA53" s="4">
        <v>1</v>
      </c>
      <c r="AB53">
        <f t="shared" si="1"/>
        <v>20</v>
      </c>
      <c r="AC53" s="4">
        <v>24</v>
      </c>
      <c r="AD53" s="12">
        <f t="shared" si="0"/>
        <v>83.333333333333343</v>
      </c>
    </row>
    <row r="54" spans="2:30" ht="29.4" thickBot="1">
      <c r="B54" s="1" t="s">
        <v>91</v>
      </c>
      <c r="C54" s="2" t="s">
        <v>92</v>
      </c>
      <c r="D54" s="4">
        <v>0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</v>
      </c>
      <c r="R54" s="4">
        <v>1</v>
      </c>
      <c r="S54" s="14">
        <v>1</v>
      </c>
      <c r="T54" s="4">
        <v>1</v>
      </c>
      <c r="U54" s="4">
        <v>1</v>
      </c>
      <c r="V54" s="4">
        <v>1</v>
      </c>
      <c r="W54" s="4">
        <v>1</v>
      </c>
      <c r="X54" s="14">
        <v>1</v>
      </c>
      <c r="Y54" s="4">
        <v>1</v>
      </c>
      <c r="Z54" s="4">
        <v>1</v>
      </c>
      <c r="AA54" s="4">
        <v>1</v>
      </c>
      <c r="AB54">
        <f t="shared" si="1"/>
        <v>18</v>
      </c>
      <c r="AC54" s="4">
        <v>24</v>
      </c>
      <c r="AD54" s="12">
        <f t="shared" si="0"/>
        <v>75</v>
      </c>
    </row>
    <row r="55" spans="2:30" ht="29.4" thickBot="1">
      <c r="B55" s="1" t="s">
        <v>93</v>
      </c>
      <c r="C55" s="2" t="s">
        <v>94</v>
      </c>
      <c r="D55" s="4">
        <v>0</v>
      </c>
      <c r="E55" s="4">
        <v>0</v>
      </c>
      <c r="F55" s="4">
        <v>1</v>
      </c>
      <c r="G55" s="4">
        <v>0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14">
        <v>1</v>
      </c>
      <c r="T55" s="4">
        <v>0</v>
      </c>
      <c r="U55" s="4">
        <v>1</v>
      </c>
      <c r="V55" s="4">
        <v>1</v>
      </c>
      <c r="W55" s="4">
        <v>1</v>
      </c>
      <c r="X55" s="4"/>
      <c r="Y55" s="4">
        <v>1</v>
      </c>
      <c r="Z55" s="4">
        <v>0</v>
      </c>
      <c r="AA55" s="4">
        <v>0</v>
      </c>
      <c r="AB55">
        <f t="shared" si="1"/>
        <v>17</v>
      </c>
      <c r="AC55" s="4">
        <v>24</v>
      </c>
      <c r="AD55" s="12">
        <f t="shared" si="0"/>
        <v>70.833333333333343</v>
      </c>
    </row>
    <row r="56" spans="2:30" ht="15" thickBot="1">
      <c r="B56" s="1" t="s">
        <v>95</v>
      </c>
      <c r="C56" s="2" t="s">
        <v>96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0</v>
      </c>
      <c r="N56" s="4">
        <v>1</v>
      </c>
      <c r="O56" s="4">
        <v>0</v>
      </c>
      <c r="P56" s="4">
        <v>0</v>
      </c>
      <c r="Q56" s="4">
        <v>1</v>
      </c>
      <c r="R56" s="4">
        <v>1</v>
      </c>
      <c r="S56" s="14">
        <v>0</v>
      </c>
      <c r="T56" s="4">
        <v>1</v>
      </c>
      <c r="U56" s="4">
        <v>1</v>
      </c>
      <c r="V56" s="4">
        <v>1</v>
      </c>
      <c r="W56" s="4">
        <v>0</v>
      </c>
      <c r="X56" s="14">
        <v>1</v>
      </c>
      <c r="Y56" s="4">
        <v>0</v>
      </c>
      <c r="Z56" s="4">
        <v>1</v>
      </c>
      <c r="AA56" s="4">
        <v>1</v>
      </c>
      <c r="AB56">
        <f t="shared" si="1"/>
        <v>18</v>
      </c>
      <c r="AC56" s="4">
        <v>24</v>
      </c>
      <c r="AD56" s="12">
        <f t="shared" si="0"/>
        <v>75</v>
      </c>
    </row>
    <row r="57" spans="2:30" ht="29.4" thickBot="1">
      <c r="B57" s="1" t="s">
        <v>97</v>
      </c>
      <c r="C57" s="2" t="s">
        <v>98</v>
      </c>
      <c r="D57" s="4">
        <v>1</v>
      </c>
      <c r="E57" s="4">
        <v>0</v>
      </c>
      <c r="F57" s="4">
        <v>1</v>
      </c>
      <c r="G57" s="4">
        <v>1</v>
      </c>
      <c r="H57" s="4">
        <v>0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0</v>
      </c>
      <c r="P57" s="4">
        <v>0</v>
      </c>
      <c r="Q57" s="4">
        <v>1</v>
      </c>
      <c r="R57" s="4">
        <v>1</v>
      </c>
      <c r="S57" s="14">
        <v>0</v>
      </c>
      <c r="T57" s="4">
        <v>1</v>
      </c>
      <c r="U57" s="4">
        <v>1</v>
      </c>
      <c r="V57" s="4">
        <v>1</v>
      </c>
      <c r="W57" s="4">
        <v>1</v>
      </c>
      <c r="X57" s="14">
        <v>1</v>
      </c>
      <c r="Y57" s="4">
        <v>1</v>
      </c>
      <c r="Z57" s="4">
        <v>1</v>
      </c>
      <c r="AA57" s="4">
        <v>0</v>
      </c>
      <c r="AB57">
        <f t="shared" si="1"/>
        <v>18</v>
      </c>
      <c r="AC57" s="4">
        <v>24</v>
      </c>
      <c r="AD57" s="12">
        <f t="shared" si="0"/>
        <v>75</v>
      </c>
    </row>
    <row r="58" spans="2:30" ht="29.4" thickBot="1">
      <c r="B58" s="1" t="s">
        <v>99</v>
      </c>
      <c r="C58" s="2" t="s">
        <v>100</v>
      </c>
      <c r="D58" s="4">
        <v>0</v>
      </c>
      <c r="E58" s="4">
        <v>1</v>
      </c>
      <c r="F58" s="4">
        <v>1</v>
      </c>
      <c r="G58" s="4">
        <v>1</v>
      </c>
      <c r="H58" s="4">
        <v>1</v>
      </c>
      <c r="I58" s="4">
        <v>0</v>
      </c>
      <c r="J58" s="4">
        <v>1</v>
      </c>
      <c r="K58" s="4">
        <v>0</v>
      </c>
      <c r="L58" s="4">
        <v>1</v>
      </c>
      <c r="M58" s="4">
        <v>1</v>
      </c>
      <c r="N58" s="4">
        <v>1</v>
      </c>
      <c r="O58" s="4">
        <v>0</v>
      </c>
      <c r="P58" s="4">
        <v>1</v>
      </c>
      <c r="Q58" s="4">
        <v>1</v>
      </c>
      <c r="R58" s="4">
        <v>0</v>
      </c>
      <c r="S58" s="14">
        <v>1</v>
      </c>
      <c r="T58" s="4">
        <v>1</v>
      </c>
      <c r="U58" s="4">
        <v>1</v>
      </c>
      <c r="V58" s="4">
        <v>1</v>
      </c>
      <c r="W58" s="4">
        <v>0</v>
      </c>
      <c r="X58" s="14">
        <v>1</v>
      </c>
      <c r="Y58" s="4">
        <v>1</v>
      </c>
      <c r="Z58" s="4">
        <v>1</v>
      </c>
      <c r="AA58" s="4">
        <v>1</v>
      </c>
      <c r="AB58">
        <f t="shared" si="1"/>
        <v>18</v>
      </c>
      <c r="AC58" s="4">
        <v>24</v>
      </c>
      <c r="AD58" s="12">
        <f t="shared" si="0"/>
        <v>75</v>
      </c>
    </row>
    <row r="59" spans="2:30" ht="43.8" thickBot="1">
      <c r="B59" s="1" t="s">
        <v>101</v>
      </c>
      <c r="C59" s="2" t="s">
        <v>102</v>
      </c>
      <c r="D59" s="4">
        <v>1</v>
      </c>
      <c r="E59" s="4">
        <v>0</v>
      </c>
      <c r="F59" s="4">
        <v>1</v>
      </c>
      <c r="G59" s="4">
        <v>1</v>
      </c>
      <c r="H59" s="4">
        <v>1</v>
      </c>
      <c r="I59" s="4">
        <v>0</v>
      </c>
      <c r="J59" s="4">
        <v>1</v>
      </c>
      <c r="K59" s="4">
        <v>1</v>
      </c>
      <c r="L59" s="4">
        <v>0</v>
      </c>
      <c r="M59" s="4">
        <v>1</v>
      </c>
      <c r="N59" s="4">
        <v>1</v>
      </c>
      <c r="O59" s="4">
        <v>1</v>
      </c>
      <c r="P59" s="4">
        <v>1</v>
      </c>
      <c r="Q59" s="4">
        <v>0</v>
      </c>
      <c r="R59" s="4">
        <v>1</v>
      </c>
      <c r="S59" s="14">
        <v>1</v>
      </c>
      <c r="T59" s="4">
        <v>1</v>
      </c>
      <c r="U59" s="4">
        <v>0</v>
      </c>
      <c r="V59" s="4">
        <v>1</v>
      </c>
      <c r="W59" s="4">
        <v>1</v>
      </c>
      <c r="X59" s="14">
        <v>0</v>
      </c>
      <c r="Y59" s="4">
        <v>1</v>
      </c>
      <c r="Z59" s="4">
        <v>1</v>
      </c>
      <c r="AA59" s="4">
        <v>0</v>
      </c>
      <c r="AB59">
        <f t="shared" si="1"/>
        <v>17</v>
      </c>
      <c r="AC59" s="4">
        <v>24</v>
      </c>
      <c r="AD59" s="12">
        <f t="shared" si="0"/>
        <v>70.833333333333343</v>
      </c>
    </row>
    <row r="60" spans="2:30" ht="43.8" thickBot="1">
      <c r="B60" s="1" t="s">
        <v>103</v>
      </c>
      <c r="C60" s="2" t="s">
        <v>104</v>
      </c>
      <c r="D60" s="4">
        <v>0</v>
      </c>
      <c r="E60" s="4">
        <v>1</v>
      </c>
      <c r="F60" s="4">
        <v>0</v>
      </c>
      <c r="G60" s="4">
        <v>1</v>
      </c>
      <c r="H60" s="4">
        <v>0</v>
      </c>
      <c r="I60" s="4">
        <v>1</v>
      </c>
      <c r="J60" s="4">
        <v>1</v>
      </c>
      <c r="K60" s="4">
        <v>0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0</v>
      </c>
      <c r="S60" s="14">
        <v>1</v>
      </c>
      <c r="T60" s="4">
        <v>1</v>
      </c>
      <c r="U60" s="4">
        <v>1</v>
      </c>
      <c r="V60" s="4">
        <v>0</v>
      </c>
      <c r="W60" s="4">
        <v>1</v>
      </c>
      <c r="X60" s="14">
        <v>1</v>
      </c>
      <c r="Y60" s="4">
        <v>1</v>
      </c>
      <c r="Z60" s="4">
        <v>1</v>
      </c>
      <c r="AA60" s="4">
        <v>1</v>
      </c>
      <c r="AB60">
        <f t="shared" si="1"/>
        <v>18</v>
      </c>
      <c r="AC60" s="4">
        <v>24</v>
      </c>
      <c r="AD60" s="12">
        <f t="shared" si="0"/>
        <v>75</v>
      </c>
    </row>
    <row r="61" spans="2:30" ht="15" thickBot="1">
      <c r="B61" s="1" t="s">
        <v>161</v>
      </c>
      <c r="C61" s="2" t="s">
        <v>106</v>
      </c>
      <c r="D61" s="4">
        <v>0</v>
      </c>
      <c r="E61" s="4">
        <v>1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14">
        <v>1</v>
      </c>
      <c r="T61" s="4">
        <v>1</v>
      </c>
      <c r="U61" s="4">
        <v>1</v>
      </c>
      <c r="V61" s="4">
        <v>1</v>
      </c>
      <c r="W61" s="4">
        <v>1</v>
      </c>
      <c r="X61" s="14">
        <v>1</v>
      </c>
      <c r="Y61" s="4">
        <v>1</v>
      </c>
      <c r="Z61" s="4">
        <v>1</v>
      </c>
      <c r="AA61" s="4">
        <v>1</v>
      </c>
      <c r="AB61">
        <f t="shared" si="1"/>
        <v>18</v>
      </c>
      <c r="AC61" s="4">
        <v>24</v>
      </c>
      <c r="AD61" s="12">
        <f t="shared" si="0"/>
        <v>75</v>
      </c>
    </row>
    <row r="62" spans="2:30" ht="29.4" thickBot="1">
      <c r="B62" s="6" t="s">
        <v>162</v>
      </c>
      <c r="C62" s="7" t="s">
        <v>105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0</v>
      </c>
      <c r="M62" s="4">
        <v>0</v>
      </c>
      <c r="N62" s="4">
        <v>1</v>
      </c>
      <c r="O62" s="4">
        <v>1</v>
      </c>
      <c r="P62" s="4">
        <v>1</v>
      </c>
      <c r="Q62" s="4">
        <v>1</v>
      </c>
      <c r="R62" s="4">
        <v>0</v>
      </c>
      <c r="S62" s="14">
        <v>0</v>
      </c>
      <c r="T62" s="4">
        <v>1</v>
      </c>
      <c r="U62" s="4">
        <v>1</v>
      </c>
      <c r="V62" s="4">
        <v>1</v>
      </c>
      <c r="W62" s="4">
        <v>1</v>
      </c>
      <c r="X62" s="14">
        <v>1</v>
      </c>
      <c r="Y62" s="4">
        <v>1</v>
      </c>
      <c r="Z62" s="4">
        <v>1</v>
      </c>
      <c r="AA62" s="4">
        <v>1</v>
      </c>
      <c r="AB62">
        <f t="shared" si="1"/>
        <v>20</v>
      </c>
      <c r="AC62" s="4">
        <v>24</v>
      </c>
      <c r="AD62" s="12">
        <f t="shared" si="0"/>
        <v>83.333333333333343</v>
      </c>
    </row>
    <row r="63" spans="2:30" ht="15" thickBot="1">
      <c r="B63" s="1" t="s">
        <v>107</v>
      </c>
      <c r="C63" s="2" t="s">
        <v>108</v>
      </c>
      <c r="D63" s="4">
        <v>1</v>
      </c>
      <c r="E63" s="4">
        <v>1</v>
      </c>
      <c r="F63" s="4">
        <v>0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14">
        <v>1</v>
      </c>
      <c r="T63" s="4">
        <v>1</v>
      </c>
      <c r="U63" s="4">
        <v>1</v>
      </c>
      <c r="V63" s="4">
        <v>1</v>
      </c>
      <c r="W63" s="4">
        <v>1</v>
      </c>
      <c r="X63" s="14">
        <v>1</v>
      </c>
      <c r="Y63" s="4">
        <v>0</v>
      </c>
      <c r="Z63" s="4">
        <v>1</v>
      </c>
      <c r="AA63" s="4">
        <v>1</v>
      </c>
      <c r="AB63">
        <f t="shared" si="1"/>
        <v>22</v>
      </c>
      <c r="AC63" s="4">
        <v>24</v>
      </c>
      <c r="AD63" s="12">
        <f t="shared" si="0"/>
        <v>91.666666666666657</v>
      </c>
    </row>
    <row r="64" spans="2:30" ht="29.4" thickBot="1">
      <c r="B64" s="1" t="s">
        <v>109</v>
      </c>
      <c r="C64" s="2" t="s">
        <v>110</v>
      </c>
      <c r="D64" s="4">
        <v>1</v>
      </c>
      <c r="E64" s="4">
        <v>1</v>
      </c>
      <c r="F64" s="4">
        <v>0</v>
      </c>
      <c r="G64" s="4">
        <v>0</v>
      </c>
      <c r="H64" s="4">
        <v>0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0</v>
      </c>
      <c r="R64" s="4">
        <v>0</v>
      </c>
      <c r="S64" s="14">
        <v>1</v>
      </c>
      <c r="T64" s="4">
        <v>1</v>
      </c>
      <c r="U64" s="4">
        <v>0</v>
      </c>
      <c r="V64" s="4">
        <v>1</v>
      </c>
      <c r="W64" s="4">
        <v>1</v>
      </c>
      <c r="X64" s="14">
        <v>1</v>
      </c>
      <c r="Y64" s="4">
        <v>1</v>
      </c>
      <c r="Z64" s="4">
        <v>1</v>
      </c>
      <c r="AA64" s="4">
        <v>1</v>
      </c>
      <c r="AB64">
        <f t="shared" si="1"/>
        <v>18</v>
      </c>
      <c r="AC64" s="4">
        <v>24</v>
      </c>
      <c r="AD64" s="12">
        <f t="shared" si="0"/>
        <v>75</v>
      </c>
    </row>
    <row r="65" spans="2:30" ht="15" thickBot="1">
      <c r="B65" s="1" t="s">
        <v>111</v>
      </c>
      <c r="C65" s="2" t="s">
        <v>112</v>
      </c>
      <c r="D65" s="4">
        <v>0</v>
      </c>
      <c r="E65" s="4">
        <v>0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0</v>
      </c>
      <c r="L65" s="4">
        <v>0</v>
      </c>
      <c r="M65" s="4">
        <v>1</v>
      </c>
      <c r="N65" s="4">
        <v>1</v>
      </c>
      <c r="O65" s="4">
        <v>0</v>
      </c>
      <c r="P65" s="4">
        <v>1</v>
      </c>
      <c r="Q65" s="4">
        <v>1</v>
      </c>
      <c r="R65" s="4">
        <v>1</v>
      </c>
      <c r="S65" s="14">
        <v>1</v>
      </c>
      <c r="T65" s="4">
        <v>1</v>
      </c>
      <c r="U65" s="4">
        <v>1</v>
      </c>
      <c r="V65" s="4">
        <v>0</v>
      </c>
      <c r="W65" s="4">
        <v>1</v>
      </c>
      <c r="X65" s="14">
        <v>1</v>
      </c>
      <c r="Y65" s="4">
        <v>1</v>
      </c>
      <c r="Z65" s="4">
        <v>1</v>
      </c>
      <c r="AA65" s="4">
        <v>0</v>
      </c>
      <c r="AB65">
        <f t="shared" si="1"/>
        <v>17</v>
      </c>
      <c r="AC65" s="4">
        <v>24</v>
      </c>
      <c r="AD65" s="12">
        <f t="shared" si="0"/>
        <v>70.833333333333343</v>
      </c>
    </row>
    <row r="66" spans="2:30" ht="15" thickBot="1">
      <c r="B66" s="1" t="s">
        <v>113</v>
      </c>
      <c r="C66" s="2" t="s">
        <v>114</v>
      </c>
      <c r="D66" s="4">
        <v>1</v>
      </c>
      <c r="E66" s="4">
        <v>1</v>
      </c>
      <c r="F66" s="4">
        <v>0</v>
      </c>
      <c r="G66" s="4">
        <v>1</v>
      </c>
      <c r="H66" s="4">
        <v>1</v>
      </c>
      <c r="I66" s="4">
        <v>1</v>
      </c>
      <c r="J66" s="4">
        <v>1</v>
      </c>
      <c r="K66" s="4">
        <v>0</v>
      </c>
      <c r="L66" s="4">
        <v>0</v>
      </c>
      <c r="M66" s="4">
        <v>0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14">
        <v>0</v>
      </c>
      <c r="T66" s="4">
        <v>1</v>
      </c>
      <c r="U66" s="4">
        <v>1</v>
      </c>
      <c r="V66" s="4">
        <v>1</v>
      </c>
      <c r="W66" s="4">
        <v>1</v>
      </c>
      <c r="X66" s="14">
        <v>1</v>
      </c>
      <c r="Y66" s="4">
        <v>1</v>
      </c>
      <c r="Z66" s="4">
        <v>0</v>
      </c>
      <c r="AA66" s="4">
        <v>1</v>
      </c>
      <c r="AB66">
        <f t="shared" si="1"/>
        <v>18</v>
      </c>
      <c r="AC66" s="4">
        <v>24</v>
      </c>
      <c r="AD66" s="12">
        <f t="shared" si="0"/>
        <v>75</v>
      </c>
    </row>
    <row r="67" spans="2:30" ht="29.4" thickBot="1">
      <c r="B67" s="1" t="s">
        <v>115</v>
      </c>
      <c r="C67" s="2" t="s">
        <v>116</v>
      </c>
      <c r="D67" s="4">
        <v>0</v>
      </c>
      <c r="E67" s="4">
        <v>1</v>
      </c>
      <c r="F67" s="4">
        <v>1</v>
      </c>
      <c r="G67" s="4">
        <v>0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0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14">
        <v>1</v>
      </c>
      <c r="T67" s="4">
        <v>1</v>
      </c>
      <c r="U67" s="4">
        <v>1</v>
      </c>
      <c r="V67" s="4">
        <v>1</v>
      </c>
      <c r="W67" s="4">
        <v>0</v>
      </c>
      <c r="X67" s="14">
        <v>0</v>
      </c>
      <c r="Y67" s="4">
        <v>0</v>
      </c>
      <c r="Z67" s="4">
        <v>1</v>
      </c>
      <c r="AA67" s="4">
        <v>1</v>
      </c>
      <c r="AB67">
        <f t="shared" si="1"/>
        <v>18</v>
      </c>
      <c r="AC67" s="4">
        <v>24</v>
      </c>
      <c r="AD67" s="12">
        <f t="shared" si="0"/>
        <v>75</v>
      </c>
    </row>
    <row r="68" spans="2:30" ht="15" thickBot="1">
      <c r="B68" s="1" t="s">
        <v>117</v>
      </c>
      <c r="C68" s="2" t="s">
        <v>118</v>
      </c>
      <c r="D68" s="4">
        <v>0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0</v>
      </c>
      <c r="O68" s="4">
        <v>1</v>
      </c>
      <c r="P68" s="4">
        <v>1</v>
      </c>
      <c r="Q68" s="4">
        <v>1</v>
      </c>
      <c r="R68" s="4">
        <v>0</v>
      </c>
      <c r="S68" s="14">
        <v>0</v>
      </c>
      <c r="T68" s="4">
        <v>1</v>
      </c>
      <c r="U68" s="4">
        <v>1</v>
      </c>
      <c r="V68" s="4">
        <v>1</v>
      </c>
      <c r="W68" s="4">
        <v>1</v>
      </c>
      <c r="X68" s="14">
        <v>0</v>
      </c>
      <c r="Y68" s="4">
        <v>1</v>
      </c>
      <c r="Z68" s="4">
        <v>1</v>
      </c>
      <c r="AA68" s="4">
        <v>1</v>
      </c>
      <c r="AB68">
        <f t="shared" si="1"/>
        <v>19</v>
      </c>
      <c r="AC68" s="4">
        <v>24</v>
      </c>
      <c r="AD68" s="12">
        <f t="shared" si="0"/>
        <v>79.166666666666657</v>
      </c>
    </row>
    <row r="69" spans="2:30" ht="15" thickBot="1">
      <c r="B69" s="1" t="s">
        <v>119</v>
      </c>
      <c r="C69" s="2" t="s">
        <v>120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0</v>
      </c>
      <c r="O69" s="4">
        <v>0</v>
      </c>
      <c r="P69" s="4">
        <v>1</v>
      </c>
      <c r="Q69" s="4">
        <v>1</v>
      </c>
      <c r="R69" s="4">
        <v>1</v>
      </c>
      <c r="S69" s="14">
        <v>1</v>
      </c>
      <c r="T69" s="4">
        <v>0</v>
      </c>
      <c r="U69" s="4">
        <v>1</v>
      </c>
      <c r="V69" s="4">
        <v>1</v>
      </c>
      <c r="W69" s="4">
        <v>1</v>
      </c>
      <c r="X69" s="14">
        <v>1</v>
      </c>
      <c r="Y69" s="4">
        <v>1</v>
      </c>
      <c r="Z69" s="4">
        <v>1</v>
      </c>
      <c r="AA69" s="4">
        <v>1</v>
      </c>
      <c r="AB69">
        <f t="shared" si="1"/>
        <v>21</v>
      </c>
      <c r="AC69" s="4">
        <v>24</v>
      </c>
      <c r="AD69" s="12">
        <f t="shared" si="0"/>
        <v>87.5</v>
      </c>
    </row>
    <row r="70" spans="2:30" ht="29.4" thickBot="1">
      <c r="B70" s="1" t="s">
        <v>121</v>
      </c>
      <c r="C70" s="2" t="s">
        <v>122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0</v>
      </c>
      <c r="Q70" s="4">
        <v>1</v>
      </c>
      <c r="R70" s="16">
        <v>1</v>
      </c>
      <c r="S70" s="14">
        <v>1</v>
      </c>
      <c r="T70" s="4">
        <v>0</v>
      </c>
      <c r="U70" s="4">
        <v>1</v>
      </c>
      <c r="V70" s="4">
        <v>1</v>
      </c>
      <c r="W70" s="4">
        <v>1</v>
      </c>
      <c r="X70" s="14">
        <v>1</v>
      </c>
      <c r="Y70" s="4">
        <v>1</v>
      </c>
      <c r="Z70" s="4">
        <v>1</v>
      </c>
      <c r="AA70" s="4">
        <v>0</v>
      </c>
      <c r="AB70">
        <f t="shared" si="1"/>
        <v>17</v>
      </c>
      <c r="AC70" s="4">
        <v>24</v>
      </c>
      <c r="AD70" s="12">
        <f t="shared" si="0"/>
        <v>70.833333333333343</v>
      </c>
    </row>
    <row r="71" spans="2:30" ht="15" thickBot="1">
      <c r="B71" s="1" t="s">
        <v>123</v>
      </c>
      <c r="C71" s="2" t="s">
        <v>124</v>
      </c>
      <c r="D71" s="4">
        <v>1</v>
      </c>
      <c r="E71" s="4">
        <v>0</v>
      </c>
      <c r="F71" s="4">
        <v>1</v>
      </c>
      <c r="G71" s="4">
        <v>1</v>
      </c>
      <c r="H71" s="4">
        <v>1</v>
      </c>
      <c r="I71" s="4">
        <v>1</v>
      </c>
      <c r="J71" s="4">
        <v>0</v>
      </c>
      <c r="K71" s="4">
        <v>0</v>
      </c>
      <c r="L71" s="4">
        <v>0</v>
      </c>
      <c r="M71" s="4">
        <v>1</v>
      </c>
      <c r="N71" s="4">
        <v>1</v>
      </c>
      <c r="O71" s="4">
        <v>1</v>
      </c>
      <c r="P71" s="4">
        <v>1</v>
      </c>
      <c r="Q71" s="4">
        <v>0</v>
      </c>
      <c r="R71" s="4">
        <v>1</v>
      </c>
      <c r="S71" s="14">
        <v>1</v>
      </c>
      <c r="T71" s="4">
        <v>1</v>
      </c>
      <c r="U71" s="4">
        <v>1</v>
      </c>
      <c r="V71" s="4">
        <v>1</v>
      </c>
      <c r="W71" s="4">
        <v>1</v>
      </c>
      <c r="X71" s="14">
        <v>1</v>
      </c>
      <c r="Y71" s="4">
        <v>1</v>
      </c>
      <c r="Z71" s="4">
        <v>1</v>
      </c>
      <c r="AA71" s="4">
        <v>0</v>
      </c>
      <c r="AB71">
        <f t="shared" si="1"/>
        <v>18</v>
      </c>
      <c r="AC71" s="4">
        <v>24</v>
      </c>
      <c r="AD71" s="12">
        <f t="shared" si="0"/>
        <v>75</v>
      </c>
    </row>
    <row r="72" spans="2:30" ht="15" thickBot="1">
      <c r="B72" s="1" t="s">
        <v>125</v>
      </c>
      <c r="C72" s="2" t="s">
        <v>126</v>
      </c>
      <c r="D72" s="4">
        <v>1</v>
      </c>
      <c r="E72" s="4">
        <v>1</v>
      </c>
      <c r="F72" s="4">
        <v>1</v>
      </c>
      <c r="G72" s="4">
        <v>0</v>
      </c>
      <c r="H72" s="4">
        <v>1</v>
      </c>
      <c r="I72" s="4">
        <v>1</v>
      </c>
      <c r="J72" s="4">
        <v>0</v>
      </c>
      <c r="K72" s="4">
        <v>0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14">
        <v>1</v>
      </c>
      <c r="T72" s="4">
        <v>1</v>
      </c>
      <c r="U72" s="4">
        <v>1</v>
      </c>
      <c r="V72" s="4">
        <v>1</v>
      </c>
      <c r="W72" s="4">
        <v>1</v>
      </c>
      <c r="X72" s="14">
        <v>0</v>
      </c>
      <c r="Y72" s="4">
        <v>1</v>
      </c>
      <c r="Z72" s="4">
        <v>1</v>
      </c>
      <c r="AA72" s="4">
        <v>1</v>
      </c>
      <c r="AB72">
        <f t="shared" si="1"/>
        <v>20</v>
      </c>
      <c r="AC72" s="4">
        <v>24</v>
      </c>
      <c r="AD72" s="12">
        <f t="shared" si="0"/>
        <v>83.333333333333343</v>
      </c>
    </row>
    <row r="73" spans="2:30" ht="29.4" thickBot="1">
      <c r="B73" s="1" t="s">
        <v>127</v>
      </c>
      <c r="C73" s="2" t="s">
        <v>128</v>
      </c>
      <c r="D73" s="4">
        <v>1</v>
      </c>
      <c r="E73" s="4">
        <v>0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0</v>
      </c>
      <c r="L73" s="4">
        <v>0</v>
      </c>
      <c r="M73" s="4">
        <v>0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14">
        <v>0</v>
      </c>
      <c r="T73" s="4">
        <v>0</v>
      </c>
      <c r="U73" s="4">
        <v>1</v>
      </c>
      <c r="V73" s="4">
        <v>1</v>
      </c>
      <c r="W73" s="4">
        <v>1</v>
      </c>
      <c r="X73" s="14">
        <v>1</v>
      </c>
      <c r="Y73" s="4">
        <v>1</v>
      </c>
      <c r="Z73" s="4">
        <v>1</v>
      </c>
      <c r="AA73" s="4">
        <v>0</v>
      </c>
      <c r="AB73">
        <f t="shared" si="1"/>
        <v>17</v>
      </c>
      <c r="AC73" s="4">
        <v>24</v>
      </c>
      <c r="AD73" s="12">
        <f t="shared" si="0"/>
        <v>70.833333333333343</v>
      </c>
    </row>
    <row r="74" spans="2:30" ht="15" thickBot="1">
      <c r="B74" s="1" t="s">
        <v>129</v>
      </c>
      <c r="C74" s="2" t="s">
        <v>130</v>
      </c>
      <c r="D74" s="4">
        <v>1</v>
      </c>
      <c r="E74" s="4">
        <v>0</v>
      </c>
      <c r="F74" s="4">
        <v>1</v>
      </c>
      <c r="G74" s="4">
        <v>1</v>
      </c>
      <c r="H74" s="4">
        <v>1</v>
      </c>
      <c r="I74" s="4">
        <v>1</v>
      </c>
      <c r="J74" s="4">
        <v>0</v>
      </c>
      <c r="K74" s="4">
        <v>0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14">
        <v>1</v>
      </c>
      <c r="T74" s="4">
        <v>1</v>
      </c>
      <c r="U74" s="4">
        <v>1</v>
      </c>
      <c r="V74" s="4">
        <v>1</v>
      </c>
      <c r="W74" s="4">
        <v>1</v>
      </c>
      <c r="X74" s="14">
        <v>0</v>
      </c>
      <c r="Y74" s="4">
        <v>1</v>
      </c>
      <c r="Z74" s="4">
        <v>1</v>
      </c>
      <c r="AA74" s="4">
        <v>0</v>
      </c>
      <c r="AB74">
        <f t="shared" si="1"/>
        <v>19</v>
      </c>
      <c r="AC74" s="4">
        <v>24</v>
      </c>
      <c r="AD74" s="12">
        <f t="shared" si="0"/>
        <v>79.166666666666657</v>
      </c>
    </row>
    <row r="75" spans="2:30" ht="15" thickBot="1">
      <c r="B75" s="1" t="s">
        <v>131</v>
      </c>
      <c r="C75" s="2" t="s">
        <v>132</v>
      </c>
      <c r="D75" s="4">
        <v>0</v>
      </c>
      <c r="E75" s="4">
        <v>0</v>
      </c>
      <c r="F75" s="4">
        <v>1</v>
      </c>
      <c r="G75" s="4">
        <v>1</v>
      </c>
      <c r="H75" s="4">
        <v>1</v>
      </c>
      <c r="I75" s="4">
        <v>1</v>
      </c>
      <c r="J75" s="4">
        <v>0</v>
      </c>
      <c r="K75" s="4">
        <v>0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14">
        <v>1</v>
      </c>
      <c r="T75" s="4">
        <v>1</v>
      </c>
      <c r="U75" s="4">
        <v>1</v>
      </c>
      <c r="V75" s="4">
        <v>0</v>
      </c>
      <c r="W75" s="4">
        <v>1</v>
      </c>
      <c r="X75" s="14">
        <v>1</v>
      </c>
      <c r="Y75" s="4">
        <v>1</v>
      </c>
      <c r="Z75" s="4">
        <v>0</v>
      </c>
      <c r="AA75" s="4">
        <v>0</v>
      </c>
      <c r="AB75">
        <f t="shared" si="1"/>
        <v>17</v>
      </c>
      <c r="AC75" s="4">
        <v>24</v>
      </c>
      <c r="AD75" s="12">
        <f t="shared" ref="AD75:AD89" si="2">AB75/AC75 *100</f>
        <v>70.833333333333343</v>
      </c>
    </row>
    <row r="76" spans="2:30" ht="15" thickBot="1">
      <c r="B76" s="1" t="s">
        <v>133</v>
      </c>
      <c r="C76" s="2" t="s">
        <v>134</v>
      </c>
      <c r="D76" s="4">
        <v>0</v>
      </c>
      <c r="E76" s="4">
        <v>0</v>
      </c>
      <c r="F76" s="4">
        <v>0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14">
        <v>1</v>
      </c>
      <c r="T76" s="4">
        <v>1</v>
      </c>
      <c r="U76" s="4">
        <v>1</v>
      </c>
      <c r="V76" s="4">
        <v>0</v>
      </c>
      <c r="W76" s="4">
        <v>1</v>
      </c>
      <c r="X76" s="14">
        <v>1</v>
      </c>
      <c r="Y76" s="4">
        <v>0</v>
      </c>
      <c r="Z76" s="4">
        <v>0</v>
      </c>
      <c r="AA76" s="4">
        <v>0</v>
      </c>
      <c r="AB76">
        <f t="shared" si="1"/>
        <v>17</v>
      </c>
      <c r="AC76" s="4">
        <v>24</v>
      </c>
      <c r="AD76" s="12">
        <f t="shared" si="2"/>
        <v>70.833333333333343</v>
      </c>
    </row>
    <row r="77" spans="2:30" ht="15" thickBot="1">
      <c r="B77" s="1" t="s">
        <v>135</v>
      </c>
      <c r="C77" s="2" t="s">
        <v>136</v>
      </c>
      <c r="D77" s="4">
        <v>0</v>
      </c>
      <c r="E77" s="4">
        <v>1</v>
      </c>
      <c r="F77" s="4">
        <v>0</v>
      </c>
      <c r="G77" s="4">
        <v>1</v>
      </c>
      <c r="H77" s="4">
        <v>1</v>
      </c>
      <c r="I77" s="4">
        <v>1</v>
      </c>
      <c r="J77" s="4">
        <v>1</v>
      </c>
      <c r="K77" s="4">
        <v>0</v>
      </c>
      <c r="L77" s="4">
        <v>0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15">
        <v>1</v>
      </c>
      <c r="T77" s="4">
        <v>0</v>
      </c>
      <c r="U77" s="4">
        <v>1</v>
      </c>
      <c r="V77" s="4">
        <v>1</v>
      </c>
      <c r="W77" s="4">
        <v>1</v>
      </c>
      <c r="X77" s="14">
        <v>1</v>
      </c>
      <c r="Y77" s="4">
        <v>1</v>
      </c>
      <c r="Z77" s="4">
        <v>0</v>
      </c>
      <c r="AA77" s="4">
        <v>1</v>
      </c>
      <c r="AB77">
        <f t="shared" ref="AB77:AB89" si="3">SUM(D77:AA77)</f>
        <v>18</v>
      </c>
      <c r="AC77" s="4">
        <v>24</v>
      </c>
      <c r="AD77" s="12">
        <f t="shared" si="2"/>
        <v>75</v>
      </c>
    </row>
    <row r="78" spans="2:30" ht="15" thickBot="1">
      <c r="B78" s="1" t="s">
        <v>137</v>
      </c>
      <c r="C78" s="2" t="s">
        <v>138</v>
      </c>
      <c r="D78" s="4">
        <v>1</v>
      </c>
      <c r="E78" s="4">
        <v>1</v>
      </c>
      <c r="F78" s="4">
        <v>1</v>
      </c>
      <c r="G78" s="4">
        <v>0</v>
      </c>
      <c r="H78" s="4">
        <v>1</v>
      </c>
      <c r="I78" s="4">
        <v>1</v>
      </c>
      <c r="J78" s="4">
        <v>0</v>
      </c>
      <c r="K78" s="4">
        <v>0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14">
        <v>1</v>
      </c>
      <c r="T78" s="4">
        <v>1</v>
      </c>
      <c r="U78" s="4">
        <v>1</v>
      </c>
      <c r="V78" s="4">
        <v>1</v>
      </c>
      <c r="W78" s="4">
        <v>1</v>
      </c>
      <c r="X78" s="14">
        <v>1</v>
      </c>
      <c r="Y78" s="14">
        <v>1</v>
      </c>
      <c r="Z78" s="14">
        <v>1</v>
      </c>
      <c r="AA78" s="4">
        <v>1</v>
      </c>
      <c r="AB78">
        <f t="shared" si="3"/>
        <v>21</v>
      </c>
      <c r="AC78" s="4">
        <v>24</v>
      </c>
      <c r="AD78" s="12">
        <f t="shared" si="2"/>
        <v>87.5</v>
      </c>
    </row>
    <row r="79" spans="2:30" ht="15" thickBot="1">
      <c r="B79" s="1" t="s">
        <v>139</v>
      </c>
      <c r="C79" s="2" t="s">
        <v>140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0</v>
      </c>
      <c r="K79" s="4">
        <v>0</v>
      </c>
      <c r="L79" s="4">
        <v>0</v>
      </c>
      <c r="M79" s="4">
        <v>1</v>
      </c>
      <c r="N79" s="4">
        <v>1</v>
      </c>
      <c r="O79" s="4">
        <v>1</v>
      </c>
      <c r="P79" s="4">
        <v>1</v>
      </c>
      <c r="Q79" s="4">
        <v>0</v>
      </c>
      <c r="R79" s="4">
        <v>1</v>
      </c>
      <c r="S79" s="14">
        <v>1</v>
      </c>
      <c r="T79" s="4">
        <v>1</v>
      </c>
      <c r="U79" s="4">
        <v>1</v>
      </c>
      <c r="V79" s="4">
        <v>1</v>
      </c>
      <c r="W79" s="4">
        <v>1</v>
      </c>
      <c r="X79" s="14">
        <v>0</v>
      </c>
      <c r="Y79" s="14">
        <v>1</v>
      </c>
      <c r="Z79" s="14">
        <v>0</v>
      </c>
      <c r="AA79" s="4">
        <v>1</v>
      </c>
      <c r="AB79">
        <f t="shared" si="3"/>
        <v>18</v>
      </c>
      <c r="AC79" s="4">
        <v>24</v>
      </c>
      <c r="AD79" s="12">
        <f t="shared" si="2"/>
        <v>75</v>
      </c>
    </row>
    <row r="80" spans="2:30" ht="15" thickBot="1">
      <c r="B80" s="1" t="s">
        <v>141</v>
      </c>
      <c r="C80" s="2" t="s">
        <v>142</v>
      </c>
      <c r="D80" s="4">
        <v>0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0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0</v>
      </c>
      <c r="R80" s="4">
        <v>1</v>
      </c>
      <c r="S80" s="14">
        <v>0</v>
      </c>
      <c r="T80" s="4">
        <v>1</v>
      </c>
      <c r="U80" s="4">
        <v>1</v>
      </c>
      <c r="V80" s="4">
        <v>1</v>
      </c>
      <c r="W80" s="4">
        <v>1</v>
      </c>
      <c r="X80" s="14">
        <v>1</v>
      </c>
      <c r="Y80" s="14">
        <v>1</v>
      </c>
      <c r="Z80" s="14">
        <v>1</v>
      </c>
      <c r="AA80" s="4">
        <v>1</v>
      </c>
      <c r="AB80">
        <f t="shared" si="3"/>
        <v>20</v>
      </c>
      <c r="AC80" s="4">
        <v>24</v>
      </c>
      <c r="AD80" s="12">
        <f t="shared" si="2"/>
        <v>83.333333333333343</v>
      </c>
    </row>
    <row r="81" spans="2:30" ht="15" thickBot="1">
      <c r="B81" s="1" t="s">
        <v>143</v>
      </c>
      <c r="C81" s="2" t="s">
        <v>144</v>
      </c>
      <c r="D81" s="4">
        <v>0</v>
      </c>
      <c r="E81" s="4">
        <v>1</v>
      </c>
      <c r="F81" s="4">
        <v>0</v>
      </c>
      <c r="G81" s="4">
        <v>1</v>
      </c>
      <c r="H81" s="4">
        <v>0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14">
        <v>1</v>
      </c>
      <c r="T81" s="4">
        <v>1</v>
      </c>
      <c r="U81" s="4">
        <v>0</v>
      </c>
      <c r="V81" s="4">
        <v>0</v>
      </c>
      <c r="W81" s="4">
        <v>1</v>
      </c>
      <c r="X81" s="14">
        <v>1</v>
      </c>
      <c r="Y81" s="14">
        <v>1</v>
      </c>
      <c r="Z81" s="14">
        <v>1</v>
      </c>
      <c r="AA81" s="4">
        <v>1</v>
      </c>
      <c r="AB81">
        <f t="shared" si="3"/>
        <v>19</v>
      </c>
      <c r="AC81" s="4">
        <v>24</v>
      </c>
      <c r="AD81" s="12">
        <f t="shared" si="2"/>
        <v>79.166666666666657</v>
      </c>
    </row>
    <row r="82" spans="2:30" ht="15" thickBot="1">
      <c r="B82" s="1" t="s">
        <v>145</v>
      </c>
      <c r="C82" s="2" t="s">
        <v>146</v>
      </c>
      <c r="D82" s="4">
        <v>0</v>
      </c>
      <c r="E82" s="4">
        <v>1</v>
      </c>
      <c r="F82" s="4">
        <v>1</v>
      </c>
      <c r="G82" s="4">
        <v>1</v>
      </c>
      <c r="H82" s="4">
        <v>1</v>
      </c>
      <c r="I82" s="4">
        <v>0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0</v>
      </c>
      <c r="S82" s="14">
        <v>1</v>
      </c>
      <c r="T82" s="4">
        <v>1</v>
      </c>
      <c r="U82" s="4">
        <v>1</v>
      </c>
      <c r="V82" s="4">
        <v>1</v>
      </c>
      <c r="W82" s="4">
        <v>1</v>
      </c>
      <c r="X82" s="14">
        <v>0</v>
      </c>
      <c r="Y82" s="14">
        <v>0</v>
      </c>
      <c r="Z82" s="14">
        <v>1</v>
      </c>
      <c r="AA82" s="4">
        <v>1</v>
      </c>
      <c r="AB82">
        <f t="shared" si="3"/>
        <v>19</v>
      </c>
      <c r="AC82" s="4">
        <v>24</v>
      </c>
      <c r="AD82" s="12">
        <f t="shared" si="2"/>
        <v>79.166666666666657</v>
      </c>
    </row>
    <row r="83" spans="2:30" ht="15" thickBot="1">
      <c r="B83" s="1" t="s">
        <v>147</v>
      </c>
      <c r="C83" s="2" t="s">
        <v>148</v>
      </c>
      <c r="D83" s="4">
        <v>0</v>
      </c>
      <c r="E83" s="4">
        <v>1</v>
      </c>
      <c r="F83" s="4">
        <v>0</v>
      </c>
      <c r="G83" s="4">
        <v>1</v>
      </c>
      <c r="H83" s="4">
        <v>1</v>
      </c>
      <c r="I83" s="4">
        <v>1</v>
      </c>
      <c r="J83" s="4">
        <v>0</v>
      </c>
      <c r="K83" s="4">
        <v>0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14">
        <v>1</v>
      </c>
      <c r="T83" s="4">
        <v>1</v>
      </c>
      <c r="U83" s="4">
        <v>1</v>
      </c>
      <c r="V83" s="4">
        <v>1</v>
      </c>
      <c r="W83" s="4">
        <v>1</v>
      </c>
      <c r="X83" s="14">
        <v>1</v>
      </c>
      <c r="Y83" s="14">
        <v>1</v>
      </c>
      <c r="Z83" s="14">
        <v>1</v>
      </c>
      <c r="AA83" s="4">
        <v>1</v>
      </c>
      <c r="AB83">
        <f t="shared" si="3"/>
        <v>20</v>
      </c>
      <c r="AC83" s="4">
        <v>24</v>
      </c>
      <c r="AD83" s="12">
        <f t="shared" si="2"/>
        <v>83.333333333333343</v>
      </c>
    </row>
    <row r="84" spans="2:30" ht="15" thickBot="1">
      <c r="B84" s="1" t="s">
        <v>149</v>
      </c>
      <c r="C84" s="2" t="s">
        <v>150</v>
      </c>
      <c r="D84" s="4">
        <v>1</v>
      </c>
      <c r="E84" s="4">
        <v>1</v>
      </c>
      <c r="F84" s="4">
        <v>0</v>
      </c>
      <c r="G84" s="4">
        <v>1</v>
      </c>
      <c r="H84" s="4">
        <v>1</v>
      </c>
      <c r="I84" s="4">
        <v>1</v>
      </c>
      <c r="J84" s="4">
        <v>0</v>
      </c>
      <c r="K84" s="4">
        <v>0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14">
        <v>0</v>
      </c>
      <c r="T84" s="4">
        <v>1</v>
      </c>
      <c r="U84" s="4">
        <v>1</v>
      </c>
      <c r="V84" s="4">
        <v>1</v>
      </c>
      <c r="W84" s="4">
        <v>1</v>
      </c>
      <c r="X84" s="14">
        <v>1</v>
      </c>
      <c r="Y84" s="14">
        <v>1</v>
      </c>
      <c r="Z84" s="14">
        <v>1</v>
      </c>
      <c r="AA84" s="4">
        <v>1</v>
      </c>
      <c r="AB84">
        <f t="shared" si="3"/>
        <v>20</v>
      </c>
      <c r="AC84" s="4">
        <v>24</v>
      </c>
      <c r="AD84" s="12">
        <f t="shared" si="2"/>
        <v>83.333333333333343</v>
      </c>
    </row>
    <row r="85" spans="2:30" ht="15" thickBot="1">
      <c r="B85" s="1" t="s">
        <v>151</v>
      </c>
      <c r="C85" s="2" t="s">
        <v>152</v>
      </c>
      <c r="D85" s="4">
        <v>0</v>
      </c>
      <c r="E85" s="4">
        <v>1</v>
      </c>
      <c r="F85" s="4">
        <v>0</v>
      </c>
      <c r="G85" s="16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14">
        <v>1</v>
      </c>
      <c r="T85" s="4">
        <v>1</v>
      </c>
      <c r="U85" s="4">
        <v>1</v>
      </c>
      <c r="V85" s="4">
        <v>0</v>
      </c>
      <c r="W85" s="4">
        <v>1</v>
      </c>
      <c r="X85" s="14">
        <v>0</v>
      </c>
      <c r="Y85" s="14">
        <v>0</v>
      </c>
      <c r="Z85" s="14">
        <v>0</v>
      </c>
      <c r="AA85" s="4">
        <v>1</v>
      </c>
      <c r="AB85">
        <f t="shared" si="3"/>
        <v>18</v>
      </c>
      <c r="AC85" s="4">
        <v>24</v>
      </c>
      <c r="AD85" s="12">
        <f t="shared" si="2"/>
        <v>75</v>
      </c>
    </row>
    <row r="86" spans="2:30" ht="15" thickBot="1">
      <c r="B86" s="1" t="s">
        <v>153</v>
      </c>
      <c r="C86" s="2" t="s">
        <v>154</v>
      </c>
      <c r="D86" s="4">
        <v>0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0</v>
      </c>
      <c r="K86" s="4">
        <v>0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0</v>
      </c>
      <c r="R86" s="4">
        <v>1</v>
      </c>
      <c r="S86" s="14">
        <v>1</v>
      </c>
      <c r="T86" s="4">
        <v>1</v>
      </c>
      <c r="U86" s="4">
        <v>1</v>
      </c>
      <c r="V86" s="4">
        <v>1</v>
      </c>
      <c r="W86" s="4">
        <v>1</v>
      </c>
      <c r="X86" s="14">
        <v>0</v>
      </c>
      <c r="Y86" s="4">
        <v>1</v>
      </c>
      <c r="Z86" s="14">
        <v>1</v>
      </c>
      <c r="AA86" s="4">
        <v>1</v>
      </c>
      <c r="AB86">
        <f t="shared" si="3"/>
        <v>19</v>
      </c>
      <c r="AC86" s="4">
        <v>24</v>
      </c>
      <c r="AD86" s="12">
        <f t="shared" si="2"/>
        <v>79.166666666666657</v>
      </c>
    </row>
    <row r="87" spans="2:30">
      <c r="B87" s="9" t="s">
        <v>155</v>
      </c>
      <c r="C87" s="10" t="s">
        <v>156</v>
      </c>
      <c r="D87" s="4">
        <v>0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0</v>
      </c>
      <c r="K87" s="4">
        <v>0</v>
      </c>
      <c r="L87" s="4">
        <v>0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14">
        <v>0</v>
      </c>
      <c r="T87" s="4">
        <v>1</v>
      </c>
      <c r="U87" s="4">
        <v>1</v>
      </c>
      <c r="V87" s="4">
        <v>1</v>
      </c>
      <c r="W87" s="4">
        <v>1</v>
      </c>
      <c r="X87" s="14">
        <v>1</v>
      </c>
      <c r="Y87" s="14">
        <v>1</v>
      </c>
      <c r="Z87" s="14">
        <v>1</v>
      </c>
      <c r="AA87" s="4">
        <v>1</v>
      </c>
      <c r="AB87">
        <f t="shared" si="3"/>
        <v>19</v>
      </c>
      <c r="AC87" s="4">
        <v>24</v>
      </c>
      <c r="AD87" s="12">
        <f t="shared" si="2"/>
        <v>79.166666666666657</v>
      </c>
    </row>
    <row r="88" spans="2:30">
      <c r="B88" s="11" t="s">
        <v>163</v>
      </c>
      <c r="C88" s="11" t="s">
        <v>164</v>
      </c>
      <c r="D88" s="4">
        <v>0</v>
      </c>
      <c r="E88" s="4">
        <v>0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15">
        <v>1</v>
      </c>
      <c r="T88" s="4">
        <v>1</v>
      </c>
      <c r="U88" s="4">
        <v>1</v>
      </c>
      <c r="V88" s="4">
        <v>1</v>
      </c>
      <c r="W88" s="4">
        <v>1</v>
      </c>
      <c r="X88" s="14">
        <v>0</v>
      </c>
      <c r="Y88" s="14">
        <v>0</v>
      </c>
      <c r="Z88" s="14">
        <v>1</v>
      </c>
      <c r="AA88" s="4">
        <v>1</v>
      </c>
      <c r="AB88">
        <f t="shared" si="3"/>
        <v>20</v>
      </c>
      <c r="AC88" s="4">
        <v>24</v>
      </c>
      <c r="AD88" s="12">
        <f t="shared" si="2"/>
        <v>83.333333333333343</v>
      </c>
    </row>
    <row r="89" spans="2:30">
      <c r="B89" s="11" t="s">
        <v>165</v>
      </c>
      <c r="C89" s="11" t="s">
        <v>166</v>
      </c>
      <c r="D89" s="4">
        <v>0</v>
      </c>
      <c r="E89" s="4">
        <v>0</v>
      </c>
      <c r="F89" s="4">
        <v>1</v>
      </c>
      <c r="G89" s="4">
        <v>1</v>
      </c>
      <c r="H89" s="4">
        <v>1</v>
      </c>
      <c r="I89" s="4">
        <v>1</v>
      </c>
      <c r="J89" s="16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0</v>
      </c>
      <c r="Q89" s="4">
        <v>0</v>
      </c>
      <c r="R89" s="4">
        <v>1</v>
      </c>
      <c r="S89" s="14">
        <v>1</v>
      </c>
      <c r="T89" s="4">
        <v>1</v>
      </c>
      <c r="U89" s="4">
        <v>1</v>
      </c>
      <c r="V89" s="4">
        <v>1</v>
      </c>
      <c r="W89" s="4">
        <v>1</v>
      </c>
      <c r="X89" s="14">
        <v>0</v>
      </c>
      <c r="Y89" s="4">
        <v>1</v>
      </c>
      <c r="Z89" s="4">
        <v>1</v>
      </c>
      <c r="AA89" s="4">
        <v>1</v>
      </c>
      <c r="AB89">
        <f t="shared" si="3"/>
        <v>19</v>
      </c>
      <c r="AC89" s="4">
        <v>24</v>
      </c>
      <c r="AD89" s="12">
        <f t="shared" si="2"/>
        <v>79.166666666666657</v>
      </c>
    </row>
    <row r="90" spans="2:30">
      <c r="B90" s="8"/>
      <c r="C90" s="8"/>
    </row>
  </sheetData>
  <mergeCells count="10">
    <mergeCell ref="D8:E8"/>
    <mergeCell ref="F8:I8"/>
    <mergeCell ref="K8:S8"/>
    <mergeCell ref="T8:Z8"/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"/>
  <sheetViews>
    <sheetView topLeftCell="H1" workbookViewId="0">
      <selection activeCell="B10" sqref="B10:C22"/>
    </sheetView>
  </sheetViews>
  <sheetFormatPr defaultRowHeight="14.4"/>
  <cols>
    <col min="1" max="1" width="5" customWidth="1"/>
    <col min="2" max="2" width="15" customWidth="1"/>
    <col min="3" max="3" width="29.44140625" customWidth="1"/>
    <col min="30" max="30" width="5.21875" customWidth="1"/>
  </cols>
  <sheetData>
    <row r="1" spans="1:39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1"/>
    </row>
    <row r="2" spans="1:39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1"/>
    </row>
    <row r="3" spans="1:39">
      <c r="A3" s="29" t="s">
        <v>195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1"/>
    </row>
    <row r="4" spans="1:39">
      <c r="A4" s="29" t="s">
        <v>194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1"/>
    </row>
    <row r="5" spans="1:39">
      <c r="A5" s="29" t="s">
        <v>188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1"/>
    </row>
    <row r="6" spans="1:39">
      <c r="A6" s="29" t="s">
        <v>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</row>
    <row r="8" spans="1:39">
      <c r="D8" s="26" t="s">
        <v>157</v>
      </c>
      <c r="E8" s="26"/>
      <c r="F8" s="27" t="s">
        <v>158</v>
      </c>
      <c r="G8" s="27"/>
      <c r="H8" s="27"/>
      <c r="I8" s="27"/>
      <c r="J8" s="20"/>
      <c r="K8" s="26" t="s">
        <v>172</v>
      </c>
      <c r="L8" s="26"/>
      <c r="M8" s="26"/>
      <c r="N8" s="26"/>
      <c r="O8" s="26"/>
      <c r="P8" s="26"/>
      <c r="Q8" s="26"/>
      <c r="R8" s="26"/>
      <c r="S8" s="26"/>
      <c r="T8" s="28" t="s">
        <v>181</v>
      </c>
      <c r="U8" s="28"/>
      <c r="V8" s="28"/>
      <c r="W8" s="28"/>
      <c r="X8" s="28"/>
      <c r="Y8" s="28"/>
      <c r="Z8" s="28"/>
      <c r="AA8" s="21"/>
      <c r="AB8" s="25"/>
      <c r="AC8" s="25"/>
      <c r="AD8" s="25"/>
    </row>
    <row r="9" spans="1:39">
      <c r="B9" s="22" t="s">
        <v>189</v>
      </c>
      <c r="C9" s="22" t="s">
        <v>190</v>
      </c>
      <c r="D9" s="5" t="s">
        <v>159</v>
      </c>
      <c r="E9" s="5" t="s">
        <v>160</v>
      </c>
      <c r="F9" s="5" t="s">
        <v>167</v>
      </c>
      <c r="G9" s="5" t="s">
        <v>168</v>
      </c>
      <c r="H9" s="5" t="s">
        <v>169</v>
      </c>
      <c r="I9" s="5" t="s">
        <v>170</v>
      </c>
      <c r="J9" s="5" t="s">
        <v>171</v>
      </c>
      <c r="K9" s="5" t="s">
        <v>173</v>
      </c>
      <c r="L9" s="5" t="s">
        <v>174</v>
      </c>
      <c r="M9" s="5" t="s">
        <v>175</v>
      </c>
      <c r="N9" s="13" t="s">
        <v>176</v>
      </c>
      <c r="O9" s="13" t="s">
        <v>177</v>
      </c>
      <c r="P9" s="13" t="s">
        <v>178</v>
      </c>
      <c r="Q9" s="13" t="s">
        <v>179</v>
      </c>
      <c r="R9" s="13" t="s">
        <v>159</v>
      </c>
      <c r="S9" s="5" t="s">
        <v>180</v>
      </c>
      <c r="T9" s="5" t="s">
        <v>168</v>
      </c>
      <c r="U9" s="5" t="s">
        <v>183</v>
      </c>
      <c r="V9" s="5" t="s">
        <v>170</v>
      </c>
      <c r="W9" s="5" t="s">
        <v>184</v>
      </c>
      <c r="X9" s="5" t="s">
        <v>177</v>
      </c>
      <c r="Y9" s="5" t="s">
        <v>171</v>
      </c>
      <c r="Z9" s="5" t="s">
        <v>185</v>
      </c>
      <c r="AA9" s="5" t="s">
        <v>182</v>
      </c>
      <c r="AB9" s="12" t="s">
        <v>191</v>
      </c>
      <c r="AC9" s="12" t="s">
        <v>192</v>
      </c>
      <c r="AD9" s="12" t="s">
        <v>193</v>
      </c>
    </row>
    <row r="10" spans="1:39">
      <c r="B10" s="23" t="s">
        <v>196</v>
      </c>
      <c r="C10" s="23" t="s">
        <v>197</v>
      </c>
      <c r="D10" s="4">
        <v>1</v>
      </c>
      <c r="E10" s="4">
        <v>1</v>
      </c>
      <c r="F10" s="4">
        <v>1</v>
      </c>
      <c r="G10" s="4">
        <v>1</v>
      </c>
      <c r="H10" s="14">
        <v>1</v>
      </c>
      <c r="I10" s="14">
        <v>0</v>
      </c>
      <c r="J10" s="14">
        <v>1</v>
      </c>
      <c r="K10">
        <v>1</v>
      </c>
      <c r="L10">
        <v>0</v>
      </c>
      <c r="M10">
        <v>1</v>
      </c>
      <c r="N10">
        <v>1</v>
      </c>
      <c r="O10">
        <v>1</v>
      </c>
      <c r="P10" s="17">
        <v>1</v>
      </c>
      <c r="Q10">
        <v>1</v>
      </c>
      <c r="R10">
        <v>1</v>
      </c>
      <c r="S10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>
        <v>1</v>
      </c>
      <c r="Z10">
        <v>1</v>
      </c>
      <c r="AA10">
        <v>1</v>
      </c>
      <c r="AB10">
        <f t="shared" ref="AB10:AB22" si="0">SUM(D10:AA10)</f>
        <v>22</v>
      </c>
      <c r="AC10">
        <v>24</v>
      </c>
      <c r="AD10" s="12">
        <f>AB10/AC10*100</f>
        <v>91.666666666666657</v>
      </c>
    </row>
    <row r="11" spans="1:39">
      <c r="B11" s="23" t="s">
        <v>198</v>
      </c>
      <c r="C11" s="23" t="s">
        <v>199</v>
      </c>
      <c r="D11" s="4">
        <v>1</v>
      </c>
      <c r="E11" s="4">
        <v>1</v>
      </c>
      <c r="F11" s="4">
        <v>1</v>
      </c>
      <c r="G11" s="4">
        <v>1</v>
      </c>
      <c r="H11" s="14">
        <v>1</v>
      </c>
      <c r="I11" s="14">
        <v>1</v>
      </c>
      <c r="J11" s="14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 s="4">
        <v>1</v>
      </c>
      <c r="U11" s="4">
        <v>1</v>
      </c>
      <c r="V11" s="4">
        <v>1</v>
      </c>
      <c r="W11" s="4">
        <v>1</v>
      </c>
      <c r="X11" s="4">
        <v>0</v>
      </c>
      <c r="Y11">
        <v>1</v>
      </c>
      <c r="Z11">
        <v>1</v>
      </c>
      <c r="AA11">
        <v>1</v>
      </c>
      <c r="AB11">
        <f t="shared" si="0"/>
        <v>22</v>
      </c>
      <c r="AC11">
        <v>24</v>
      </c>
      <c r="AD11" s="12">
        <f t="shared" ref="AD11:AD22" si="1">AB11/AC11*100</f>
        <v>91.666666666666657</v>
      </c>
    </row>
    <row r="12" spans="1:39">
      <c r="B12" s="23" t="s">
        <v>200</v>
      </c>
      <c r="C12" s="23" t="s">
        <v>201</v>
      </c>
      <c r="D12" s="4">
        <v>1</v>
      </c>
      <c r="E12" s="4">
        <v>1</v>
      </c>
      <c r="F12" s="4">
        <v>1</v>
      </c>
      <c r="G12" s="4">
        <v>1</v>
      </c>
      <c r="H12" s="14">
        <v>1</v>
      </c>
      <c r="I12" s="14">
        <v>1</v>
      </c>
      <c r="J12" s="14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>
        <v>1</v>
      </c>
      <c r="Z12">
        <v>1</v>
      </c>
      <c r="AA12">
        <v>1</v>
      </c>
      <c r="AB12">
        <f t="shared" si="0"/>
        <v>21</v>
      </c>
      <c r="AC12">
        <v>24</v>
      </c>
      <c r="AD12" s="12">
        <f t="shared" si="1"/>
        <v>87.5</v>
      </c>
    </row>
    <row r="13" spans="1:39">
      <c r="B13" s="23" t="s">
        <v>202</v>
      </c>
      <c r="C13" s="23" t="s">
        <v>203</v>
      </c>
      <c r="D13" s="4">
        <v>1</v>
      </c>
      <c r="E13" s="4">
        <v>1</v>
      </c>
      <c r="F13" s="4">
        <v>1</v>
      </c>
      <c r="G13" s="4">
        <v>1</v>
      </c>
      <c r="H13" s="14">
        <v>1</v>
      </c>
      <c r="I13" s="14">
        <v>1</v>
      </c>
      <c r="J13" s="14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>
        <v>1</v>
      </c>
      <c r="Z13">
        <v>1</v>
      </c>
      <c r="AA13">
        <v>1</v>
      </c>
      <c r="AB13">
        <f t="shared" si="0"/>
        <v>23</v>
      </c>
      <c r="AC13">
        <v>24</v>
      </c>
      <c r="AD13" s="12">
        <f t="shared" si="1"/>
        <v>95.833333333333343</v>
      </c>
    </row>
    <row r="14" spans="1:39">
      <c r="B14" s="23" t="s">
        <v>204</v>
      </c>
      <c r="C14" s="23" t="s">
        <v>205</v>
      </c>
      <c r="D14" s="4">
        <v>1</v>
      </c>
      <c r="E14" s="4">
        <v>1</v>
      </c>
      <c r="F14" s="4">
        <v>1</v>
      </c>
      <c r="G14" s="4">
        <v>1</v>
      </c>
      <c r="H14" s="14">
        <v>1</v>
      </c>
      <c r="I14" s="14">
        <v>1</v>
      </c>
      <c r="J14" s="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>
        <v>1</v>
      </c>
      <c r="Z14">
        <v>1</v>
      </c>
      <c r="AA14">
        <v>1</v>
      </c>
      <c r="AB14">
        <f t="shared" si="0"/>
        <v>23</v>
      </c>
      <c r="AC14">
        <v>24</v>
      </c>
      <c r="AD14" s="12">
        <f t="shared" si="1"/>
        <v>95.833333333333343</v>
      </c>
    </row>
    <row r="15" spans="1:39">
      <c r="B15" s="23" t="s">
        <v>206</v>
      </c>
      <c r="C15" s="23" t="s">
        <v>207</v>
      </c>
      <c r="D15" s="4">
        <v>1</v>
      </c>
      <c r="E15" s="4">
        <v>1</v>
      </c>
      <c r="F15" s="4">
        <v>1</v>
      </c>
      <c r="G15" s="4">
        <v>1</v>
      </c>
      <c r="H15" s="14">
        <v>1</v>
      </c>
      <c r="I15" s="14">
        <v>1</v>
      </c>
      <c r="J15" s="14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>
        <v>1</v>
      </c>
      <c r="Z15">
        <v>1</v>
      </c>
      <c r="AA15">
        <v>1</v>
      </c>
      <c r="AB15">
        <f t="shared" si="0"/>
        <v>22</v>
      </c>
      <c r="AC15">
        <v>24</v>
      </c>
      <c r="AD15" s="12">
        <f t="shared" si="1"/>
        <v>91.666666666666657</v>
      </c>
    </row>
    <row r="16" spans="1:39">
      <c r="B16" s="23" t="s">
        <v>208</v>
      </c>
      <c r="C16" s="23" t="s">
        <v>209</v>
      </c>
      <c r="D16" s="4">
        <v>0</v>
      </c>
      <c r="E16" s="4">
        <v>1</v>
      </c>
      <c r="F16" s="4">
        <v>1</v>
      </c>
      <c r="G16" s="4">
        <v>1</v>
      </c>
      <c r="H16" s="14">
        <v>1</v>
      </c>
      <c r="I16" s="14">
        <v>1</v>
      </c>
      <c r="J16" s="14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>
        <v>1</v>
      </c>
      <c r="Z16">
        <v>1</v>
      </c>
      <c r="AA16">
        <v>1</v>
      </c>
      <c r="AB16">
        <f t="shared" si="0"/>
        <v>21</v>
      </c>
      <c r="AC16">
        <v>24</v>
      </c>
      <c r="AD16" s="12">
        <f t="shared" si="1"/>
        <v>87.5</v>
      </c>
    </row>
    <row r="17" spans="2:30">
      <c r="B17" s="23" t="s">
        <v>210</v>
      </c>
      <c r="C17" s="23" t="s">
        <v>211</v>
      </c>
      <c r="D17" s="4">
        <v>1</v>
      </c>
      <c r="E17" s="4">
        <v>1</v>
      </c>
      <c r="F17" s="4">
        <v>1</v>
      </c>
      <c r="G17" s="4">
        <v>1</v>
      </c>
      <c r="H17" s="14">
        <v>1</v>
      </c>
      <c r="I17" s="14">
        <v>1</v>
      </c>
      <c r="J17" s="14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>
        <v>1</v>
      </c>
      <c r="Z17">
        <v>1</v>
      </c>
      <c r="AA17">
        <v>1</v>
      </c>
      <c r="AB17">
        <f t="shared" si="0"/>
        <v>22</v>
      </c>
      <c r="AC17">
        <v>24</v>
      </c>
      <c r="AD17" s="12">
        <f t="shared" si="1"/>
        <v>91.666666666666657</v>
      </c>
    </row>
    <row r="18" spans="2:30">
      <c r="B18" s="23" t="s">
        <v>212</v>
      </c>
      <c r="C18" s="23" t="s">
        <v>213</v>
      </c>
      <c r="D18" s="4">
        <v>1</v>
      </c>
      <c r="E18" s="4">
        <v>1</v>
      </c>
      <c r="F18" s="4">
        <v>1</v>
      </c>
      <c r="G18" s="4">
        <v>1</v>
      </c>
      <c r="H18" s="14">
        <v>1</v>
      </c>
      <c r="I18" s="14">
        <v>1</v>
      </c>
      <c r="J18" s="14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>
        <v>1</v>
      </c>
      <c r="Z18">
        <v>1</v>
      </c>
      <c r="AA18">
        <v>1</v>
      </c>
      <c r="AB18">
        <f t="shared" si="0"/>
        <v>23</v>
      </c>
      <c r="AC18">
        <v>24</v>
      </c>
      <c r="AD18" s="12">
        <f t="shared" si="1"/>
        <v>95.833333333333343</v>
      </c>
    </row>
    <row r="19" spans="2:30">
      <c r="B19" s="23" t="s">
        <v>214</v>
      </c>
      <c r="C19" s="23" t="s">
        <v>215</v>
      </c>
      <c r="D19" s="4">
        <v>1</v>
      </c>
      <c r="E19" s="4">
        <v>1</v>
      </c>
      <c r="F19" s="4">
        <v>1</v>
      </c>
      <c r="G19" s="4">
        <v>0</v>
      </c>
      <c r="H19" s="14">
        <v>1</v>
      </c>
      <c r="I19" s="14">
        <v>1</v>
      </c>
      <c r="J19" s="14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>
        <v>1</v>
      </c>
      <c r="Z19">
        <v>1</v>
      </c>
      <c r="AA19">
        <v>1</v>
      </c>
      <c r="AB19">
        <f t="shared" si="0"/>
        <v>22</v>
      </c>
      <c r="AC19">
        <v>24</v>
      </c>
      <c r="AD19" s="12">
        <f t="shared" si="1"/>
        <v>91.666666666666657</v>
      </c>
    </row>
    <row r="20" spans="2:30">
      <c r="B20" s="23" t="s">
        <v>216</v>
      </c>
      <c r="C20" s="23" t="s">
        <v>217</v>
      </c>
      <c r="D20" s="4">
        <v>1</v>
      </c>
      <c r="E20" s="4">
        <v>1</v>
      </c>
      <c r="F20" s="4">
        <v>1</v>
      </c>
      <c r="G20" s="4">
        <v>1</v>
      </c>
      <c r="H20" s="14">
        <v>1</v>
      </c>
      <c r="I20" s="14">
        <v>1</v>
      </c>
      <c r="J20" s="14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 s="16">
        <v>1</v>
      </c>
      <c r="U20" s="4">
        <v>1</v>
      </c>
      <c r="V20" s="4">
        <v>1</v>
      </c>
      <c r="W20" s="4">
        <v>1</v>
      </c>
      <c r="X20" s="4">
        <v>1</v>
      </c>
      <c r="Y20">
        <v>0</v>
      </c>
      <c r="Z20">
        <v>1</v>
      </c>
      <c r="AA20">
        <v>1</v>
      </c>
      <c r="AB20">
        <f t="shared" si="0"/>
        <v>20</v>
      </c>
      <c r="AC20">
        <v>24</v>
      </c>
      <c r="AD20" s="12">
        <f t="shared" si="1"/>
        <v>83.333333333333343</v>
      </c>
    </row>
    <row r="21" spans="2:30">
      <c r="B21" s="23" t="s">
        <v>218</v>
      </c>
      <c r="C21" s="23" t="s">
        <v>219</v>
      </c>
      <c r="D21" s="4">
        <v>1</v>
      </c>
      <c r="E21" s="4">
        <v>1</v>
      </c>
      <c r="F21" s="4">
        <v>1</v>
      </c>
      <c r="G21" s="4">
        <v>1</v>
      </c>
      <c r="H21" s="14">
        <v>1</v>
      </c>
      <c r="I21" s="14">
        <v>1</v>
      </c>
      <c r="J21" s="14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1</v>
      </c>
      <c r="S21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>
        <v>1</v>
      </c>
      <c r="Z21">
        <v>1</v>
      </c>
      <c r="AA21">
        <v>1</v>
      </c>
      <c r="AB21">
        <f t="shared" si="0"/>
        <v>22</v>
      </c>
      <c r="AC21">
        <v>24</v>
      </c>
      <c r="AD21" s="12">
        <f t="shared" si="1"/>
        <v>91.666666666666657</v>
      </c>
    </row>
    <row r="22" spans="2:30">
      <c r="B22" s="23" t="s">
        <v>220</v>
      </c>
      <c r="C22" s="23" t="s">
        <v>221</v>
      </c>
      <c r="D22" s="4">
        <v>1</v>
      </c>
      <c r="E22" s="4">
        <v>1</v>
      </c>
      <c r="F22" s="4">
        <v>1</v>
      </c>
      <c r="G22" s="4">
        <v>1</v>
      </c>
      <c r="H22" s="14">
        <v>1</v>
      </c>
      <c r="I22" s="14">
        <v>1</v>
      </c>
      <c r="J22" s="14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>
        <v>1</v>
      </c>
      <c r="Z22" s="24">
        <v>1</v>
      </c>
      <c r="AA22" s="24">
        <v>1</v>
      </c>
      <c r="AB22">
        <f t="shared" si="0"/>
        <v>22</v>
      </c>
      <c r="AC22">
        <v>24</v>
      </c>
      <c r="AD22" s="12">
        <f t="shared" si="1"/>
        <v>91.666666666666657</v>
      </c>
    </row>
  </sheetData>
  <mergeCells count="10">
    <mergeCell ref="D8:E8"/>
    <mergeCell ref="F8:I8"/>
    <mergeCell ref="K8:S8"/>
    <mergeCell ref="T8:Z8"/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workbookViewId="0">
      <selection activeCell="L16" sqref="L16"/>
    </sheetView>
  </sheetViews>
  <sheetFormatPr defaultRowHeight="14.4"/>
  <cols>
    <col min="1" max="1" width="22.5546875" customWidth="1"/>
    <col min="2" max="2" width="26.88671875" customWidth="1"/>
    <col min="11" max="11" width="5.88671875" customWidth="1"/>
  </cols>
  <sheetData>
    <row r="1" spans="1:39">
      <c r="A1" s="2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40"/>
    </row>
    <row r="2" spans="1:39">
      <c r="A2" s="2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40"/>
    </row>
    <row r="3" spans="1:39">
      <c r="A3" s="29" t="s">
        <v>186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0"/>
    </row>
    <row r="4" spans="1:39">
      <c r="A4" s="29" t="s">
        <v>436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40"/>
    </row>
    <row r="5" spans="1:39">
      <c r="A5" s="29" t="s">
        <v>188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40"/>
    </row>
    <row r="6" spans="1:39">
      <c r="A6" s="29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0"/>
    </row>
    <row r="7" spans="1:39">
      <c r="A7" s="5" t="s">
        <v>222</v>
      </c>
      <c r="B7" s="5" t="s">
        <v>190</v>
      </c>
      <c r="C7" s="19" t="s">
        <v>227</v>
      </c>
      <c r="D7" s="19" t="s">
        <v>223</v>
      </c>
      <c r="E7" s="35">
        <v>45946</v>
      </c>
      <c r="F7" s="36" t="s">
        <v>224</v>
      </c>
      <c r="G7" s="36" t="s">
        <v>225</v>
      </c>
      <c r="H7" s="19" t="s">
        <v>226</v>
      </c>
      <c r="I7" s="37" t="s">
        <v>191</v>
      </c>
      <c r="J7" s="37" t="s">
        <v>192</v>
      </c>
      <c r="K7" s="37" t="s">
        <v>193</v>
      </c>
      <c r="L7" s="38"/>
    </row>
    <row r="8" spans="1:39" ht="15" thickBot="1">
      <c r="A8" s="32" t="s">
        <v>3</v>
      </c>
      <c r="B8" s="32" t="s">
        <v>4</v>
      </c>
      <c r="C8" s="4">
        <v>1</v>
      </c>
      <c r="D8" s="4">
        <v>1</v>
      </c>
      <c r="E8" s="4">
        <v>0</v>
      </c>
      <c r="F8" s="4">
        <v>1</v>
      </c>
      <c r="G8" s="4">
        <v>1</v>
      </c>
      <c r="H8" s="4">
        <v>1</v>
      </c>
      <c r="I8" s="4">
        <f>SUM(C8:H8)</f>
        <v>5</v>
      </c>
      <c r="J8" s="4">
        <v>6</v>
      </c>
      <c r="K8" s="12">
        <f>I8/J9*100</f>
        <v>83.333333333333343</v>
      </c>
    </row>
    <row r="9" spans="1:39" ht="15" thickBot="1">
      <c r="A9" s="33" t="s">
        <v>5</v>
      </c>
      <c r="B9" s="34" t="s">
        <v>6</v>
      </c>
      <c r="C9" s="4">
        <v>1</v>
      </c>
      <c r="D9" s="4">
        <v>1</v>
      </c>
      <c r="E9" s="4">
        <v>0</v>
      </c>
      <c r="F9" s="4">
        <v>1</v>
      </c>
      <c r="G9" s="4">
        <v>1</v>
      </c>
      <c r="H9" s="4">
        <v>1</v>
      </c>
      <c r="I9" s="4">
        <f>SUM(C9:H9)</f>
        <v>5</v>
      </c>
      <c r="J9" s="4">
        <v>6</v>
      </c>
      <c r="K9" s="12">
        <f t="shared" ref="K9:K62" si="0">I9/J10*100</f>
        <v>83.333333333333343</v>
      </c>
    </row>
    <row r="10" spans="1:39" ht="15" thickBot="1">
      <c r="A10" s="33" t="s">
        <v>7</v>
      </c>
      <c r="B10" s="34" t="s">
        <v>8</v>
      </c>
      <c r="C10" s="4">
        <v>0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f>SUM(C10:H10)</f>
        <v>5</v>
      </c>
      <c r="J10" s="4">
        <v>6</v>
      </c>
      <c r="K10" s="12">
        <f t="shared" si="0"/>
        <v>83.333333333333343</v>
      </c>
    </row>
    <row r="11" spans="1:39" ht="15" thickBot="1">
      <c r="A11" s="33" t="s">
        <v>9</v>
      </c>
      <c r="B11" s="34" t="s">
        <v>10</v>
      </c>
      <c r="C11" s="4">
        <v>1</v>
      </c>
      <c r="D11" s="4">
        <v>1</v>
      </c>
      <c r="E11" s="4">
        <v>0</v>
      </c>
      <c r="F11" s="4">
        <v>1</v>
      </c>
      <c r="G11" s="4">
        <v>1</v>
      </c>
      <c r="H11" s="4">
        <v>1</v>
      </c>
      <c r="I11" s="4">
        <f>SUM(C11:H11)</f>
        <v>5</v>
      </c>
      <c r="J11" s="4">
        <v>6</v>
      </c>
      <c r="K11" s="12">
        <f t="shared" si="0"/>
        <v>83.333333333333343</v>
      </c>
    </row>
    <row r="12" spans="1:39" ht="15" thickBot="1">
      <c r="A12" s="33" t="s">
        <v>11</v>
      </c>
      <c r="B12" s="34" t="s">
        <v>12</v>
      </c>
      <c r="C12" s="4">
        <v>1</v>
      </c>
      <c r="D12" s="4">
        <v>1</v>
      </c>
      <c r="E12" s="4">
        <v>0</v>
      </c>
      <c r="F12" s="4">
        <v>1</v>
      </c>
      <c r="G12" s="4">
        <v>1</v>
      </c>
      <c r="H12" s="4">
        <v>1</v>
      </c>
      <c r="I12" s="4">
        <f>SUM(C12:H12)</f>
        <v>5</v>
      </c>
      <c r="J12" s="4">
        <v>6</v>
      </c>
      <c r="K12" s="12">
        <f t="shared" si="0"/>
        <v>83.333333333333343</v>
      </c>
    </row>
    <row r="13" spans="1:39" ht="15" thickBot="1">
      <c r="A13" s="33" t="s">
        <v>13</v>
      </c>
      <c r="B13" s="34" t="s">
        <v>14</v>
      </c>
      <c r="C13" s="4">
        <v>1</v>
      </c>
      <c r="D13" s="4">
        <v>1</v>
      </c>
      <c r="E13" s="4">
        <v>0</v>
      </c>
      <c r="F13" s="4">
        <v>1</v>
      </c>
      <c r="G13" s="4">
        <v>1</v>
      </c>
      <c r="H13" s="4">
        <v>1</v>
      </c>
      <c r="I13" s="4">
        <f>SUM(C13:H13)</f>
        <v>5</v>
      </c>
      <c r="J13" s="4">
        <v>6</v>
      </c>
      <c r="K13" s="12">
        <f t="shared" si="0"/>
        <v>83.333333333333343</v>
      </c>
    </row>
    <row r="14" spans="1:39" ht="15" thickBot="1">
      <c r="A14" s="33" t="s">
        <v>15</v>
      </c>
      <c r="B14" s="34" t="s">
        <v>16</v>
      </c>
      <c r="C14" s="4">
        <v>1</v>
      </c>
      <c r="D14" s="4">
        <v>0</v>
      </c>
      <c r="E14" s="4">
        <v>0</v>
      </c>
      <c r="F14" s="4">
        <v>1</v>
      </c>
      <c r="G14" s="4">
        <v>1</v>
      </c>
      <c r="H14" s="4">
        <v>1</v>
      </c>
      <c r="I14" s="4">
        <f>SUM(C14:H14)</f>
        <v>4</v>
      </c>
      <c r="J14" s="4">
        <v>6</v>
      </c>
      <c r="K14" s="12">
        <f t="shared" si="0"/>
        <v>66.666666666666657</v>
      </c>
    </row>
    <row r="15" spans="1:39" ht="15" thickBot="1">
      <c r="A15" s="33" t="s">
        <v>17</v>
      </c>
      <c r="B15" s="34" t="s">
        <v>18</v>
      </c>
      <c r="C15" s="4">
        <v>1</v>
      </c>
      <c r="D15" s="4">
        <v>0</v>
      </c>
      <c r="E15" s="4">
        <v>1</v>
      </c>
      <c r="F15" s="4">
        <v>1</v>
      </c>
      <c r="G15" s="4">
        <v>0</v>
      </c>
      <c r="H15" s="4">
        <v>1</v>
      </c>
      <c r="I15" s="4">
        <f>SUM(C15:H15)</f>
        <v>4</v>
      </c>
      <c r="J15" s="4">
        <v>6</v>
      </c>
      <c r="K15" s="12">
        <f t="shared" si="0"/>
        <v>66.666666666666657</v>
      </c>
    </row>
    <row r="16" spans="1:39" ht="15" thickBot="1">
      <c r="A16" s="33" t="s">
        <v>19</v>
      </c>
      <c r="B16" s="34" t="s">
        <v>20</v>
      </c>
      <c r="C16" s="4">
        <v>1</v>
      </c>
      <c r="D16" s="4">
        <v>1</v>
      </c>
      <c r="E16" s="4">
        <v>0</v>
      </c>
      <c r="F16" s="4">
        <v>1</v>
      </c>
      <c r="G16" s="4">
        <v>1</v>
      </c>
      <c r="H16" s="4">
        <v>1</v>
      </c>
      <c r="I16" s="4">
        <f>SUM(C16:H16)</f>
        <v>5</v>
      </c>
      <c r="J16" s="4">
        <v>6</v>
      </c>
      <c r="K16" s="12">
        <f t="shared" si="0"/>
        <v>83.333333333333343</v>
      </c>
    </row>
    <row r="17" spans="1:11" ht="15" thickBot="1">
      <c r="A17" s="33" t="s">
        <v>21</v>
      </c>
      <c r="B17" s="34" t="s">
        <v>22</v>
      </c>
      <c r="C17" s="4">
        <v>1</v>
      </c>
      <c r="D17" s="4">
        <v>0</v>
      </c>
      <c r="E17" s="4">
        <v>0</v>
      </c>
      <c r="F17" s="4">
        <v>1</v>
      </c>
      <c r="G17" s="4">
        <v>1</v>
      </c>
      <c r="H17" s="4">
        <v>1</v>
      </c>
      <c r="I17" s="4">
        <f>SUM(C17:H17)</f>
        <v>4</v>
      </c>
      <c r="J17" s="4">
        <v>6</v>
      </c>
      <c r="K17" s="12">
        <f t="shared" si="0"/>
        <v>66.666666666666657</v>
      </c>
    </row>
    <row r="18" spans="1:11" ht="29.4" thickBot="1">
      <c r="A18" s="33" t="s">
        <v>23</v>
      </c>
      <c r="B18" s="34" t="s">
        <v>24</v>
      </c>
      <c r="C18" s="4">
        <v>0</v>
      </c>
      <c r="D18" s="4">
        <v>1</v>
      </c>
      <c r="E18" s="4">
        <v>1</v>
      </c>
      <c r="F18" s="4">
        <v>1</v>
      </c>
      <c r="G18" s="4">
        <v>1</v>
      </c>
      <c r="H18" s="4">
        <v>0</v>
      </c>
      <c r="I18" s="4">
        <f>SUM(C18:H18)</f>
        <v>4</v>
      </c>
      <c r="J18" s="4">
        <v>6</v>
      </c>
      <c r="K18" s="12">
        <f t="shared" si="0"/>
        <v>66.666666666666657</v>
      </c>
    </row>
    <row r="19" spans="1:11" ht="29.4" thickBot="1">
      <c r="A19" s="33" t="s">
        <v>25</v>
      </c>
      <c r="B19" s="34" t="s">
        <v>26</v>
      </c>
      <c r="C19" s="4">
        <v>1</v>
      </c>
      <c r="D19" s="4">
        <v>1</v>
      </c>
      <c r="E19" s="4">
        <v>0</v>
      </c>
      <c r="F19" s="4">
        <v>1</v>
      </c>
      <c r="G19" s="4">
        <v>1</v>
      </c>
      <c r="H19" s="4">
        <v>1</v>
      </c>
      <c r="I19" s="4">
        <f>SUM(C19:H19)</f>
        <v>5</v>
      </c>
      <c r="J19" s="4">
        <v>6</v>
      </c>
      <c r="K19" s="12">
        <f t="shared" si="0"/>
        <v>83.333333333333343</v>
      </c>
    </row>
    <row r="20" spans="1:11" ht="15" thickBot="1">
      <c r="A20" s="33" t="s">
        <v>27</v>
      </c>
      <c r="B20" s="34" t="s">
        <v>28</v>
      </c>
      <c r="C20" s="4">
        <v>1</v>
      </c>
      <c r="D20" s="4">
        <v>0</v>
      </c>
      <c r="E20" s="4">
        <v>0</v>
      </c>
      <c r="F20" s="4">
        <v>1</v>
      </c>
      <c r="G20" s="4">
        <v>1</v>
      </c>
      <c r="H20" s="4">
        <v>1</v>
      </c>
      <c r="I20" s="4">
        <f>SUM(C20:H20)</f>
        <v>4</v>
      </c>
      <c r="J20" s="4">
        <v>6</v>
      </c>
      <c r="K20" s="12">
        <f t="shared" si="0"/>
        <v>66.666666666666657</v>
      </c>
    </row>
    <row r="21" spans="1:11" ht="15" thickBot="1">
      <c r="A21" s="33" t="s">
        <v>29</v>
      </c>
      <c r="B21" s="34" t="s">
        <v>30</v>
      </c>
      <c r="C21" s="4">
        <v>1</v>
      </c>
      <c r="D21" s="4">
        <v>1</v>
      </c>
      <c r="E21" s="4">
        <v>0</v>
      </c>
      <c r="F21" s="4">
        <v>1</v>
      </c>
      <c r="G21" s="4">
        <v>1</v>
      </c>
      <c r="H21" s="4">
        <v>1</v>
      </c>
      <c r="I21" s="4">
        <f>SUM(C21:H21)</f>
        <v>5</v>
      </c>
      <c r="J21" s="4">
        <v>6</v>
      </c>
      <c r="K21" s="12">
        <f t="shared" si="0"/>
        <v>83.333333333333343</v>
      </c>
    </row>
    <row r="22" spans="1:11" ht="15" thickBot="1">
      <c r="A22" s="33" t="s">
        <v>31</v>
      </c>
      <c r="B22" s="34" t="s">
        <v>32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f>SUM(C22:H22)</f>
        <v>6</v>
      </c>
      <c r="J22" s="4">
        <v>6</v>
      </c>
      <c r="K22" s="12">
        <f t="shared" si="0"/>
        <v>100</v>
      </c>
    </row>
    <row r="23" spans="1:11" ht="15" thickBot="1">
      <c r="A23" s="33" t="s">
        <v>33</v>
      </c>
      <c r="B23" s="34" t="s">
        <v>34</v>
      </c>
      <c r="C23" s="4">
        <v>1</v>
      </c>
      <c r="D23" s="4">
        <v>0</v>
      </c>
      <c r="E23" s="4">
        <v>1</v>
      </c>
      <c r="F23" s="4">
        <v>1</v>
      </c>
      <c r="G23" s="4">
        <v>1</v>
      </c>
      <c r="H23" s="4">
        <v>1</v>
      </c>
      <c r="I23" s="4">
        <f>SUM(C23:H23)</f>
        <v>5</v>
      </c>
      <c r="J23" s="4">
        <v>6</v>
      </c>
      <c r="K23" s="12">
        <f t="shared" si="0"/>
        <v>83.333333333333343</v>
      </c>
    </row>
    <row r="24" spans="1:11" ht="15" thickBot="1">
      <c r="A24" s="33" t="s">
        <v>35</v>
      </c>
      <c r="B24" s="34" t="s">
        <v>36</v>
      </c>
      <c r="C24" s="4">
        <v>1</v>
      </c>
      <c r="D24" s="4">
        <v>0</v>
      </c>
      <c r="E24" s="4">
        <v>0</v>
      </c>
      <c r="F24" s="4">
        <v>1</v>
      </c>
      <c r="G24" s="4">
        <v>1</v>
      </c>
      <c r="H24" s="4">
        <v>1</v>
      </c>
      <c r="I24" s="4">
        <f>SUM(C24:H24)</f>
        <v>4</v>
      </c>
      <c r="J24" s="4">
        <v>6</v>
      </c>
      <c r="K24" s="12">
        <f t="shared" si="0"/>
        <v>66.666666666666657</v>
      </c>
    </row>
    <row r="25" spans="1:11" ht="15" thickBot="1">
      <c r="A25" s="33" t="s">
        <v>37</v>
      </c>
      <c r="B25" s="34" t="s">
        <v>38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f>SUM(C25:H25)</f>
        <v>6</v>
      </c>
      <c r="J25" s="4">
        <v>6</v>
      </c>
      <c r="K25" s="12">
        <f t="shared" si="0"/>
        <v>100</v>
      </c>
    </row>
    <row r="26" spans="1:11" ht="15" thickBot="1">
      <c r="A26" s="33" t="s">
        <v>39</v>
      </c>
      <c r="B26" s="34" t="s">
        <v>40</v>
      </c>
      <c r="C26" s="4">
        <v>0</v>
      </c>
      <c r="D26" s="4">
        <v>0</v>
      </c>
      <c r="E26" s="4">
        <v>0</v>
      </c>
      <c r="F26" s="4">
        <v>1</v>
      </c>
      <c r="G26" s="4">
        <v>1</v>
      </c>
      <c r="H26" s="4">
        <v>0</v>
      </c>
      <c r="I26" s="4">
        <f>SUM(C26:H26)</f>
        <v>2</v>
      </c>
      <c r="J26" s="4">
        <v>6</v>
      </c>
      <c r="K26" s="12">
        <f t="shared" si="0"/>
        <v>33.333333333333329</v>
      </c>
    </row>
    <row r="27" spans="1:11" ht="15" thickBot="1">
      <c r="A27" s="33" t="s">
        <v>41</v>
      </c>
      <c r="B27" s="34" t="s">
        <v>42</v>
      </c>
      <c r="C27" s="4">
        <v>0</v>
      </c>
      <c r="D27" s="4">
        <v>1</v>
      </c>
      <c r="E27" s="4">
        <v>0</v>
      </c>
      <c r="F27" s="4">
        <v>1</v>
      </c>
      <c r="G27" s="4">
        <v>1</v>
      </c>
      <c r="H27" s="4">
        <v>1</v>
      </c>
      <c r="I27" s="4">
        <f>SUM(C27:H27)</f>
        <v>4</v>
      </c>
      <c r="J27" s="4">
        <v>6</v>
      </c>
      <c r="K27" s="12">
        <f t="shared" si="0"/>
        <v>66.666666666666657</v>
      </c>
    </row>
    <row r="28" spans="1:11" ht="15" thickBot="1">
      <c r="A28" s="33" t="s">
        <v>43</v>
      </c>
      <c r="B28" s="34" t="s">
        <v>44</v>
      </c>
      <c r="C28" s="4">
        <v>1</v>
      </c>
      <c r="D28" s="4">
        <v>0</v>
      </c>
      <c r="E28" s="4">
        <v>1</v>
      </c>
      <c r="F28" s="4">
        <v>1</v>
      </c>
      <c r="G28" s="4">
        <v>0</v>
      </c>
      <c r="H28" s="4">
        <v>1</v>
      </c>
      <c r="I28" s="4">
        <f>SUM(C28:H28)</f>
        <v>4</v>
      </c>
      <c r="J28" s="4">
        <v>6</v>
      </c>
      <c r="K28" s="12">
        <f t="shared" si="0"/>
        <v>66.666666666666657</v>
      </c>
    </row>
    <row r="29" spans="1:11" ht="15" thickBot="1">
      <c r="A29" s="33" t="s">
        <v>45</v>
      </c>
      <c r="B29" s="34" t="s">
        <v>46</v>
      </c>
      <c r="C29" s="4">
        <v>0</v>
      </c>
      <c r="D29" s="4">
        <v>1</v>
      </c>
      <c r="E29" s="4">
        <v>1</v>
      </c>
      <c r="F29" s="4">
        <v>1</v>
      </c>
      <c r="G29" s="4">
        <v>0</v>
      </c>
      <c r="H29" s="4">
        <v>1</v>
      </c>
      <c r="I29" s="4">
        <f>SUM(C29:H29)</f>
        <v>4</v>
      </c>
      <c r="J29" s="4">
        <v>6</v>
      </c>
      <c r="K29" s="12">
        <f t="shared" si="0"/>
        <v>66.666666666666657</v>
      </c>
    </row>
    <row r="30" spans="1:11" ht="15" thickBot="1">
      <c r="A30" s="33" t="s">
        <v>47</v>
      </c>
      <c r="B30" s="34" t="s">
        <v>48</v>
      </c>
      <c r="C30" s="4">
        <v>0</v>
      </c>
      <c r="D30" s="4">
        <v>1</v>
      </c>
      <c r="E30" s="4">
        <v>0</v>
      </c>
      <c r="F30" s="4">
        <v>1</v>
      </c>
      <c r="G30" s="4">
        <v>1</v>
      </c>
      <c r="H30" s="4">
        <v>1</v>
      </c>
      <c r="I30" s="4">
        <f>SUM(C30:H30)</f>
        <v>4</v>
      </c>
      <c r="J30" s="4">
        <v>6</v>
      </c>
      <c r="K30" s="12">
        <f t="shared" si="0"/>
        <v>66.666666666666657</v>
      </c>
    </row>
    <row r="31" spans="1:11" ht="15" thickBot="1">
      <c r="A31" s="33" t="s">
        <v>49</v>
      </c>
      <c r="B31" s="34" t="s">
        <v>50</v>
      </c>
      <c r="C31" s="4">
        <v>1</v>
      </c>
      <c r="D31" s="4">
        <v>1</v>
      </c>
      <c r="E31" s="4">
        <v>0</v>
      </c>
      <c r="F31" s="4">
        <v>1</v>
      </c>
      <c r="G31" s="4">
        <v>1</v>
      </c>
      <c r="H31" s="4">
        <v>1</v>
      </c>
      <c r="I31" s="4">
        <f>SUM(C31:H31)</f>
        <v>5</v>
      </c>
      <c r="J31" s="4">
        <v>6</v>
      </c>
      <c r="K31" s="12">
        <f t="shared" si="0"/>
        <v>83.333333333333343</v>
      </c>
    </row>
    <row r="32" spans="1:11" ht="15" thickBot="1">
      <c r="A32" s="33" t="s">
        <v>51</v>
      </c>
      <c r="B32" s="34" t="s">
        <v>52</v>
      </c>
      <c r="C32" s="4">
        <v>1</v>
      </c>
      <c r="D32" s="4">
        <v>1</v>
      </c>
      <c r="E32" s="4">
        <v>0</v>
      </c>
      <c r="F32" s="4">
        <v>1</v>
      </c>
      <c r="G32" s="4">
        <v>1</v>
      </c>
      <c r="H32" s="4">
        <v>1</v>
      </c>
      <c r="I32" s="4">
        <f>SUM(C32:H32)</f>
        <v>5</v>
      </c>
      <c r="J32" s="4">
        <v>6</v>
      </c>
      <c r="K32" s="12">
        <f t="shared" si="0"/>
        <v>83.333333333333343</v>
      </c>
    </row>
    <row r="33" spans="1:11" ht="15" thickBot="1">
      <c r="A33" s="33" t="s">
        <v>53</v>
      </c>
      <c r="B33" s="34" t="s">
        <v>54</v>
      </c>
      <c r="C33" s="4">
        <v>1</v>
      </c>
      <c r="D33" s="4">
        <v>1</v>
      </c>
      <c r="E33" s="4">
        <v>1</v>
      </c>
      <c r="F33" s="4">
        <v>1</v>
      </c>
      <c r="G33" s="4">
        <v>0</v>
      </c>
      <c r="H33" s="4">
        <v>0</v>
      </c>
      <c r="I33" s="4">
        <f>SUM(C33:H33)</f>
        <v>4</v>
      </c>
      <c r="J33" s="4">
        <v>6</v>
      </c>
      <c r="K33" s="12">
        <f t="shared" si="0"/>
        <v>66.666666666666657</v>
      </c>
    </row>
    <row r="34" spans="1:11" ht="29.4" thickBot="1">
      <c r="A34" s="33" t="s">
        <v>55</v>
      </c>
      <c r="B34" s="34" t="s">
        <v>56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f>SUM(C34:H34)</f>
        <v>6</v>
      </c>
      <c r="J34" s="4">
        <v>6</v>
      </c>
      <c r="K34" s="12">
        <f t="shared" si="0"/>
        <v>100</v>
      </c>
    </row>
    <row r="35" spans="1:11" ht="15" thickBot="1">
      <c r="A35" s="33" t="s">
        <v>57</v>
      </c>
      <c r="B35" s="34" t="s">
        <v>58</v>
      </c>
      <c r="C35" s="4">
        <v>1</v>
      </c>
      <c r="D35" s="4">
        <v>1</v>
      </c>
      <c r="E35" s="4">
        <v>1</v>
      </c>
      <c r="F35" s="4">
        <v>1</v>
      </c>
      <c r="G35" s="4">
        <v>0</v>
      </c>
      <c r="H35" s="4">
        <v>1</v>
      </c>
      <c r="I35" s="4">
        <f>SUM(C35:H35)</f>
        <v>5</v>
      </c>
      <c r="J35" s="4">
        <v>6</v>
      </c>
      <c r="K35" s="12">
        <f t="shared" si="0"/>
        <v>83.333333333333343</v>
      </c>
    </row>
    <row r="36" spans="1:11" ht="15" thickBot="1">
      <c r="A36" s="33" t="s">
        <v>59</v>
      </c>
      <c r="B36" s="34" t="s">
        <v>60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f>SUM(C36:H36)</f>
        <v>6</v>
      </c>
      <c r="J36" s="4">
        <v>6</v>
      </c>
      <c r="K36" s="12">
        <f t="shared" si="0"/>
        <v>100</v>
      </c>
    </row>
    <row r="37" spans="1:11" ht="15" thickBot="1">
      <c r="A37" s="33" t="s">
        <v>61</v>
      </c>
      <c r="B37" s="34" t="s">
        <v>62</v>
      </c>
      <c r="C37" s="4">
        <v>0</v>
      </c>
      <c r="D37" s="4">
        <v>1</v>
      </c>
      <c r="E37" s="4">
        <v>0</v>
      </c>
      <c r="F37" s="4">
        <v>1</v>
      </c>
      <c r="G37" s="4">
        <v>1</v>
      </c>
      <c r="H37" s="4">
        <v>1</v>
      </c>
      <c r="I37" s="4">
        <f>SUM(C37:H37)</f>
        <v>4</v>
      </c>
      <c r="J37" s="4">
        <v>6</v>
      </c>
      <c r="K37" s="12">
        <f t="shared" si="0"/>
        <v>66.666666666666657</v>
      </c>
    </row>
    <row r="38" spans="1:11" ht="29.4" thickBot="1">
      <c r="A38" s="33" t="s">
        <v>63</v>
      </c>
      <c r="B38" s="34" t="s">
        <v>64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f>SUM(C38:H38)</f>
        <v>6</v>
      </c>
      <c r="J38" s="4">
        <v>6</v>
      </c>
      <c r="K38" s="12">
        <f t="shared" si="0"/>
        <v>100</v>
      </c>
    </row>
    <row r="39" spans="1:11" ht="15" thickBot="1">
      <c r="A39" s="33" t="s">
        <v>65</v>
      </c>
      <c r="B39" s="34" t="s">
        <v>66</v>
      </c>
      <c r="C39" s="4">
        <v>1</v>
      </c>
      <c r="D39" s="4">
        <v>1</v>
      </c>
      <c r="E39" s="4">
        <v>0</v>
      </c>
      <c r="F39" s="4">
        <v>1</v>
      </c>
      <c r="G39" s="4">
        <v>1</v>
      </c>
      <c r="H39" s="4">
        <v>1</v>
      </c>
      <c r="I39" s="4">
        <f>SUM(C39:H39)</f>
        <v>5</v>
      </c>
      <c r="J39" s="4">
        <v>6</v>
      </c>
      <c r="K39" s="12">
        <f t="shared" si="0"/>
        <v>83.333333333333343</v>
      </c>
    </row>
    <row r="40" spans="1:11" ht="15" thickBot="1">
      <c r="A40" s="33" t="s">
        <v>67</v>
      </c>
      <c r="B40" s="34" t="s">
        <v>68</v>
      </c>
      <c r="C40" s="4">
        <v>1</v>
      </c>
      <c r="D40" s="4">
        <v>1</v>
      </c>
      <c r="E40" s="4">
        <v>0</v>
      </c>
      <c r="F40" s="4">
        <v>1</v>
      </c>
      <c r="G40" s="4">
        <v>1</v>
      </c>
      <c r="H40" s="4">
        <v>1</v>
      </c>
      <c r="I40" s="4">
        <f>SUM(C40:H40)</f>
        <v>5</v>
      </c>
      <c r="J40" s="4">
        <v>6</v>
      </c>
      <c r="K40" s="12">
        <f t="shared" si="0"/>
        <v>83.333333333333343</v>
      </c>
    </row>
    <row r="41" spans="1:11" ht="15" thickBot="1">
      <c r="A41" s="33" t="s">
        <v>69</v>
      </c>
      <c r="B41" s="34" t="s">
        <v>70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f>SUM(C41:H41)</f>
        <v>6</v>
      </c>
      <c r="J41" s="4">
        <v>6</v>
      </c>
      <c r="K41" s="12">
        <f t="shared" si="0"/>
        <v>100</v>
      </c>
    </row>
    <row r="42" spans="1:11" ht="15" thickBot="1">
      <c r="A42" s="33" t="s">
        <v>71</v>
      </c>
      <c r="B42" s="34" t="s">
        <v>72</v>
      </c>
      <c r="C42" s="4">
        <v>0</v>
      </c>
      <c r="D42" s="4">
        <v>1</v>
      </c>
      <c r="E42" s="4">
        <v>0</v>
      </c>
      <c r="F42" s="4">
        <v>1</v>
      </c>
      <c r="G42" s="4">
        <v>1</v>
      </c>
      <c r="H42" s="4">
        <v>1</v>
      </c>
      <c r="I42" s="4">
        <f>SUM(C42:H42)</f>
        <v>4</v>
      </c>
      <c r="J42" s="4">
        <v>6</v>
      </c>
      <c r="K42" s="12">
        <f t="shared" si="0"/>
        <v>66.666666666666657</v>
      </c>
    </row>
    <row r="43" spans="1:11" ht="15" thickBot="1">
      <c r="A43" s="33" t="s">
        <v>73</v>
      </c>
      <c r="B43" s="34" t="s">
        <v>74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f>SUM(C43:H43)</f>
        <v>6</v>
      </c>
      <c r="J43" s="4">
        <v>6</v>
      </c>
      <c r="K43" s="12">
        <f t="shared" si="0"/>
        <v>100</v>
      </c>
    </row>
    <row r="44" spans="1:11" ht="15" thickBot="1">
      <c r="A44" s="33" t="s">
        <v>75</v>
      </c>
      <c r="B44" s="34" t="s">
        <v>76</v>
      </c>
      <c r="C44" s="4">
        <v>1</v>
      </c>
      <c r="D44" s="4">
        <v>1</v>
      </c>
      <c r="E44" s="4">
        <v>0</v>
      </c>
      <c r="F44" s="4">
        <v>1</v>
      </c>
      <c r="G44" s="4">
        <v>1</v>
      </c>
      <c r="H44" s="4">
        <v>1</v>
      </c>
      <c r="I44" s="4">
        <f>SUM(C44:H44)</f>
        <v>5</v>
      </c>
      <c r="J44" s="4">
        <v>6</v>
      </c>
      <c r="K44" s="12">
        <f t="shared" si="0"/>
        <v>83.333333333333343</v>
      </c>
    </row>
    <row r="45" spans="1:11" ht="15" thickBot="1">
      <c r="A45" s="33" t="s">
        <v>77</v>
      </c>
      <c r="B45" s="34" t="s">
        <v>78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f>SUM(C45:H45)</f>
        <v>6</v>
      </c>
      <c r="J45" s="4">
        <v>6</v>
      </c>
      <c r="K45" s="12">
        <f t="shared" si="0"/>
        <v>100</v>
      </c>
    </row>
    <row r="46" spans="1:11" ht="15" thickBot="1">
      <c r="A46" s="33" t="s">
        <v>79</v>
      </c>
      <c r="B46" s="34" t="s">
        <v>80</v>
      </c>
      <c r="C46" s="4">
        <v>1</v>
      </c>
      <c r="D46" s="4">
        <v>1</v>
      </c>
      <c r="E46" s="4">
        <v>0</v>
      </c>
      <c r="F46" s="4">
        <v>1</v>
      </c>
      <c r="G46" s="4">
        <v>1</v>
      </c>
      <c r="H46" s="4">
        <v>1</v>
      </c>
      <c r="I46" s="4">
        <f>SUM(C46:H46)</f>
        <v>5</v>
      </c>
      <c r="J46" s="4">
        <v>6</v>
      </c>
      <c r="K46" s="12">
        <f t="shared" si="0"/>
        <v>83.333333333333343</v>
      </c>
    </row>
    <row r="47" spans="1:11" ht="15" thickBot="1">
      <c r="A47" s="33" t="s">
        <v>81</v>
      </c>
      <c r="B47" s="34" t="s">
        <v>82</v>
      </c>
      <c r="C47" s="4">
        <v>1</v>
      </c>
      <c r="D47" s="4">
        <v>1</v>
      </c>
      <c r="E47" s="4">
        <v>0</v>
      </c>
      <c r="F47" s="4">
        <v>1</v>
      </c>
      <c r="G47" s="4">
        <v>1</v>
      </c>
      <c r="H47" s="4">
        <v>1</v>
      </c>
      <c r="I47" s="4">
        <f>SUM(C47:H47)</f>
        <v>5</v>
      </c>
      <c r="J47" s="4">
        <v>6</v>
      </c>
      <c r="K47" s="12">
        <f t="shared" si="0"/>
        <v>83.333333333333343</v>
      </c>
    </row>
    <row r="48" spans="1:11" ht="15" thickBot="1">
      <c r="A48" s="33" t="s">
        <v>83</v>
      </c>
      <c r="B48" s="34" t="s">
        <v>84</v>
      </c>
      <c r="C48" s="4">
        <v>1</v>
      </c>
      <c r="D48" s="4">
        <v>0</v>
      </c>
      <c r="E48" s="4">
        <v>0</v>
      </c>
      <c r="F48" s="4">
        <v>1</v>
      </c>
      <c r="G48" s="4">
        <v>1</v>
      </c>
      <c r="H48" s="4">
        <v>1</v>
      </c>
      <c r="I48" s="4">
        <f>SUM(C48:H48)</f>
        <v>4</v>
      </c>
      <c r="J48" s="4">
        <v>6</v>
      </c>
      <c r="K48" s="12">
        <f>I48/J48*100</f>
        <v>66.666666666666657</v>
      </c>
    </row>
    <row r="49" spans="1:11">
      <c r="C49" s="4"/>
      <c r="D49" s="4"/>
      <c r="E49" s="4"/>
      <c r="F49" s="4"/>
      <c r="G49" s="4"/>
      <c r="H49" s="4"/>
      <c r="I49" s="4"/>
      <c r="J49" s="4"/>
      <c r="K49" s="12"/>
    </row>
    <row r="50" spans="1:11">
      <c r="A50" s="23" t="s">
        <v>196</v>
      </c>
      <c r="B50" s="23" t="s">
        <v>197</v>
      </c>
      <c r="C50" s="4">
        <v>0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f>SUM(C50:H50)</f>
        <v>5</v>
      </c>
      <c r="J50" s="4">
        <v>6</v>
      </c>
      <c r="K50" s="12">
        <f t="shared" si="0"/>
        <v>83.333333333333343</v>
      </c>
    </row>
    <row r="51" spans="1:11">
      <c r="A51" s="23" t="s">
        <v>198</v>
      </c>
      <c r="B51" s="23" t="s">
        <v>199</v>
      </c>
      <c r="C51" s="4">
        <v>1</v>
      </c>
      <c r="D51" s="4">
        <v>1</v>
      </c>
      <c r="E51" s="4">
        <v>0</v>
      </c>
      <c r="F51" s="4">
        <v>1</v>
      </c>
      <c r="G51" s="4">
        <v>1</v>
      </c>
      <c r="H51" s="4">
        <v>0</v>
      </c>
      <c r="I51" s="4">
        <f>SUM(C51:H51)</f>
        <v>4</v>
      </c>
      <c r="J51" s="4">
        <v>6</v>
      </c>
      <c r="K51" s="12">
        <f t="shared" si="0"/>
        <v>66.666666666666657</v>
      </c>
    </row>
    <row r="52" spans="1:11">
      <c r="A52" s="23" t="s">
        <v>200</v>
      </c>
      <c r="B52" s="23" t="s">
        <v>201</v>
      </c>
      <c r="C52" s="4">
        <v>0</v>
      </c>
      <c r="D52" s="4">
        <v>1</v>
      </c>
      <c r="E52" s="4">
        <v>0</v>
      </c>
      <c r="F52" s="4">
        <v>1</v>
      </c>
      <c r="G52" s="4">
        <v>1</v>
      </c>
      <c r="H52" s="4">
        <v>1</v>
      </c>
      <c r="I52" s="4">
        <f>SUM(C52:H52)</f>
        <v>4</v>
      </c>
      <c r="J52" s="4">
        <v>6</v>
      </c>
      <c r="K52" s="12">
        <f t="shared" si="0"/>
        <v>66.666666666666657</v>
      </c>
    </row>
    <row r="53" spans="1:11">
      <c r="A53" s="23" t="s">
        <v>202</v>
      </c>
      <c r="B53" s="23" t="s">
        <v>203</v>
      </c>
      <c r="C53" s="4">
        <v>0</v>
      </c>
      <c r="D53" s="4">
        <v>0</v>
      </c>
      <c r="E53" s="4">
        <v>0</v>
      </c>
      <c r="F53" s="4">
        <v>1</v>
      </c>
      <c r="G53" s="4">
        <v>1</v>
      </c>
      <c r="H53" s="4">
        <v>1</v>
      </c>
      <c r="I53" s="4">
        <f>SUM(C53:H53)</f>
        <v>3</v>
      </c>
      <c r="J53" s="4">
        <v>6</v>
      </c>
      <c r="K53" s="12">
        <f t="shared" si="0"/>
        <v>50</v>
      </c>
    </row>
    <row r="54" spans="1:11">
      <c r="A54" s="23" t="s">
        <v>204</v>
      </c>
      <c r="B54" s="23" t="s">
        <v>205</v>
      </c>
      <c r="C54" s="4">
        <v>1</v>
      </c>
      <c r="D54" s="4">
        <v>1</v>
      </c>
      <c r="E54" s="4">
        <v>0</v>
      </c>
      <c r="F54" s="4">
        <v>1</v>
      </c>
      <c r="G54" s="4">
        <v>1</v>
      </c>
      <c r="H54" s="4">
        <v>1</v>
      </c>
      <c r="I54" s="4">
        <f>SUM(C54:H54)</f>
        <v>5</v>
      </c>
      <c r="J54" s="4">
        <v>6</v>
      </c>
      <c r="K54" s="12">
        <f t="shared" si="0"/>
        <v>83.333333333333343</v>
      </c>
    </row>
    <row r="55" spans="1:11">
      <c r="A55" s="23" t="s">
        <v>206</v>
      </c>
      <c r="B55" s="23" t="s">
        <v>207</v>
      </c>
      <c r="C55" s="4">
        <v>0</v>
      </c>
      <c r="D55" s="4">
        <v>1</v>
      </c>
      <c r="E55" s="4">
        <v>0</v>
      </c>
      <c r="F55" s="4">
        <v>1</v>
      </c>
      <c r="G55" s="4">
        <v>1</v>
      </c>
      <c r="H55" s="4">
        <v>1</v>
      </c>
      <c r="I55" s="4">
        <f>SUM(C55:H55)</f>
        <v>4</v>
      </c>
      <c r="J55" s="4">
        <v>6</v>
      </c>
      <c r="K55" s="12">
        <f t="shared" si="0"/>
        <v>66.666666666666657</v>
      </c>
    </row>
    <row r="56" spans="1:11">
      <c r="A56" s="23" t="s">
        <v>208</v>
      </c>
      <c r="B56" s="23" t="s">
        <v>209</v>
      </c>
      <c r="C56" s="4">
        <v>1</v>
      </c>
      <c r="D56" s="4">
        <v>1</v>
      </c>
      <c r="E56" s="4">
        <v>0</v>
      </c>
      <c r="F56" s="4">
        <v>1</v>
      </c>
      <c r="G56" s="4">
        <v>1</v>
      </c>
      <c r="H56" s="4">
        <v>1</v>
      </c>
      <c r="I56" s="4">
        <f>SUM(C56:H56)</f>
        <v>5</v>
      </c>
      <c r="J56" s="4">
        <v>6</v>
      </c>
      <c r="K56" s="12">
        <f t="shared" si="0"/>
        <v>83.333333333333343</v>
      </c>
    </row>
    <row r="57" spans="1:11">
      <c r="A57" s="23" t="s">
        <v>210</v>
      </c>
      <c r="B57" s="23" t="s">
        <v>211</v>
      </c>
      <c r="C57" s="4">
        <v>1</v>
      </c>
      <c r="D57" s="4">
        <v>1</v>
      </c>
      <c r="E57" s="4">
        <v>0</v>
      </c>
      <c r="F57" s="4">
        <v>1</v>
      </c>
      <c r="G57" s="4">
        <v>1</v>
      </c>
      <c r="H57" s="4">
        <v>1</v>
      </c>
      <c r="I57" s="4">
        <f>SUM(C57:H57)</f>
        <v>5</v>
      </c>
      <c r="J57" s="4">
        <v>6</v>
      </c>
      <c r="K57" s="12">
        <f t="shared" si="0"/>
        <v>83.333333333333343</v>
      </c>
    </row>
    <row r="58" spans="1:11">
      <c r="A58" s="23" t="s">
        <v>212</v>
      </c>
      <c r="B58" s="23" t="s">
        <v>213</v>
      </c>
      <c r="C58" s="4">
        <v>1</v>
      </c>
      <c r="D58" s="4">
        <v>1</v>
      </c>
      <c r="E58" s="4">
        <v>0</v>
      </c>
      <c r="F58" s="4">
        <v>1</v>
      </c>
      <c r="G58" s="4">
        <v>1</v>
      </c>
      <c r="H58" s="4">
        <v>1</v>
      </c>
      <c r="I58" s="4">
        <f>SUM(C58:H58)</f>
        <v>5</v>
      </c>
      <c r="J58" s="4">
        <v>6</v>
      </c>
      <c r="K58" s="12">
        <f t="shared" si="0"/>
        <v>83.333333333333343</v>
      </c>
    </row>
    <row r="59" spans="1:11">
      <c r="A59" s="23" t="s">
        <v>214</v>
      </c>
      <c r="B59" s="23" t="s">
        <v>215</v>
      </c>
      <c r="C59" s="4">
        <v>1</v>
      </c>
      <c r="D59" s="4">
        <v>1</v>
      </c>
      <c r="E59" s="4">
        <v>0</v>
      </c>
      <c r="F59" s="4">
        <v>1</v>
      </c>
      <c r="G59" s="4">
        <v>1</v>
      </c>
      <c r="H59" s="4">
        <v>1</v>
      </c>
      <c r="I59" s="4">
        <f>SUM(C59:H59)</f>
        <v>5</v>
      </c>
      <c r="J59" s="4">
        <v>6</v>
      </c>
      <c r="K59" s="12">
        <f t="shared" si="0"/>
        <v>83.333333333333343</v>
      </c>
    </row>
    <row r="60" spans="1:11">
      <c r="A60" s="23" t="s">
        <v>216</v>
      </c>
      <c r="B60" s="23" t="s">
        <v>217</v>
      </c>
      <c r="C60" s="4">
        <v>0</v>
      </c>
      <c r="D60" s="4">
        <v>1</v>
      </c>
      <c r="E60" s="4">
        <v>0</v>
      </c>
      <c r="F60" s="4">
        <v>1</v>
      </c>
      <c r="G60" s="4">
        <v>1</v>
      </c>
      <c r="H60" s="4">
        <v>1</v>
      </c>
      <c r="I60" s="4">
        <f>SUM(C60:H60)</f>
        <v>4</v>
      </c>
      <c r="J60" s="4">
        <v>6</v>
      </c>
      <c r="K60" s="12">
        <f t="shared" si="0"/>
        <v>66.666666666666657</v>
      </c>
    </row>
    <row r="61" spans="1:11">
      <c r="A61" s="23" t="s">
        <v>218</v>
      </c>
      <c r="B61" s="23" t="s">
        <v>219</v>
      </c>
      <c r="C61" s="4">
        <v>1</v>
      </c>
      <c r="D61" s="4">
        <v>1</v>
      </c>
      <c r="E61" s="4">
        <v>0</v>
      </c>
      <c r="F61" s="4">
        <v>1</v>
      </c>
      <c r="G61" s="4">
        <v>1</v>
      </c>
      <c r="H61" s="4">
        <v>1</v>
      </c>
      <c r="I61" s="4">
        <f>SUM(C61:H61)</f>
        <v>5</v>
      </c>
      <c r="J61" s="4">
        <v>6</v>
      </c>
      <c r="K61" s="12">
        <f t="shared" si="0"/>
        <v>83.333333333333343</v>
      </c>
    </row>
    <row r="62" spans="1:11">
      <c r="A62" s="23" t="s">
        <v>220</v>
      </c>
      <c r="B62" s="23" t="s">
        <v>221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f>SUM(C62:H62)</f>
        <v>6</v>
      </c>
      <c r="J62" s="4">
        <v>6</v>
      </c>
      <c r="K62" s="12">
        <v>100</v>
      </c>
    </row>
  </sheetData>
  <mergeCells count="6"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"/>
  <sheetViews>
    <sheetView workbookViewId="0">
      <selection activeCell="G18" sqref="G18"/>
    </sheetView>
  </sheetViews>
  <sheetFormatPr defaultRowHeight="14.4"/>
  <cols>
    <col min="1" max="1" width="14.21875" customWidth="1"/>
    <col min="2" max="2" width="20.5546875" customWidth="1"/>
    <col min="6" max="6" width="14.44140625" customWidth="1"/>
    <col min="7" max="7" width="11.21875" customWidth="1"/>
    <col min="12" max="12" width="6.44140625" customWidth="1"/>
  </cols>
  <sheetData>
    <row r="1" spans="1:39">
      <c r="A1" s="2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40"/>
    </row>
    <row r="2" spans="1:39">
      <c r="A2" s="2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40"/>
    </row>
    <row r="3" spans="1:39">
      <c r="A3" s="29" t="s">
        <v>186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0"/>
    </row>
    <row r="4" spans="1:39">
      <c r="A4" s="29" t="s">
        <v>437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40"/>
    </row>
    <row r="5" spans="1:39">
      <c r="A5" s="29" t="s">
        <v>188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40"/>
    </row>
    <row r="6" spans="1:39">
      <c r="A6" s="29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0"/>
    </row>
    <row r="9" spans="1:39" ht="15" thickBot="1">
      <c r="A9" s="5" t="s">
        <v>228</v>
      </c>
      <c r="B9" s="5" t="s">
        <v>190</v>
      </c>
      <c r="C9" s="47" t="s">
        <v>232</v>
      </c>
      <c r="D9" s="47" t="s">
        <v>233</v>
      </c>
      <c r="E9" s="47" t="s">
        <v>229</v>
      </c>
      <c r="F9" s="48" t="s">
        <v>234</v>
      </c>
      <c r="G9" s="47" t="s">
        <v>230</v>
      </c>
      <c r="H9" s="47" t="s">
        <v>231</v>
      </c>
      <c r="I9" s="48" t="s">
        <v>235</v>
      </c>
      <c r="J9" s="50" t="s">
        <v>191</v>
      </c>
      <c r="K9" s="50" t="s">
        <v>192</v>
      </c>
      <c r="L9" s="50" t="s">
        <v>193</v>
      </c>
    </row>
    <row r="10" spans="1:39" ht="29.4" thickBot="1">
      <c r="A10" s="33" t="s">
        <v>85</v>
      </c>
      <c r="B10" s="34" t="s">
        <v>86</v>
      </c>
      <c r="C10" s="4">
        <v>1</v>
      </c>
      <c r="D10" s="4">
        <v>1</v>
      </c>
      <c r="E10" s="4">
        <v>1</v>
      </c>
      <c r="F10" s="4">
        <v>1</v>
      </c>
      <c r="G10" s="4">
        <v>0</v>
      </c>
      <c r="H10" s="4">
        <v>1</v>
      </c>
      <c r="I10" s="4">
        <v>0</v>
      </c>
      <c r="J10">
        <f>SUM(C10:I10)</f>
        <v>5</v>
      </c>
      <c r="K10" s="4">
        <v>7</v>
      </c>
      <c r="L10" s="12">
        <f>J10/K10*100</f>
        <v>71.428571428571431</v>
      </c>
    </row>
    <row r="11" spans="1:39" ht="29.4" thickBot="1">
      <c r="A11" s="33" t="s">
        <v>87</v>
      </c>
      <c r="B11" s="34" t="s">
        <v>88</v>
      </c>
      <c r="C11" s="4">
        <v>1</v>
      </c>
      <c r="D11" s="4">
        <v>1</v>
      </c>
      <c r="E11" s="4">
        <v>1</v>
      </c>
      <c r="F11" s="4">
        <v>0</v>
      </c>
      <c r="G11" s="4">
        <v>1</v>
      </c>
      <c r="H11" s="4">
        <v>1</v>
      </c>
      <c r="I11" s="4">
        <v>1</v>
      </c>
      <c r="J11">
        <f>SUM(C11:I11)</f>
        <v>6</v>
      </c>
      <c r="K11" s="4">
        <v>7</v>
      </c>
      <c r="L11" s="12">
        <f t="shared" ref="L11:L48" si="0">J11/K11*100</f>
        <v>85.714285714285708</v>
      </c>
    </row>
    <row r="12" spans="1:39" ht="29.4" thickBot="1">
      <c r="A12" s="33" t="s">
        <v>89</v>
      </c>
      <c r="B12" s="34" t="s">
        <v>90</v>
      </c>
      <c r="C12" s="4">
        <v>1</v>
      </c>
      <c r="D12" s="4">
        <v>0</v>
      </c>
      <c r="E12" s="4">
        <v>1</v>
      </c>
      <c r="F12" s="4">
        <v>0</v>
      </c>
      <c r="G12" s="4">
        <v>1</v>
      </c>
      <c r="H12" s="4">
        <v>1</v>
      </c>
      <c r="I12" s="4">
        <v>1</v>
      </c>
      <c r="J12">
        <f>SUM(C12:I12)</f>
        <v>5</v>
      </c>
      <c r="K12" s="4">
        <v>7</v>
      </c>
      <c r="L12" s="12">
        <f t="shared" si="0"/>
        <v>71.428571428571431</v>
      </c>
    </row>
    <row r="13" spans="1:39" ht="29.4" thickBot="1">
      <c r="A13" s="33" t="s">
        <v>91</v>
      </c>
      <c r="B13" s="34" t="s">
        <v>92</v>
      </c>
      <c r="C13" s="4">
        <v>1</v>
      </c>
      <c r="D13" s="4">
        <v>1</v>
      </c>
      <c r="E13" s="4">
        <v>1</v>
      </c>
      <c r="F13" s="4">
        <v>0</v>
      </c>
      <c r="G13" s="4">
        <v>0</v>
      </c>
      <c r="H13" s="4">
        <v>1</v>
      </c>
      <c r="I13" s="4">
        <v>1</v>
      </c>
      <c r="J13">
        <f>SUM(C13:I13)</f>
        <v>5</v>
      </c>
      <c r="K13" s="4">
        <v>7</v>
      </c>
      <c r="L13" s="12">
        <f t="shared" si="0"/>
        <v>71.428571428571431</v>
      </c>
    </row>
    <row r="14" spans="1:39" ht="15" thickBot="1">
      <c r="A14" s="33" t="s">
        <v>93</v>
      </c>
      <c r="B14" s="34" t="s">
        <v>94</v>
      </c>
      <c r="C14" s="4">
        <v>1</v>
      </c>
      <c r="D14" s="4">
        <v>1</v>
      </c>
      <c r="E14" s="4">
        <v>1</v>
      </c>
      <c r="F14" s="4">
        <v>0</v>
      </c>
      <c r="G14" s="4">
        <v>0</v>
      </c>
      <c r="H14" s="4">
        <v>1</v>
      </c>
      <c r="I14" s="4">
        <v>1</v>
      </c>
      <c r="J14">
        <f>SUM(C14:I14)</f>
        <v>5</v>
      </c>
      <c r="K14" s="4">
        <v>7</v>
      </c>
      <c r="L14" s="12">
        <f t="shared" si="0"/>
        <v>71.428571428571431</v>
      </c>
    </row>
    <row r="15" spans="1:39" ht="15" thickBot="1">
      <c r="A15" s="33" t="s">
        <v>95</v>
      </c>
      <c r="B15" s="34" t="s">
        <v>96</v>
      </c>
      <c r="C15" s="4">
        <v>1</v>
      </c>
      <c r="D15" s="4">
        <v>1</v>
      </c>
      <c r="E15" s="4">
        <v>1</v>
      </c>
      <c r="F15" s="4">
        <v>1</v>
      </c>
      <c r="G15" s="4">
        <v>0</v>
      </c>
      <c r="H15" s="4">
        <v>1</v>
      </c>
      <c r="I15" s="4">
        <v>1</v>
      </c>
      <c r="J15">
        <f>SUM(C15:I15)</f>
        <v>6</v>
      </c>
      <c r="K15" s="4">
        <v>7</v>
      </c>
      <c r="L15" s="12">
        <f t="shared" si="0"/>
        <v>85.714285714285708</v>
      </c>
    </row>
    <row r="16" spans="1:39" ht="15" thickBot="1">
      <c r="A16" s="33" t="s">
        <v>97</v>
      </c>
      <c r="B16" s="34" t="s">
        <v>98</v>
      </c>
      <c r="C16" s="4">
        <v>1</v>
      </c>
      <c r="D16" s="4">
        <v>1</v>
      </c>
      <c r="E16" s="4">
        <v>1</v>
      </c>
      <c r="F16" s="4">
        <v>0</v>
      </c>
      <c r="G16" s="4">
        <v>0</v>
      </c>
      <c r="H16" s="4">
        <v>1</v>
      </c>
      <c r="I16" s="4">
        <v>1</v>
      </c>
      <c r="J16">
        <f>SUM(C16:I16)</f>
        <v>5</v>
      </c>
      <c r="K16" s="4">
        <v>7</v>
      </c>
      <c r="L16" s="12">
        <f t="shared" si="0"/>
        <v>71.428571428571431</v>
      </c>
    </row>
    <row r="17" spans="1:12" ht="29.4" thickBot="1">
      <c r="A17" s="33" t="s">
        <v>99</v>
      </c>
      <c r="B17" s="34" t="s">
        <v>100</v>
      </c>
      <c r="C17" s="4">
        <v>1</v>
      </c>
      <c r="D17" s="4">
        <v>1</v>
      </c>
      <c r="E17" s="4">
        <v>1</v>
      </c>
      <c r="F17" s="4">
        <v>0</v>
      </c>
      <c r="G17" s="4">
        <v>1</v>
      </c>
      <c r="H17" s="4">
        <v>1</v>
      </c>
      <c r="I17" s="4">
        <v>0</v>
      </c>
      <c r="J17">
        <f>SUM(C17:I17)</f>
        <v>5</v>
      </c>
      <c r="K17" s="4">
        <v>7</v>
      </c>
      <c r="L17" s="12">
        <f t="shared" si="0"/>
        <v>71.428571428571431</v>
      </c>
    </row>
    <row r="18" spans="1:12" ht="29.4" thickBot="1">
      <c r="A18" s="33" t="s">
        <v>101</v>
      </c>
      <c r="B18" s="34" t="s">
        <v>102</v>
      </c>
      <c r="C18" s="4">
        <v>1</v>
      </c>
      <c r="D18" s="4">
        <v>0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>
        <f>SUM(C18:I18)</f>
        <v>5</v>
      </c>
      <c r="K18" s="4">
        <v>7</v>
      </c>
      <c r="L18" s="12">
        <f t="shared" si="0"/>
        <v>71.428571428571431</v>
      </c>
    </row>
    <row r="19" spans="1:12" ht="29.4" thickBot="1">
      <c r="A19" s="33" t="s">
        <v>103</v>
      </c>
      <c r="B19" s="34" t="s">
        <v>104</v>
      </c>
      <c r="C19" s="4">
        <v>1</v>
      </c>
      <c r="D19" s="4">
        <v>0</v>
      </c>
      <c r="E19" s="4">
        <v>1</v>
      </c>
      <c r="F19" s="4">
        <v>0</v>
      </c>
      <c r="G19" s="4">
        <v>0</v>
      </c>
      <c r="H19" s="4">
        <v>1</v>
      </c>
      <c r="I19" s="4">
        <v>0</v>
      </c>
      <c r="J19">
        <f>SUM(C19:I19)</f>
        <v>3</v>
      </c>
      <c r="K19" s="4">
        <v>7</v>
      </c>
      <c r="L19" s="12">
        <f t="shared" si="0"/>
        <v>42.857142857142854</v>
      </c>
    </row>
    <row r="20" spans="1:12" ht="15" thickBot="1">
      <c r="A20" s="33" t="s">
        <v>161</v>
      </c>
      <c r="B20" s="34" t="s">
        <v>106</v>
      </c>
      <c r="C20" s="4">
        <v>1</v>
      </c>
      <c r="D20" s="4">
        <v>0</v>
      </c>
      <c r="E20" s="4">
        <v>1</v>
      </c>
      <c r="F20" s="4">
        <v>0</v>
      </c>
      <c r="G20" s="4">
        <v>0</v>
      </c>
      <c r="H20" s="4">
        <v>1</v>
      </c>
      <c r="I20" s="4">
        <v>1</v>
      </c>
      <c r="J20">
        <f>SUM(C20:I20)</f>
        <v>4</v>
      </c>
      <c r="K20" s="4">
        <v>7</v>
      </c>
      <c r="L20" s="12">
        <f t="shared" si="0"/>
        <v>57.142857142857139</v>
      </c>
    </row>
    <row r="21" spans="1:12" ht="15" thickBot="1">
      <c r="A21" s="41" t="s">
        <v>162</v>
      </c>
      <c r="B21" s="42" t="s">
        <v>105</v>
      </c>
      <c r="C21" s="4">
        <v>1</v>
      </c>
      <c r="D21" s="4">
        <v>0</v>
      </c>
      <c r="E21" s="4">
        <v>1</v>
      </c>
      <c r="F21" s="4">
        <v>1</v>
      </c>
      <c r="G21" s="4">
        <v>1</v>
      </c>
      <c r="H21" s="4">
        <v>1</v>
      </c>
      <c r="I21" s="4">
        <v>0</v>
      </c>
      <c r="J21">
        <f>SUM(C21:I21)</f>
        <v>5</v>
      </c>
      <c r="K21" s="4">
        <v>7</v>
      </c>
      <c r="L21" s="12">
        <f t="shared" si="0"/>
        <v>71.428571428571431</v>
      </c>
    </row>
    <row r="22" spans="1:12" ht="15" thickBot="1">
      <c r="A22" s="33" t="s">
        <v>107</v>
      </c>
      <c r="B22" s="34" t="s">
        <v>108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0</v>
      </c>
      <c r="I22" s="4">
        <v>1</v>
      </c>
      <c r="J22">
        <f>SUM(C22:I22)</f>
        <v>6</v>
      </c>
      <c r="K22" s="4">
        <v>7</v>
      </c>
      <c r="L22" s="12">
        <f t="shared" si="0"/>
        <v>85.714285714285708</v>
      </c>
    </row>
    <row r="23" spans="1:12" ht="15" thickBot="1">
      <c r="A23" s="33" t="s">
        <v>109</v>
      </c>
      <c r="B23" s="34" t="s">
        <v>110</v>
      </c>
      <c r="C23" s="4">
        <v>1</v>
      </c>
      <c r="D23" s="4">
        <v>1</v>
      </c>
      <c r="E23" s="4">
        <v>1</v>
      </c>
      <c r="F23" s="4">
        <v>0</v>
      </c>
      <c r="G23" s="4">
        <v>1</v>
      </c>
      <c r="H23" s="4">
        <v>1</v>
      </c>
      <c r="I23" s="4">
        <v>1</v>
      </c>
      <c r="J23">
        <f>SUM(C23:I23)</f>
        <v>6</v>
      </c>
      <c r="K23" s="4">
        <v>7</v>
      </c>
      <c r="L23" s="12">
        <f t="shared" si="0"/>
        <v>85.714285714285708</v>
      </c>
    </row>
    <row r="24" spans="1:12" ht="15" thickBot="1">
      <c r="A24" s="33" t="s">
        <v>111</v>
      </c>
      <c r="B24" s="34" t="s">
        <v>112</v>
      </c>
      <c r="C24" s="4">
        <v>1</v>
      </c>
      <c r="D24" s="4">
        <v>1</v>
      </c>
      <c r="E24" s="4">
        <v>1</v>
      </c>
      <c r="F24" s="4">
        <v>0</v>
      </c>
      <c r="G24" s="4">
        <v>1</v>
      </c>
      <c r="H24" s="4">
        <v>0</v>
      </c>
      <c r="I24" s="4">
        <v>1</v>
      </c>
      <c r="J24">
        <f>SUM(C24:I24)</f>
        <v>5</v>
      </c>
      <c r="K24" s="4">
        <v>7</v>
      </c>
      <c r="L24" s="12">
        <f t="shared" si="0"/>
        <v>71.428571428571431</v>
      </c>
    </row>
    <row r="25" spans="1:12" ht="15" thickBot="1">
      <c r="A25" s="33" t="s">
        <v>113</v>
      </c>
      <c r="B25" s="34" t="s">
        <v>114</v>
      </c>
      <c r="C25" s="4">
        <v>1</v>
      </c>
      <c r="D25" s="4">
        <v>0</v>
      </c>
      <c r="E25" s="4">
        <v>1</v>
      </c>
      <c r="F25" s="4">
        <v>1</v>
      </c>
      <c r="G25" s="4">
        <v>0</v>
      </c>
      <c r="H25" s="4">
        <v>1</v>
      </c>
      <c r="I25" s="4">
        <v>1</v>
      </c>
      <c r="J25">
        <f>SUM(C25:I25)</f>
        <v>5</v>
      </c>
      <c r="K25" s="4">
        <v>7</v>
      </c>
      <c r="L25" s="12">
        <f t="shared" si="0"/>
        <v>71.428571428571431</v>
      </c>
    </row>
    <row r="26" spans="1:12" ht="29.4" thickBot="1">
      <c r="A26" s="33" t="s">
        <v>115</v>
      </c>
      <c r="B26" s="34" t="s">
        <v>116</v>
      </c>
      <c r="C26" s="4">
        <v>1</v>
      </c>
      <c r="D26" s="4">
        <v>0</v>
      </c>
      <c r="E26" s="4">
        <v>1</v>
      </c>
      <c r="F26" s="4">
        <v>1</v>
      </c>
      <c r="G26" s="4">
        <v>0</v>
      </c>
      <c r="H26" s="4">
        <v>1</v>
      </c>
      <c r="I26" s="4">
        <v>1</v>
      </c>
      <c r="J26">
        <f>SUM(C26:I26)</f>
        <v>5</v>
      </c>
      <c r="K26" s="4">
        <v>7</v>
      </c>
      <c r="L26" s="12">
        <f t="shared" si="0"/>
        <v>71.428571428571431</v>
      </c>
    </row>
    <row r="27" spans="1:12" ht="15" thickBot="1">
      <c r="A27" s="33" t="s">
        <v>117</v>
      </c>
      <c r="B27" s="34" t="s">
        <v>118</v>
      </c>
      <c r="C27" s="4">
        <v>1</v>
      </c>
      <c r="D27" s="4">
        <v>1</v>
      </c>
      <c r="E27" s="4">
        <v>1</v>
      </c>
      <c r="F27" s="4">
        <v>0</v>
      </c>
      <c r="G27" s="4">
        <v>1</v>
      </c>
      <c r="H27" s="4">
        <v>1</v>
      </c>
      <c r="I27" s="4">
        <v>0</v>
      </c>
      <c r="J27">
        <f>SUM(C27:I27)</f>
        <v>5</v>
      </c>
      <c r="K27" s="4">
        <v>7</v>
      </c>
      <c r="L27" s="12">
        <f t="shared" si="0"/>
        <v>71.428571428571431</v>
      </c>
    </row>
    <row r="28" spans="1:12" ht="15" thickBot="1">
      <c r="A28" s="33" t="s">
        <v>119</v>
      </c>
      <c r="B28" s="34" t="s">
        <v>120</v>
      </c>
      <c r="C28" s="4">
        <v>1</v>
      </c>
      <c r="D28" s="4">
        <v>0</v>
      </c>
      <c r="E28" s="4">
        <v>1</v>
      </c>
      <c r="F28" s="4">
        <v>1</v>
      </c>
      <c r="G28" s="4">
        <v>1</v>
      </c>
      <c r="H28" s="4">
        <v>0</v>
      </c>
      <c r="I28" s="4">
        <v>1</v>
      </c>
      <c r="J28">
        <f>SUM(C28:I28)</f>
        <v>5</v>
      </c>
      <c r="K28" s="4">
        <v>7</v>
      </c>
      <c r="L28" s="12">
        <f t="shared" si="0"/>
        <v>71.428571428571431</v>
      </c>
    </row>
    <row r="29" spans="1:12" ht="29.4" thickBot="1">
      <c r="A29" s="33" t="s">
        <v>121</v>
      </c>
      <c r="B29" s="34" t="s">
        <v>122</v>
      </c>
      <c r="C29" s="4">
        <v>1</v>
      </c>
      <c r="D29" s="4">
        <v>0</v>
      </c>
      <c r="E29" s="4">
        <v>0</v>
      </c>
      <c r="F29" s="4">
        <v>1</v>
      </c>
      <c r="G29" s="4">
        <v>1</v>
      </c>
      <c r="H29" s="4">
        <v>1</v>
      </c>
      <c r="I29" s="4">
        <v>1</v>
      </c>
      <c r="J29">
        <f>SUM(C29:I29)</f>
        <v>5</v>
      </c>
      <c r="K29" s="4">
        <v>7</v>
      </c>
      <c r="L29" s="12">
        <f t="shared" si="0"/>
        <v>71.428571428571431</v>
      </c>
    </row>
    <row r="30" spans="1:12" ht="15" thickBot="1">
      <c r="A30" s="33" t="s">
        <v>123</v>
      </c>
      <c r="B30" s="34" t="s">
        <v>124</v>
      </c>
      <c r="C30" s="4">
        <v>1</v>
      </c>
      <c r="D30" s="4">
        <v>0</v>
      </c>
      <c r="E30" s="4">
        <v>1</v>
      </c>
      <c r="F30" s="4">
        <v>0</v>
      </c>
      <c r="G30" s="4">
        <v>1</v>
      </c>
      <c r="H30" s="4">
        <v>1</v>
      </c>
      <c r="I30" s="4">
        <v>1</v>
      </c>
      <c r="J30">
        <f>SUM(C30:I30)</f>
        <v>5</v>
      </c>
      <c r="K30" s="4">
        <v>7</v>
      </c>
      <c r="L30" s="12">
        <f t="shared" si="0"/>
        <v>71.428571428571431</v>
      </c>
    </row>
    <row r="31" spans="1:12" ht="15" thickBot="1">
      <c r="A31" s="33" t="s">
        <v>125</v>
      </c>
      <c r="B31" s="34" t="s">
        <v>126</v>
      </c>
      <c r="C31" s="4">
        <v>1</v>
      </c>
      <c r="D31" s="4">
        <v>0</v>
      </c>
      <c r="E31" s="4">
        <v>1</v>
      </c>
      <c r="F31" s="4">
        <v>0</v>
      </c>
      <c r="G31" s="4">
        <v>1</v>
      </c>
      <c r="H31" s="4">
        <v>1</v>
      </c>
      <c r="I31" s="4">
        <v>1</v>
      </c>
      <c r="J31">
        <f>SUM(C31:I31)</f>
        <v>5</v>
      </c>
      <c r="K31" s="4">
        <v>7</v>
      </c>
      <c r="L31" s="12">
        <f t="shared" si="0"/>
        <v>71.428571428571431</v>
      </c>
    </row>
    <row r="32" spans="1:12" ht="29.4" thickBot="1">
      <c r="A32" s="33" t="s">
        <v>127</v>
      </c>
      <c r="B32" s="34" t="s">
        <v>128</v>
      </c>
      <c r="C32" s="4">
        <v>0</v>
      </c>
      <c r="D32" s="4">
        <v>1</v>
      </c>
      <c r="E32" s="4">
        <v>1</v>
      </c>
      <c r="F32" s="4">
        <v>0</v>
      </c>
      <c r="G32" s="4">
        <v>1</v>
      </c>
      <c r="H32" s="4">
        <v>1</v>
      </c>
      <c r="I32" s="4">
        <v>1</v>
      </c>
      <c r="J32">
        <f>SUM(C32:I32)</f>
        <v>5</v>
      </c>
      <c r="K32" s="4">
        <v>7</v>
      </c>
      <c r="L32" s="12">
        <f t="shared" si="0"/>
        <v>71.428571428571431</v>
      </c>
    </row>
    <row r="33" spans="1:12" ht="15" thickBot="1">
      <c r="A33" s="33" t="s">
        <v>129</v>
      </c>
      <c r="B33" s="34" t="s">
        <v>130</v>
      </c>
      <c r="C33" s="4">
        <v>1</v>
      </c>
      <c r="D33" s="4">
        <v>0</v>
      </c>
      <c r="E33" s="4">
        <v>1</v>
      </c>
      <c r="F33" s="4">
        <v>1</v>
      </c>
      <c r="G33" s="4">
        <v>0</v>
      </c>
      <c r="H33" s="4">
        <v>1</v>
      </c>
      <c r="I33" s="4">
        <v>1</v>
      </c>
      <c r="J33">
        <f>SUM(C33:I33)</f>
        <v>5</v>
      </c>
      <c r="K33" s="4">
        <v>7</v>
      </c>
      <c r="L33" s="12">
        <f t="shared" si="0"/>
        <v>71.428571428571431</v>
      </c>
    </row>
    <row r="34" spans="1:12" ht="29.4" thickBot="1">
      <c r="A34" s="33" t="s">
        <v>131</v>
      </c>
      <c r="B34" s="34" t="s">
        <v>132</v>
      </c>
      <c r="C34" s="4">
        <v>1</v>
      </c>
      <c r="D34" s="4">
        <v>0</v>
      </c>
      <c r="E34" s="4">
        <v>1</v>
      </c>
      <c r="F34" s="4">
        <v>0</v>
      </c>
      <c r="G34" s="4">
        <v>1</v>
      </c>
      <c r="H34" s="4">
        <v>1</v>
      </c>
      <c r="I34" s="4">
        <v>1</v>
      </c>
      <c r="J34">
        <f>SUM(C34:I34)</f>
        <v>5</v>
      </c>
      <c r="K34" s="4">
        <v>7</v>
      </c>
      <c r="L34" s="12">
        <f t="shared" si="0"/>
        <v>71.428571428571431</v>
      </c>
    </row>
    <row r="35" spans="1:12" ht="29.4" thickBot="1">
      <c r="A35" s="33" t="s">
        <v>133</v>
      </c>
      <c r="B35" s="34" t="s">
        <v>134</v>
      </c>
      <c r="C35" s="4">
        <v>1</v>
      </c>
      <c r="D35" s="4">
        <v>1</v>
      </c>
      <c r="E35" s="4">
        <v>0</v>
      </c>
      <c r="F35" s="4">
        <v>1</v>
      </c>
      <c r="G35" s="4">
        <v>1</v>
      </c>
      <c r="H35" s="4">
        <v>1</v>
      </c>
      <c r="I35" s="4">
        <v>0</v>
      </c>
      <c r="J35">
        <f>SUM(C35:I35)</f>
        <v>5</v>
      </c>
      <c r="K35" s="4">
        <v>7</v>
      </c>
      <c r="L35" s="12">
        <f t="shared" si="0"/>
        <v>71.428571428571431</v>
      </c>
    </row>
    <row r="36" spans="1:12" ht="15" thickBot="1">
      <c r="A36" s="33" t="s">
        <v>135</v>
      </c>
      <c r="B36" s="34" t="s">
        <v>136</v>
      </c>
      <c r="C36" s="4">
        <v>1</v>
      </c>
      <c r="D36" s="4">
        <v>1</v>
      </c>
      <c r="E36" s="4">
        <v>1</v>
      </c>
      <c r="F36" s="4">
        <v>0</v>
      </c>
      <c r="G36" s="4">
        <v>1</v>
      </c>
      <c r="H36" s="4">
        <v>1</v>
      </c>
      <c r="I36" s="4">
        <v>0</v>
      </c>
      <c r="J36">
        <f>SUM(C36:I36)</f>
        <v>5</v>
      </c>
      <c r="K36" s="4">
        <v>7</v>
      </c>
      <c r="L36" s="12">
        <f t="shared" si="0"/>
        <v>71.428571428571431</v>
      </c>
    </row>
    <row r="37" spans="1:12" ht="15" thickBot="1">
      <c r="A37" s="33" t="s">
        <v>137</v>
      </c>
      <c r="B37" s="34" t="s">
        <v>138</v>
      </c>
      <c r="C37" s="4">
        <v>1</v>
      </c>
      <c r="D37" s="4">
        <v>0</v>
      </c>
      <c r="E37" s="4">
        <v>1</v>
      </c>
      <c r="F37" s="4">
        <v>0</v>
      </c>
      <c r="G37" s="4">
        <v>1</v>
      </c>
      <c r="H37" s="4">
        <v>1</v>
      </c>
      <c r="I37" s="4">
        <v>1</v>
      </c>
      <c r="J37">
        <f>SUM(C37:I37)</f>
        <v>5</v>
      </c>
      <c r="K37" s="4">
        <v>7</v>
      </c>
      <c r="L37" s="12">
        <f t="shared" si="0"/>
        <v>71.428571428571431</v>
      </c>
    </row>
    <row r="38" spans="1:12" ht="15" thickBot="1">
      <c r="A38" s="33" t="s">
        <v>139</v>
      </c>
      <c r="B38" s="34" t="s">
        <v>140</v>
      </c>
      <c r="C38" s="4">
        <v>1</v>
      </c>
      <c r="D38" s="4">
        <v>1</v>
      </c>
      <c r="E38" s="4">
        <v>1</v>
      </c>
      <c r="F38" s="4">
        <v>0</v>
      </c>
      <c r="G38" s="4">
        <v>1</v>
      </c>
      <c r="H38" s="4">
        <v>0</v>
      </c>
      <c r="I38" s="4">
        <v>1</v>
      </c>
      <c r="J38">
        <f>SUM(C38:I38)</f>
        <v>5</v>
      </c>
      <c r="K38" s="4">
        <v>7</v>
      </c>
      <c r="L38" s="12">
        <f t="shared" si="0"/>
        <v>71.428571428571431</v>
      </c>
    </row>
    <row r="39" spans="1:12" ht="15" thickBot="1">
      <c r="A39" s="33" t="s">
        <v>141</v>
      </c>
      <c r="B39" s="34" t="s">
        <v>142</v>
      </c>
      <c r="C39" s="4">
        <v>1</v>
      </c>
      <c r="D39" s="4">
        <v>0</v>
      </c>
      <c r="E39" s="4">
        <v>1</v>
      </c>
      <c r="F39" s="4">
        <v>0</v>
      </c>
      <c r="G39" s="4">
        <v>1</v>
      </c>
      <c r="H39" s="4">
        <v>0</v>
      </c>
      <c r="I39" s="4">
        <v>1</v>
      </c>
      <c r="J39">
        <f>SUM(C39:I39)</f>
        <v>4</v>
      </c>
      <c r="K39" s="4">
        <v>7</v>
      </c>
      <c r="L39" s="12">
        <f t="shared" si="0"/>
        <v>57.142857142857139</v>
      </c>
    </row>
    <row r="40" spans="1:12" ht="29.4" thickBot="1">
      <c r="A40" s="33" t="s">
        <v>143</v>
      </c>
      <c r="B40" s="34" t="s">
        <v>144</v>
      </c>
      <c r="C40" s="4">
        <v>0</v>
      </c>
      <c r="D40" s="4">
        <v>0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>
        <f>SUM(C40:I40)</f>
        <v>5</v>
      </c>
      <c r="K40" s="4">
        <v>7</v>
      </c>
      <c r="L40" s="12">
        <f t="shared" si="0"/>
        <v>71.428571428571431</v>
      </c>
    </row>
    <row r="41" spans="1:12" ht="29.4" thickBot="1">
      <c r="A41" s="33" t="s">
        <v>145</v>
      </c>
      <c r="B41" s="34" t="s">
        <v>146</v>
      </c>
      <c r="C41" s="4">
        <v>1</v>
      </c>
      <c r="D41" s="4">
        <v>0</v>
      </c>
      <c r="E41" s="4">
        <v>1</v>
      </c>
      <c r="F41" s="4">
        <v>0</v>
      </c>
      <c r="G41" s="4">
        <v>1</v>
      </c>
      <c r="H41" s="4">
        <v>1</v>
      </c>
      <c r="I41" s="4">
        <v>0</v>
      </c>
      <c r="J41">
        <f>SUM(C41:I41)</f>
        <v>4</v>
      </c>
      <c r="K41" s="4">
        <v>7</v>
      </c>
      <c r="L41" s="12">
        <f t="shared" si="0"/>
        <v>57.142857142857139</v>
      </c>
    </row>
    <row r="42" spans="1:12" ht="15" thickBot="1">
      <c r="A42" s="33" t="s">
        <v>147</v>
      </c>
      <c r="B42" s="34" t="s">
        <v>148</v>
      </c>
      <c r="C42" s="4">
        <v>1</v>
      </c>
      <c r="D42" s="4">
        <v>0</v>
      </c>
      <c r="E42" s="4">
        <v>1</v>
      </c>
      <c r="F42" s="4">
        <v>0</v>
      </c>
      <c r="G42" s="4">
        <v>1</v>
      </c>
      <c r="H42" s="4">
        <v>1</v>
      </c>
      <c r="I42" s="4">
        <v>0</v>
      </c>
      <c r="J42">
        <f>SUM(C42:I42)</f>
        <v>4</v>
      </c>
      <c r="K42" s="4">
        <v>7</v>
      </c>
      <c r="L42" s="12">
        <f t="shared" si="0"/>
        <v>57.142857142857139</v>
      </c>
    </row>
    <row r="43" spans="1:12" ht="15" thickBot="1">
      <c r="A43" s="33" t="s">
        <v>149</v>
      </c>
      <c r="B43" s="34" t="s">
        <v>150</v>
      </c>
      <c r="C43" s="4">
        <v>1</v>
      </c>
      <c r="D43" s="4">
        <v>0</v>
      </c>
      <c r="E43" s="4">
        <v>1</v>
      </c>
      <c r="F43" s="4">
        <v>0</v>
      </c>
      <c r="G43" s="4">
        <v>1</v>
      </c>
      <c r="H43" s="4">
        <v>1</v>
      </c>
      <c r="I43" s="4">
        <v>1</v>
      </c>
      <c r="J43">
        <f>SUM(C43:I43)</f>
        <v>5</v>
      </c>
      <c r="K43" s="4">
        <v>7</v>
      </c>
      <c r="L43" s="12">
        <f t="shared" si="0"/>
        <v>71.428571428571431</v>
      </c>
    </row>
    <row r="44" spans="1:12" ht="15" thickBot="1">
      <c r="A44" s="33" t="s">
        <v>151</v>
      </c>
      <c r="B44" s="34" t="s">
        <v>152</v>
      </c>
      <c r="C44" s="4">
        <v>0</v>
      </c>
      <c r="D44" s="4">
        <v>0</v>
      </c>
      <c r="E44" s="4">
        <v>0</v>
      </c>
      <c r="F44" s="4">
        <v>1</v>
      </c>
      <c r="G44" s="4">
        <v>1</v>
      </c>
      <c r="H44" s="4">
        <v>1</v>
      </c>
      <c r="I44" s="4">
        <v>1</v>
      </c>
      <c r="J44">
        <f>SUM(C44:I44)</f>
        <v>4</v>
      </c>
      <c r="K44" s="4">
        <v>7</v>
      </c>
      <c r="L44" s="12">
        <f t="shared" si="0"/>
        <v>57.142857142857139</v>
      </c>
    </row>
    <row r="45" spans="1:12" ht="15" thickBot="1">
      <c r="A45" s="33" t="s">
        <v>153</v>
      </c>
      <c r="B45" s="34" t="s">
        <v>154</v>
      </c>
      <c r="C45" s="4">
        <v>1</v>
      </c>
      <c r="D45" s="4">
        <v>1</v>
      </c>
      <c r="E45" s="4">
        <v>1</v>
      </c>
      <c r="F45" s="4">
        <v>0</v>
      </c>
      <c r="G45" s="4">
        <v>0</v>
      </c>
      <c r="H45" s="4">
        <v>0</v>
      </c>
      <c r="I45" s="4">
        <v>1</v>
      </c>
      <c r="J45">
        <f>SUM(C45:I45)</f>
        <v>4</v>
      </c>
      <c r="K45" s="4">
        <v>7</v>
      </c>
      <c r="L45" s="12">
        <f t="shared" si="0"/>
        <v>57.142857142857139</v>
      </c>
    </row>
    <row r="46" spans="1:12">
      <c r="A46" s="43" t="s">
        <v>155</v>
      </c>
      <c r="B46" s="44" t="s">
        <v>156</v>
      </c>
      <c r="C46" s="4">
        <v>1</v>
      </c>
      <c r="D46" s="4">
        <v>0</v>
      </c>
      <c r="E46" s="4">
        <v>1</v>
      </c>
      <c r="F46" s="4">
        <v>0</v>
      </c>
      <c r="G46" s="4">
        <v>0</v>
      </c>
      <c r="H46" s="4">
        <v>0</v>
      </c>
      <c r="I46" s="4">
        <v>1</v>
      </c>
      <c r="J46">
        <f>SUM(C46:I46)</f>
        <v>3</v>
      </c>
      <c r="K46" s="4">
        <v>7</v>
      </c>
      <c r="L46" s="12">
        <f t="shared" si="0"/>
        <v>42.857142857142854</v>
      </c>
    </row>
    <row r="47" spans="1:12">
      <c r="A47" s="45" t="s">
        <v>163</v>
      </c>
      <c r="B47" s="45" t="s">
        <v>164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0</v>
      </c>
      <c r="J47">
        <f>SUM(C47:I47)</f>
        <v>6</v>
      </c>
      <c r="K47" s="4">
        <v>7</v>
      </c>
      <c r="L47" s="12">
        <f t="shared" si="0"/>
        <v>85.714285714285708</v>
      </c>
    </row>
    <row r="48" spans="1:12">
      <c r="A48" s="45" t="s">
        <v>165</v>
      </c>
      <c r="B48" s="45" t="s">
        <v>166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>
        <f>SUM(C48:I48)</f>
        <v>7</v>
      </c>
      <c r="K48" s="4">
        <v>7</v>
      </c>
      <c r="L48" s="12">
        <f t="shared" si="0"/>
        <v>100</v>
      </c>
    </row>
  </sheetData>
  <mergeCells count="6"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1"/>
  <sheetViews>
    <sheetView tabSelected="1" topLeftCell="R25" workbookViewId="0">
      <selection activeCell="W73" sqref="W73"/>
    </sheetView>
  </sheetViews>
  <sheetFormatPr defaultRowHeight="14.4"/>
  <cols>
    <col min="1" max="1" width="27.33203125" customWidth="1"/>
    <col min="2" max="2" width="42.5546875" customWidth="1"/>
    <col min="38" max="38" width="11.21875" customWidth="1"/>
    <col min="39" max="39" width="5.6640625" customWidth="1"/>
  </cols>
  <sheetData>
    <row r="1" spans="1:39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1"/>
    </row>
    <row r="2" spans="1:39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1"/>
    </row>
    <row r="3" spans="1:39">
      <c r="A3" s="29" t="s">
        <v>425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1"/>
    </row>
    <row r="4" spans="1:39">
      <c r="A4" s="29" t="s">
        <v>424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1"/>
    </row>
    <row r="5" spans="1:39">
      <c r="A5" s="29" t="s">
        <v>426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1"/>
    </row>
    <row r="6" spans="1:39">
      <c r="A6" s="29" t="s">
        <v>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</row>
    <row r="7" spans="1:39" ht="15.6">
      <c r="C7" s="56" t="s">
        <v>395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 t="s">
        <v>172</v>
      </c>
      <c r="P7" s="56"/>
      <c r="Q7" s="56"/>
      <c r="R7" s="56"/>
      <c r="S7" s="56"/>
      <c r="T7" s="56"/>
      <c r="U7" s="56"/>
      <c r="V7" s="56"/>
      <c r="W7" s="56" t="s">
        <v>181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5" t="s">
        <v>157</v>
      </c>
      <c r="AI7" s="55"/>
      <c r="AJ7" s="55"/>
    </row>
    <row r="8" spans="1:39" ht="15.6">
      <c r="A8" s="51" t="s">
        <v>236</v>
      </c>
      <c r="B8" s="51" t="s">
        <v>190</v>
      </c>
      <c r="C8" s="18" t="s">
        <v>396</v>
      </c>
      <c r="D8" s="57" t="s">
        <v>168</v>
      </c>
      <c r="E8" s="57" t="s">
        <v>397</v>
      </c>
      <c r="F8" s="57" t="s">
        <v>398</v>
      </c>
      <c r="G8" s="57" t="s">
        <v>170</v>
      </c>
      <c r="H8" s="57" t="s">
        <v>399</v>
      </c>
      <c r="I8" s="18" t="s">
        <v>400</v>
      </c>
      <c r="J8" s="18" t="s">
        <v>401</v>
      </c>
      <c r="K8" s="57" t="s">
        <v>402</v>
      </c>
      <c r="L8" s="57" t="s">
        <v>403</v>
      </c>
      <c r="M8" s="18" t="s">
        <v>404</v>
      </c>
      <c r="N8" s="18" t="s">
        <v>405</v>
      </c>
      <c r="O8" s="58" t="s">
        <v>406</v>
      </c>
      <c r="P8" s="58" t="s">
        <v>168</v>
      </c>
      <c r="Q8" s="58" t="s">
        <v>183</v>
      </c>
      <c r="R8" s="58">
        <v>8</v>
      </c>
      <c r="S8" s="58" t="s">
        <v>398</v>
      </c>
      <c r="T8" s="58" t="s">
        <v>407</v>
      </c>
      <c r="U8" s="58" t="s">
        <v>408</v>
      </c>
      <c r="V8" s="58" t="s">
        <v>409</v>
      </c>
      <c r="W8" s="18" t="s">
        <v>410</v>
      </c>
      <c r="X8" s="18" t="s">
        <v>231</v>
      </c>
      <c r="Y8" s="18" t="s">
        <v>225</v>
      </c>
      <c r="Z8" s="18" t="s">
        <v>423</v>
      </c>
      <c r="AA8" s="18" t="s">
        <v>411</v>
      </c>
      <c r="AB8" s="18" t="s">
        <v>235</v>
      </c>
      <c r="AC8" s="59" t="s">
        <v>413</v>
      </c>
      <c r="AD8" s="59" t="s">
        <v>414</v>
      </c>
      <c r="AE8" s="18" t="s">
        <v>415</v>
      </c>
      <c r="AF8" s="18" t="s">
        <v>416</v>
      </c>
      <c r="AG8" s="18" t="s">
        <v>417</v>
      </c>
      <c r="AH8" s="46" t="s">
        <v>418</v>
      </c>
      <c r="AI8" s="46" t="s">
        <v>179</v>
      </c>
      <c r="AJ8" s="46" t="s">
        <v>419</v>
      </c>
      <c r="AK8" s="37" t="s">
        <v>421</v>
      </c>
      <c r="AL8" s="37" t="s">
        <v>422</v>
      </c>
      <c r="AM8" s="37" t="s">
        <v>193</v>
      </c>
    </row>
    <row r="9" spans="1:39" ht="15.6">
      <c r="A9" s="52" t="s">
        <v>237</v>
      </c>
      <c r="B9" s="53" t="s">
        <v>238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0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0</v>
      </c>
      <c r="X9" s="4">
        <v>0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1</v>
      </c>
      <c r="AI9" s="4">
        <v>1</v>
      </c>
      <c r="AJ9" s="4">
        <v>1</v>
      </c>
      <c r="AK9">
        <f>SUM(C9:AJ9)</f>
        <v>26</v>
      </c>
      <c r="AL9" s="4">
        <v>34</v>
      </c>
      <c r="AM9">
        <f>AK9/AL9*100</f>
        <v>76.470588235294116</v>
      </c>
    </row>
    <row r="10" spans="1:39" ht="15.6">
      <c r="A10" s="52" t="s">
        <v>239</v>
      </c>
      <c r="B10" s="53" t="s">
        <v>240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0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>
        <f>SUM(C10:AJ10)</f>
        <v>33</v>
      </c>
      <c r="AL10" s="4">
        <v>34</v>
      </c>
      <c r="AM10" s="12">
        <f t="shared" ref="AM10:AM73" si="0">AK10/AL10*100</f>
        <v>97.058823529411768</v>
      </c>
    </row>
    <row r="11" spans="1:39" ht="15.6">
      <c r="A11" s="52" t="s">
        <v>241</v>
      </c>
      <c r="B11" s="53" t="s">
        <v>242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0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>
        <f t="shared" ref="AK11:AK74" si="1">SUM(C11:AJ11)</f>
        <v>33</v>
      </c>
      <c r="AL11" s="4">
        <v>34</v>
      </c>
      <c r="AM11" s="12">
        <f t="shared" si="0"/>
        <v>97.058823529411768</v>
      </c>
    </row>
    <row r="12" spans="1:39" ht="15.6">
      <c r="A12" s="52" t="s">
        <v>243</v>
      </c>
      <c r="B12" s="53" t="s">
        <v>244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0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0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>
        <f t="shared" si="1"/>
        <v>32</v>
      </c>
      <c r="AL12" s="4">
        <v>34</v>
      </c>
      <c r="AM12" s="12">
        <f t="shared" si="0"/>
        <v>94.117647058823522</v>
      </c>
    </row>
    <row r="13" spans="1:39" ht="15.6">
      <c r="A13" s="52" t="s">
        <v>245</v>
      </c>
      <c r="B13" s="53" t="s">
        <v>246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>
        <f t="shared" si="1"/>
        <v>33</v>
      </c>
      <c r="AL13" s="4">
        <v>34</v>
      </c>
      <c r="AM13" s="12">
        <f t="shared" si="0"/>
        <v>97.058823529411768</v>
      </c>
    </row>
    <row r="14" spans="1:39" ht="15.6">
      <c r="A14" s="52" t="s">
        <v>247</v>
      </c>
      <c r="B14" s="53" t="s">
        <v>248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0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0</v>
      </c>
      <c r="AE14" s="4">
        <v>1</v>
      </c>
      <c r="AF14" s="4">
        <v>0</v>
      </c>
      <c r="AG14" s="4">
        <v>1</v>
      </c>
      <c r="AH14" s="4">
        <v>1</v>
      </c>
      <c r="AI14" s="4">
        <v>1</v>
      </c>
      <c r="AJ14" s="4">
        <v>1</v>
      </c>
      <c r="AK14">
        <f t="shared" si="1"/>
        <v>31</v>
      </c>
      <c r="AL14" s="4">
        <v>34</v>
      </c>
      <c r="AM14" s="12">
        <f t="shared" si="0"/>
        <v>91.17647058823529</v>
      </c>
    </row>
    <row r="15" spans="1:39" ht="15.6">
      <c r="A15" s="52" t="s">
        <v>249</v>
      </c>
      <c r="B15" s="53" t="s">
        <v>250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0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0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>
        <f t="shared" si="1"/>
        <v>32</v>
      </c>
      <c r="AL15" s="4">
        <v>34</v>
      </c>
      <c r="AM15" s="12">
        <f t="shared" si="0"/>
        <v>94.117647058823522</v>
      </c>
    </row>
    <row r="16" spans="1:39" ht="15.6">
      <c r="A16" s="52" t="s">
        <v>251</v>
      </c>
      <c r="B16" s="53" t="s">
        <v>252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0</v>
      </c>
      <c r="I16" s="4">
        <v>1</v>
      </c>
      <c r="J16" s="4">
        <v>1</v>
      </c>
      <c r="K16" s="4">
        <v>0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0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>
        <f t="shared" si="1"/>
        <v>29</v>
      </c>
      <c r="AL16" s="4">
        <v>34</v>
      </c>
      <c r="AM16" s="12">
        <f t="shared" si="0"/>
        <v>85.294117647058826</v>
      </c>
    </row>
    <row r="17" spans="1:39" ht="15.6">
      <c r="A17" s="52" t="s">
        <v>253</v>
      </c>
      <c r="B17" s="53" t="s">
        <v>254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0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>
        <f t="shared" si="1"/>
        <v>33</v>
      </c>
      <c r="AL17" s="4">
        <v>34</v>
      </c>
      <c r="AM17" s="12">
        <f t="shared" si="0"/>
        <v>97.058823529411768</v>
      </c>
    </row>
    <row r="18" spans="1:39" ht="15.6">
      <c r="A18" s="52" t="s">
        <v>255</v>
      </c>
      <c r="B18" s="53" t="s">
        <v>256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0</v>
      </c>
      <c r="K18" s="4">
        <v>1</v>
      </c>
      <c r="L18" s="4">
        <v>1</v>
      </c>
      <c r="M18" s="4">
        <v>0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1</v>
      </c>
      <c r="V18" s="4">
        <v>1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>
        <f t="shared" si="1"/>
        <v>27</v>
      </c>
      <c r="AL18" s="4">
        <v>34</v>
      </c>
      <c r="AM18" s="12">
        <f t="shared" si="0"/>
        <v>79.411764705882348</v>
      </c>
    </row>
    <row r="19" spans="1:39" ht="15.6">
      <c r="A19" s="52" t="s">
        <v>257</v>
      </c>
      <c r="B19" s="53" t="s">
        <v>258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0</v>
      </c>
      <c r="I19" s="4">
        <v>1</v>
      </c>
      <c r="J19" s="4">
        <v>1</v>
      </c>
      <c r="K19" s="4">
        <v>0</v>
      </c>
      <c r="L19" s="4">
        <v>0</v>
      </c>
      <c r="M19" s="4">
        <v>1</v>
      </c>
      <c r="N19" s="4">
        <v>0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 t="s">
        <v>412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>
        <f t="shared" si="1"/>
        <v>29</v>
      </c>
      <c r="AL19" s="4">
        <v>34</v>
      </c>
      <c r="AM19" s="12">
        <f t="shared" si="0"/>
        <v>85.294117647058826</v>
      </c>
    </row>
    <row r="20" spans="1:39" ht="15.6">
      <c r="A20" s="52" t="s">
        <v>259</v>
      </c>
      <c r="B20" s="53" t="s">
        <v>260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0</v>
      </c>
      <c r="AC20" s="4">
        <v>0</v>
      </c>
      <c r="AD20" s="4">
        <v>1</v>
      </c>
      <c r="AE20" s="4">
        <v>1</v>
      </c>
      <c r="AF20" s="4">
        <v>1</v>
      </c>
      <c r="AG20" s="4">
        <v>0</v>
      </c>
      <c r="AH20" s="4">
        <v>1</v>
      </c>
      <c r="AI20" s="4">
        <v>1</v>
      </c>
      <c r="AJ20" s="4">
        <v>1</v>
      </c>
      <c r="AK20">
        <f t="shared" si="1"/>
        <v>25</v>
      </c>
      <c r="AL20" s="4">
        <v>34</v>
      </c>
      <c r="AM20" s="12">
        <f t="shared" si="0"/>
        <v>73.529411764705884</v>
      </c>
    </row>
    <row r="21" spans="1:39" ht="15.6">
      <c r="A21" s="52" t="s">
        <v>261</v>
      </c>
      <c r="B21" s="53" t="s">
        <v>262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0</v>
      </c>
      <c r="I21" s="4">
        <v>1</v>
      </c>
      <c r="J21" s="4">
        <v>0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>
        <f t="shared" si="1"/>
        <v>32</v>
      </c>
      <c r="AL21" s="4">
        <v>34</v>
      </c>
      <c r="AM21" s="12">
        <f t="shared" si="0"/>
        <v>94.117647058823522</v>
      </c>
    </row>
    <row r="22" spans="1:39" ht="15.6">
      <c r="A22" s="52" t="s">
        <v>263</v>
      </c>
      <c r="B22" s="53" t="s">
        <v>264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0</v>
      </c>
      <c r="K22" s="4">
        <v>1</v>
      </c>
      <c r="L22" s="4">
        <v>1</v>
      </c>
      <c r="M22" s="4">
        <v>0</v>
      </c>
      <c r="N22" s="4">
        <v>1</v>
      </c>
      <c r="O22" s="4">
        <v>1</v>
      </c>
      <c r="P22" s="4">
        <v>1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0</v>
      </c>
      <c r="AH22" s="4">
        <v>1</v>
      </c>
      <c r="AI22" s="4">
        <v>1</v>
      </c>
      <c r="AJ22" s="4">
        <v>1</v>
      </c>
      <c r="AK22">
        <f t="shared" si="1"/>
        <v>30</v>
      </c>
      <c r="AL22" s="4">
        <v>34</v>
      </c>
      <c r="AM22" s="12">
        <f t="shared" si="0"/>
        <v>88.235294117647058</v>
      </c>
    </row>
    <row r="23" spans="1:39" ht="15.6">
      <c r="A23" s="52" t="s">
        <v>265</v>
      </c>
      <c r="B23" s="53" t="s">
        <v>266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0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>
        <f t="shared" si="1"/>
        <v>33</v>
      </c>
      <c r="AL23" s="4">
        <v>34</v>
      </c>
      <c r="AM23" s="12">
        <f t="shared" si="0"/>
        <v>97.058823529411768</v>
      </c>
    </row>
    <row r="24" spans="1:39" ht="15.6">
      <c r="A24" s="52" t="s">
        <v>267</v>
      </c>
      <c r="B24" s="53" t="s">
        <v>268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0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0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0</v>
      </c>
      <c r="AG24" s="4">
        <v>0</v>
      </c>
      <c r="AH24" s="4">
        <v>1</v>
      </c>
      <c r="AI24" s="4">
        <v>1</v>
      </c>
      <c r="AJ24" s="4">
        <v>1</v>
      </c>
      <c r="AK24">
        <f t="shared" si="1"/>
        <v>30</v>
      </c>
      <c r="AL24" s="4">
        <v>34</v>
      </c>
      <c r="AM24" s="12">
        <f t="shared" si="0"/>
        <v>88.235294117647058</v>
      </c>
    </row>
    <row r="25" spans="1:39" ht="15.6">
      <c r="A25" s="52" t="s">
        <v>269</v>
      </c>
      <c r="B25" s="53" t="s">
        <v>270</v>
      </c>
      <c r="C25" s="4">
        <v>1</v>
      </c>
      <c r="D25" s="4">
        <v>1</v>
      </c>
      <c r="E25" s="4">
        <v>1</v>
      </c>
      <c r="F25" s="4">
        <v>1</v>
      </c>
      <c r="G25" s="4">
        <v>0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0</v>
      </c>
      <c r="AB25" s="4">
        <v>1</v>
      </c>
      <c r="AC25" s="4">
        <v>1</v>
      </c>
      <c r="AD25" s="4">
        <v>0</v>
      </c>
      <c r="AE25" s="4">
        <v>0</v>
      </c>
      <c r="AF25" s="4">
        <v>0</v>
      </c>
      <c r="AG25" s="4">
        <v>1</v>
      </c>
      <c r="AH25" s="4">
        <v>1</v>
      </c>
      <c r="AI25" s="4">
        <v>1</v>
      </c>
      <c r="AJ25" s="4">
        <v>1</v>
      </c>
      <c r="AK25">
        <f t="shared" si="1"/>
        <v>26</v>
      </c>
      <c r="AL25" s="4">
        <v>34</v>
      </c>
      <c r="AM25" s="12">
        <f t="shared" si="0"/>
        <v>76.470588235294116</v>
      </c>
    </row>
    <row r="26" spans="1:39" ht="15.6">
      <c r="A26" s="52" t="s">
        <v>271</v>
      </c>
      <c r="B26" s="53" t="s">
        <v>272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1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1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>
        <f t="shared" si="1"/>
        <v>25</v>
      </c>
      <c r="AL26" s="4">
        <v>34</v>
      </c>
      <c r="AM26" s="12">
        <f t="shared" si="0"/>
        <v>73.529411764705884</v>
      </c>
    </row>
    <row r="27" spans="1:39" ht="15.6">
      <c r="A27" s="52" t="s">
        <v>273</v>
      </c>
      <c r="B27" s="53" t="s">
        <v>274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0</v>
      </c>
      <c r="L27" s="4">
        <v>0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>
        <f t="shared" si="1"/>
        <v>31</v>
      </c>
      <c r="AL27" s="4">
        <v>34</v>
      </c>
      <c r="AM27" s="12">
        <f t="shared" si="0"/>
        <v>91.17647058823529</v>
      </c>
    </row>
    <row r="28" spans="1:39" ht="15.6">
      <c r="A28" s="52" t="s">
        <v>275</v>
      </c>
      <c r="B28" s="53" t="s">
        <v>276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0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>
        <f t="shared" si="1"/>
        <v>33</v>
      </c>
      <c r="AL28" s="4">
        <v>34</v>
      </c>
      <c r="AM28" s="12">
        <f t="shared" si="0"/>
        <v>97.058823529411768</v>
      </c>
    </row>
    <row r="29" spans="1:39" ht="15.6">
      <c r="A29" s="52" t="s">
        <v>277</v>
      </c>
      <c r="B29" s="53" t="s">
        <v>278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0</v>
      </c>
      <c r="L29" s="4">
        <v>0</v>
      </c>
      <c r="M29" s="4">
        <v>1</v>
      </c>
      <c r="N29" s="4">
        <v>0</v>
      </c>
      <c r="O29" s="4">
        <v>1</v>
      </c>
      <c r="P29" s="4">
        <v>1</v>
      </c>
      <c r="Q29" s="4">
        <v>1</v>
      </c>
      <c r="R29" s="4">
        <v>1</v>
      </c>
      <c r="S29" s="4">
        <v>0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0</v>
      </c>
      <c r="AC29" s="4">
        <v>0</v>
      </c>
      <c r="AD29" s="4">
        <v>0</v>
      </c>
      <c r="AE29" s="4">
        <v>1</v>
      </c>
      <c r="AF29" s="4">
        <v>1</v>
      </c>
      <c r="AG29" s="4">
        <v>0</v>
      </c>
      <c r="AH29" s="4">
        <v>1</v>
      </c>
      <c r="AI29" s="4">
        <v>1</v>
      </c>
      <c r="AJ29" s="4">
        <v>1</v>
      </c>
      <c r="AK29">
        <f t="shared" si="1"/>
        <v>26</v>
      </c>
      <c r="AL29" s="4">
        <v>34</v>
      </c>
      <c r="AM29" s="12">
        <f t="shared" si="0"/>
        <v>76.470588235294116</v>
      </c>
    </row>
    <row r="30" spans="1:39" ht="15.6">
      <c r="A30" s="52" t="s">
        <v>279</v>
      </c>
      <c r="B30" s="53" t="s">
        <v>280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0</v>
      </c>
      <c r="AC30" s="4">
        <v>1</v>
      </c>
      <c r="AD30" s="4">
        <v>1</v>
      </c>
      <c r="AE30" s="4">
        <v>1</v>
      </c>
      <c r="AF30" s="4">
        <v>0</v>
      </c>
      <c r="AG30" s="4">
        <v>1</v>
      </c>
      <c r="AH30" s="4">
        <v>1</v>
      </c>
      <c r="AI30" s="4">
        <v>1</v>
      </c>
      <c r="AJ30" s="4">
        <v>1</v>
      </c>
      <c r="AK30">
        <f t="shared" si="1"/>
        <v>28</v>
      </c>
      <c r="AL30" s="4">
        <v>34</v>
      </c>
      <c r="AM30" s="12">
        <f t="shared" si="0"/>
        <v>82.35294117647058</v>
      </c>
    </row>
    <row r="31" spans="1:39" ht="15.6">
      <c r="A31" s="52" t="s">
        <v>281</v>
      </c>
      <c r="B31" s="53" t="s">
        <v>282</v>
      </c>
      <c r="C31" s="4">
        <v>1</v>
      </c>
      <c r="D31" s="4">
        <v>0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0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0</v>
      </c>
      <c r="AG31" s="4">
        <v>1</v>
      </c>
      <c r="AH31" s="4">
        <v>1</v>
      </c>
      <c r="AI31" s="4">
        <v>1</v>
      </c>
      <c r="AJ31" s="4">
        <v>1</v>
      </c>
      <c r="AK31">
        <f t="shared" si="1"/>
        <v>30</v>
      </c>
      <c r="AL31" s="4">
        <v>34</v>
      </c>
      <c r="AM31" s="12">
        <f t="shared" si="0"/>
        <v>88.235294117647058</v>
      </c>
    </row>
    <row r="32" spans="1:39" ht="15.6">
      <c r="A32" s="52" t="s">
        <v>283</v>
      </c>
      <c r="B32" s="53" t="s">
        <v>284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0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>
        <f t="shared" si="1"/>
        <v>33</v>
      </c>
      <c r="AL32" s="4">
        <v>34</v>
      </c>
      <c r="AM32" s="12">
        <f t="shared" si="0"/>
        <v>97.058823529411768</v>
      </c>
    </row>
    <row r="33" spans="1:39" ht="15.6">
      <c r="A33" s="52" t="s">
        <v>285</v>
      </c>
      <c r="B33" s="53" t="s">
        <v>286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0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0</v>
      </c>
      <c r="AG33" s="4">
        <v>1</v>
      </c>
      <c r="AH33" s="4">
        <v>1</v>
      </c>
      <c r="AI33" s="4">
        <v>1</v>
      </c>
      <c r="AJ33" s="4">
        <v>1</v>
      </c>
      <c r="AK33">
        <f t="shared" si="1"/>
        <v>32</v>
      </c>
      <c r="AL33" s="4">
        <v>34</v>
      </c>
      <c r="AM33" s="12">
        <f t="shared" si="0"/>
        <v>94.117647058823522</v>
      </c>
    </row>
    <row r="34" spans="1:39" ht="15.6">
      <c r="A34" s="52" t="s">
        <v>287</v>
      </c>
      <c r="B34" s="53" t="s">
        <v>288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0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>
        <f t="shared" si="1"/>
        <v>33</v>
      </c>
      <c r="AL34" s="4">
        <v>34</v>
      </c>
      <c r="AM34" s="12">
        <f t="shared" si="0"/>
        <v>97.058823529411768</v>
      </c>
    </row>
    <row r="35" spans="1:39" ht="15.6">
      <c r="A35" s="52" t="s">
        <v>289</v>
      </c>
      <c r="B35" s="53" t="s">
        <v>290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0</v>
      </c>
      <c r="I35" s="4">
        <v>1</v>
      </c>
      <c r="J35" s="4">
        <v>0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0</v>
      </c>
      <c r="Q35" s="4">
        <v>1</v>
      </c>
      <c r="R35" s="4">
        <v>1</v>
      </c>
      <c r="S35" s="4">
        <v>0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0</v>
      </c>
      <c r="AH35" s="4">
        <v>1</v>
      </c>
      <c r="AI35" s="4">
        <v>1</v>
      </c>
      <c r="AJ35" s="4">
        <v>1</v>
      </c>
      <c r="AK35">
        <f t="shared" si="1"/>
        <v>29</v>
      </c>
      <c r="AL35" s="4">
        <v>34</v>
      </c>
      <c r="AM35" s="12">
        <f t="shared" si="0"/>
        <v>85.294117647058826</v>
      </c>
    </row>
    <row r="36" spans="1:39" ht="15.6">
      <c r="A36" s="52" t="s">
        <v>291</v>
      </c>
      <c r="B36" s="53" t="s">
        <v>292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0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0</v>
      </c>
      <c r="AG36" s="4">
        <v>0</v>
      </c>
      <c r="AH36" s="4">
        <v>1</v>
      </c>
      <c r="AI36" s="4">
        <v>1</v>
      </c>
      <c r="AJ36" s="4">
        <v>1</v>
      </c>
      <c r="AK36">
        <f t="shared" si="1"/>
        <v>31</v>
      </c>
      <c r="AL36" s="4">
        <v>34</v>
      </c>
      <c r="AM36" s="12">
        <f t="shared" si="0"/>
        <v>91.17647058823529</v>
      </c>
    </row>
    <row r="37" spans="1:39" ht="15.6">
      <c r="A37" s="52" t="s">
        <v>293</v>
      </c>
      <c r="B37" s="53" t="s">
        <v>294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1</v>
      </c>
      <c r="J37" s="4">
        <v>1</v>
      </c>
      <c r="K37" s="4">
        <v>0</v>
      </c>
      <c r="L37" s="4">
        <v>1</v>
      </c>
      <c r="M37" s="4">
        <v>1</v>
      </c>
      <c r="N37" s="4">
        <v>0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0</v>
      </c>
      <c r="AC37" s="4">
        <v>1</v>
      </c>
      <c r="AD37" s="4">
        <v>1</v>
      </c>
      <c r="AE37" s="4">
        <v>1</v>
      </c>
      <c r="AF37" s="4">
        <v>0</v>
      </c>
      <c r="AG37" s="4">
        <v>1</v>
      </c>
      <c r="AH37" s="4">
        <v>1</v>
      </c>
      <c r="AI37" s="4">
        <v>1</v>
      </c>
      <c r="AJ37" s="4">
        <v>1</v>
      </c>
      <c r="AK37">
        <f t="shared" si="1"/>
        <v>29</v>
      </c>
      <c r="AL37" s="4">
        <v>34</v>
      </c>
      <c r="AM37" s="12">
        <f t="shared" si="0"/>
        <v>85.294117647058826</v>
      </c>
    </row>
    <row r="38" spans="1:39" ht="15.6">
      <c r="A38" s="52" t="s">
        <v>295</v>
      </c>
      <c r="B38" s="53" t="s">
        <v>296</v>
      </c>
      <c r="C38" s="4">
        <v>1</v>
      </c>
      <c r="D38" s="4">
        <v>1</v>
      </c>
      <c r="E38" s="4">
        <v>0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0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>
        <f t="shared" si="1"/>
        <v>32</v>
      </c>
      <c r="AL38" s="4">
        <v>34</v>
      </c>
      <c r="AM38" s="12">
        <f t="shared" si="0"/>
        <v>94.117647058823522</v>
      </c>
    </row>
    <row r="39" spans="1:39" ht="15.6">
      <c r="A39" s="52" t="s">
        <v>297</v>
      </c>
      <c r="B39" s="53" t="s">
        <v>298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0</v>
      </c>
      <c r="I39" s="4">
        <v>1</v>
      </c>
      <c r="J39" s="4">
        <v>1</v>
      </c>
      <c r="K39" s="4">
        <v>0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0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>
        <f t="shared" si="1"/>
        <v>30</v>
      </c>
      <c r="AL39" s="4">
        <v>34</v>
      </c>
      <c r="AM39" s="12">
        <f t="shared" si="0"/>
        <v>88.235294117647058</v>
      </c>
    </row>
    <row r="40" spans="1:39" ht="15.6">
      <c r="A40" s="52" t="s">
        <v>299</v>
      </c>
      <c r="B40" s="53" t="s">
        <v>300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0</v>
      </c>
      <c r="I40" s="4">
        <v>1</v>
      </c>
      <c r="J40" s="4">
        <v>1</v>
      </c>
      <c r="K40" s="4">
        <v>0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>
        <f t="shared" si="1"/>
        <v>32</v>
      </c>
      <c r="AL40" s="4">
        <v>34</v>
      </c>
      <c r="AM40" s="12">
        <f t="shared" si="0"/>
        <v>94.117647058823522</v>
      </c>
    </row>
    <row r="41" spans="1:39" ht="15.6">
      <c r="A41" s="52" t="s">
        <v>301</v>
      </c>
      <c r="B41" s="53" t="s">
        <v>302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0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0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>
        <f t="shared" si="1"/>
        <v>32</v>
      </c>
      <c r="AL41" s="4">
        <v>34</v>
      </c>
      <c r="AM41" s="12">
        <f t="shared" si="0"/>
        <v>94.117647058823522</v>
      </c>
    </row>
    <row r="42" spans="1:39" ht="15.6">
      <c r="A42" s="52" t="s">
        <v>303</v>
      </c>
      <c r="B42" s="53" t="s">
        <v>304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0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>
        <f t="shared" si="1"/>
        <v>32</v>
      </c>
      <c r="AL42" s="4">
        <v>34</v>
      </c>
      <c r="AM42" s="12">
        <f t="shared" si="0"/>
        <v>94.117647058823522</v>
      </c>
    </row>
    <row r="43" spans="1:39" ht="15.6">
      <c r="A43" s="52" t="s">
        <v>305</v>
      </c>
      <c r="B43" s="53" t="s">
        <v>306</v>
      </c>
      <c r="C43" s="4">
        <v>0</v>
      </c>
      <c r="D43" s="4">
        <v>1</v>
      </c>
      <c r="E43" s="4">
        <v>1</v>
      </c>
      <c r="F43" s="4">
        <v>1</v>
      </c>
      <c r="G43" s="4">
        <v>1</v>
      </c>
      <c r="H43" s="4">
        <v>0</v>
      </c>
      <c r="I43" s="4">
        <v>1</v>
      </c>
      <c r="J43" s="4">
        <v>1</v>
      </c>
      <c r="K43" s="4">
        <v>0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0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0</v>
      </c>
      <c r="AG43" s="4">
        <v>1</v>
      </c>
      <c r="AH43" s="4">
        <v>0</v>
      </c>
      <c r="AI43" s="4">
        <v>0</v>
      </c>
      <c r="AJ43" s="4">
        <v>0</v>
      </c>
      <c r="AK43">
        <f t="shared" si="1"/>
        <v>26</v>
      </c>
      <c r="AL43" s="4">
        <v>34</v>
      </c>
      <c r="AM43" s="12">
        <f t="shared" si="0"/>
        <v>76.470588235294116</v>
      </c>
    </row>
    <row r="44" spans="1:39" ht="15.6">
      <c r="A44" s="52" t="s">
        <v>307</v>
      </c>
      <c r="B44" s="53" t="s">
        <v>308</v>
      </c>
      <c r="C44" s="4">
        <v>1</v>
      </c>
      <c r="D44" s="4">
        <v>0</v>
      </c>
      <c r="E44" s="4">
        <v>1</v>
      </c>
      <c r="F44" s="4">
        <v>1</v>
      </c>
      <c r="G44" s="4">
        <v>1</v>
      </c>
      <c r="H44" s="4">
        <v>0</v>
      </c>
      <c r="I44" s="4">
        <v>1</v>
      </c>
      <c r="J44" s="4">
        <v>1</v>
      </c>
      <c r="K44" s="4">
        <v>0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0</v>
      </c>
      <c r="AH44" s="4">
        <v>1</v>
      </c>
      <c r="AI44" s="4">
        <v>1</v>
      </c>
      <c r="AJ44" s="4">
        <v>1</v>
      </c>
      <c r="AK44">
        <f t="shared" si="1"/>
        <v>30</v>
      </c>
      <c r="AL44" s="4">
        <v>34</v>
      </c>
      <c r="AM44" s="12">
        <f t="shared" si="0"/>
        <v>88.235294117647058</v>
      </c>
    </row>
    <row r="45" spans="1:39" ht="15.6">
      <c r="A45" s="52" t="s">
        <v>309</v>
      </c>
      <c r="B45" s="53" t="s">
        <v>310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0</v>
      </c>
      <c r="I45" s="4">
        <v>1</v>
      </c>
      <c r="J45" s="4">
        <v>0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0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0</v>
      </c>
      <c r="AG45" s="4">
        <v>1</v>
      </c>
      <c r="AH45" s="4">
        <v>1</v>
      </c>
      <c r="AI45" s="4">
        <v>1</v>
      </c>
      <c r="AJ45" s="4">
        <v>1</v>
      </c>
      <c r="AK45">
        <f t="shared" si="1"/>
        <v>29</v>
      </c>
      <c r="AL45" s="4">
        <v>34</v>
      </c>
      <c r="AM45" s="12">
        <f t="shared" si="0"/>
        <v>85.294117647058826</v>
      </c>
    </row>
    <row r="46" spans="1:39" ht="15.6">
      <c r="A46" s="52" t="s">
        <v>311</v>
      </c>
      <c r="B46" s="53" t="s">
        <v>312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4">
        <v>0</v>
      </c>
      <c r="I46" s="4">
        <v>1</v>
      </c>
      <c r="J46" s="4">
        <v>1</v>
      </c>
      <c r="K46" s="4">
        <v>0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>
        <f t="shared" si="1"/>
        <v>32</v>
      </c>
      <c r="AL46" s="4">
        <v>34</v>
      </c>
      <c r="AM46" s="12">
        <f t="shared" si="0"/>
        <v>94.117647058823522</v>
      </c>
    </row>
    <row r="47" spans="1:39" ht="15.6">
      <c r="A47" s="52" t="s">
        <v>313</v>
      </c>
      <c r="B47" s="53" t="s">
        <v>314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0</v>
      </c>
      <c r="I47" s="4">
        <v>1</v>
      </c>
      <c r="J47" s="4">
        <v>0</v>
      </c>
      <c r="K47" s="4">
        <v>1</v>
      </c>
      <c r="L47" s="4">
        <v>1</v>
      </c>
      <c r="M47" s="4">
        <v>1</v>
      </c>
      <c r="N47" s="4">
        <v>1</v>
      </c>
      <c r="O47" s="4">
        <v>0</v>
      </c>
      <c r="P47" s="4">
        <v>0</v>
      </c>
      <c r="Q47" s="4">
        <v>1</v>
      </c>
      <c r="R47" s="4">
        <v>1</v>
      </c>
      <c r="S47" s="4">
        <v>0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>
        <f t="shared" si="1"/>
        <v>29</v>
      </c>
      <c r="AL47" s="4">
        <v>34</v>
      </c>
      <c r="AM47" s="12">
        <f t="shared" si="0"/>
        <v>85.294117647058826</v>
      </c>
    </row>
    <row r="48" spans="1:39" ht="15.6">
      <c r="A48" s="52" t="s">
        <v>315</v>
      </c>
      <c r="B48" s="53" t="s">
        <v>316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0</v>
      </c>
      <c r="I48" s="4">
        <v>1</v>
      </c>
      <c r="J48" s="4">
        <v>1</v>
      </c>
      <c r="K48" s="4">
        <v>0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0</v>
      </c>
      <c r="AE48" s="4">
        <v>1</v>
      </c>
      <c r="AF48" s="4">
        <v>0</v>
      </c>
      <c r="AG48" s="4">
        <v>1</v>
      </c>
      <c r="AH48" s="4">
        <v>1</v>
      </c>
      <c r="AI48" s="4">
        <v>1</v>
      </c>
      <c r="AJ48" s="4">
        <v>1</v>
      </c>
      <c r="AK48">
        <f t="shared" si="1"/>
        <v>30</v>
      </c>
      <c r="AL48" s="4">
        <v>34</v>
      </c>
      <c r="AM48" s="12">
        <f t="shared" si="0"/>
        <v>88.235294117647058</v>
      </c>
    </row>
    <row r="49" spans="1:39" ht="15.6">
      <c r="A49" s="52" t="s">
        <v>317</v>
      </c>
      <c r="B49" s="53" t="s">
        <v>318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0</v>
      </c>
      <c r="I49" s="4">
        <v>0</v>
      </c>
      <c r="J49" s="4">
        <v>0</v>
      </c>
      <c r="K49" s="4">
        <v>1</v>
      </c>
      <c r="L49" s="4">
        <v>1</v>
      </c>
      <c r="M49" s="4">
        <v>1</v>
      </c>
      <c r="N49" s="4">
        <v>1</v>
      </c>
      <c r="O49" s="4">
        <v>0</v>
      </c>
      <c r="P49" s="4">
        <v>1</v>
      </c>
      <c r="Q49" s="4">
        <v>1</v>
      </c>
      <c r="R49" s="4">
        <v>1</v>
      </c>
      <c r="S49" s="4">
        <v>0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0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>
        <f t="shared" si="1"/>
        <v>28</v>
      </c>
      <c r="AL49" s="4">
        <v>34</v>
      </c>
      <c r="AM49" s="12">
        <f t="shared" si="0"/>
        <v>82.35294117647058</v>
      </c>
    </row>
    <row r="50" spans="1:39" ht="15.6">
      <c r="A50" s="52" t="s">
        <v>319</v>
      </c>
      <c r="B50" s="53" t="s">
        <v>320</v>
      </c>
      <c r="C50" s="4">
        <v>1</v>
      </c>
      <c r="D50" s="4">
        <v>1</v>
      </c>
      <c r="E50" s="4">
        <v>0</v>
      </c>
      <c r="F50" s="4">
        <v>1</v>
      </c>
      <c r="G50" s="4">
        <v>0</v>
      </c>
      <c r="H50" s="4">
        <v>1</v>
      </c>
      <c r="I50" s="4">
        <v>1</v>
      </c>
      <c r="J50" s="4">
        <v>0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0</v>
      </c>
      <c r="Q50" s="4">
        <v>1</v>
      </c>
      <c r="R50" s="4">
        <v>1</v>
      </c>
      <c r="S50" s="4">
        <v>0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0</v>
      </c>
      <c r="AC50" s="4">
        <v>1</v>
      </c>
      <c r="AD50" s="4">
        <v>0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>
        <f t="shared" si="1"/>
        <v>27</v>
      </c>
      <c r="AL50" s="4">
        <v>34</v>
      </c>
      <c r="AM50" s="12">
        <f t="shared" si="0"/>
        <v>79.411764705882348</v>
      </c>
    </row>
    <row r="51" spans="1:39" ht="15.6">
      <c r="A51" s="52" t="s">
        <v>321</v>
      </c>
      <c r="B51" s="53" t="s">
        <v>322</v>
      </c>
      <c r="C51" s="4">
        <v>1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  <c r="I51" s="4">
        <v>1</v>
      </c>
      <c r="J51" s="4">
        <v>1</v>
      </c>
      <c r="K51" s="4">
        <v>0</v>
      </c>
      <c r="L51" s="4">
        <v>1</v>
      </c>
      <c r="M51" s="4">
        <v>1</v>
      </c>
      <c r="N51" s="4">
        <v>1</v>
      </c>
      <c r="O51" s="4">
        <v>1</v>
      </c>
      <c r="P51" s="4">
        <v>0</v>
      </c>
      <c r="Q51" s="4">
        <v>1</v>
      </c>
      <c r="R51" s="4">
        <v>1</v>
      </c>
      <c r="S51" s="4">
        <v>0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>
        <f t="shared" si="1"/>
        <v>27</v>
      </c>
      <c r="AL51" s="4">
        <v>34</v>
      </c>
      <c r="AM51" s="12">
        <f t="shared" si="0"/>
        <v>79.411764705882348</v>
      </c>
    </row>
    <row r="52" spans="1:39" ht="15.6">
      <c r="A52" s="52" t="s">
        <v>323</v>
      </c>
      <c r="B52" s="53" t="s">
        <v>324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0</v>
      </c>
      <c r="I52" s="4">
        <v>1</v>
      </c>
      <c r="J52" s="4">
        <v>1</v>
      </c>
      <c r="K52" s="4">
        <v>0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>
        <f t="shared" si="1"/>
        <v>32</v>
      </c>
      <c r="AL52" s="4">
        <v>34</v>
      </c>
      <c r="AM52" s="12">
        <f t="shared" si="0"/>
        <v>94.117647058823522</v>
      </c>
    </row>
    <row r="53" spans="1:39" ht="15.6">
      <c r="A53" s="52" t="s">
        <v>325</v>
      </c>
      <c r="B53" s="53" t="s">
        <v>326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0</v>
      </c>
      <c r="I53" s="4">
        <v>1</v>
      </c>
      <c r="J53" s="4">
        <v>0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0</v>
      </c>
      <c r="R53" s="4">
        <v>0</v>
      </c>
      <c r="S53" s="4">
        <v>1</v>
      </c>
      <c r="T53" s="4">
        <v>1</v>
      </c>
      <c r="U53" s="4">
        <v>1</v>
      </c>
      <c r="V53" s="4">
        <v>1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0</v>
      </c>
      <c r="AE53" s="4">
        <v>0</v>
      </c>
      <c r="AF53" s="4">
        <v>0</v>
      </c>
      <c r="AG53" s="4">
        <v>1</v>
      </c>
      <c r="AH53" s="4">
        <v>1</v>
      </c>
      <c r="AI53" s="4">
        <v>1</v>
      </c>
      <c r="AJ53" s="4">
        <v>1</v>
      </c>
      <c r="AK53">
        <f t="shared" si="1"/>
        <v>26</v>
      </c>
      <c r="AL53" s="4">
        <v>34</v>
      </c>
      <c r="AM53" s="12">
        <f t="shared" si="0"/>
        <v>76.470588235294116</v>
      </c>
    </row>
    <row r="54" spans="1:39" ht="15.6">
      <c r="A54" s="52" t="s">
        <v>327</v>
      </c>
      <c r="B54" s="53" t="s">
        <v>328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0</v>
      </c>
      <c r="J54" s="4">
        <v>1</v>
      </c>
      <c r="K54" s="4">
        <v>0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0</v>
      </c>
      <c r="S54" s="4">
        <v>0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0</v>
      </c>
      <c r="AB54" s="4">
        <v>1</v>
      </c>
      <c r="AC54" s="4">
        <v>1</v>
      </c>
      <c r="AD54" s="4">
        <v>0</v>
      </c>
      <c r="AE54" s="4">
        <v>1</v>
      </c>
      <c r="AF54" s="4">
        <v>0</v>
      </c>
      <c r="AG54" s="4">
        <v>1</v>
      </c>
      <c r="AH54" s="4">
        <v>1</v>
      </c>
      <c r="AI54" s="4">
        <v>1</v>
      </c>
      <c r="AJ54" s="4">
        <v>1</v>
      </c>
      <c r="AK54">
        <f t="shared" si="1"/>
        <v>27</v>
      </c>
      <c r="AL54" s="4">
        <v>34</v>
      </c>
      <c r="AM54" s="12">
        <f t="shared" si="0"/>
        <v>79.411764705882348</v>
      </c>
    </row>
    <row r="55" spans="1:39" ht="15.6">
      <c r="A55" s="52" t="s">
        <v>329</v>
      </c>
      <c r="B55" s="53" t="s">
        <v>330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0</v>
      </c>
      <c r="L55" s="4">
        <v>0</v>
      </c>
      <c r="M55" s="4">
        <v>0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>
        <v>0</v>
      </c>
      <c r="AH55" s="4">
        <v>1</v>
      </c>
      <c r="AI55" s="4">
        <v>1</v>
      </c>
      <c r="AJ55" s="4">
        <v>1</v>
      </c>
      <c r="AK55">
        <f t="shared" si="1"/>
        <v>29</v>
      </c>
      <c r="AL55" s="4">
        <v>34</v>
      </c>
      <c r="AM55" s="12">
        <f t="shared" si="0"/>
        <v>85.294117647058826</v>
      </c>
    </row>
    <row r="56" spans="1:39" ht="15.6">
      <c r="A56" s="52" t="s">
        <v>331</v>
      </c>
      <c r="B56" s="53" t="s">
        <v>332</v>
      </c>
      <c r="C56" s="4">
        <v>1</v>
      </c>
      <c r="D56" s="4">
        <v>1</v>
      </c>
      <c r="E56" s="4">
        <v>1</v>
      </c>
      <c r="F56" s="4">
        <v>1</v>
      </c>
      <c r="G56" s="4">
        <v>0</v>
      </c>
      <c r="H56" s="4">
        <v>1</v>
      </c>
      <c r="I56" s="4">
        <v>1</v>
      </c>
      <c r="J56" s="4">
        <v>0</v>
      </c>
      <c r="K56" s="4">
        <v>1</v>
      </c>
      <c r="L56" s="5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0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>
        <f t="shared" si="1"/>
        <v>31</v>
      </c>
      <c r="AL56" s="4">
        <v>34</v>
      </c>
      <c r="AM56" s="12">
        <f t="shared" si="0"/>
        <v>91.17647058823529</v>
      </c>
    </row>
    <row r="57" spans="1:39" ht="15.6">
      <c r="A57" s="52" t="s">
        <v>333</v>
      </c>
      <c r="B57" s="53" t="s">
        <v>334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0</v>
      </c>
      <c r="L57" s="5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0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0</v>
      </c>
      <c r="AF57" s="4">
        <v>0</v>
      </c>
      <c r="AG57" s="4">
        <v>0</v>
      </c>
      <c r="AH57" s="4">
        <v>1</v>
      </c>
      <c r="AI57" s="4">
        <v>1</v>
      </c>
      <c r="AJ57" s="4">
        <v>1</v>
      </c>
      <c r="AK57">
        <f t="shared" si="1"/>
        <v>29</v>
      </c>
      <c r="AL57" s="4">
        <v>34</v>
      </c>
      <c r="AM57" s="12">
        <f t="shared" si="0"/>
        <v>85.294117647058826</v>
      </c>
    </row>
    <row r="58" spans="1:39" ht="15.6">
      <c r="A58" s="52" t="s">
        <v>335</v>
      </c>
      <c r="B58" s="53" t="s">
        <v>336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0</v>
      </c>
      <c r="I58" s="4">
        <v>1</v>
      </c>
      <c r="J58" s="4">
        <v>0</v>
      </c>
      <c r="K58" s="4">
        <v>1</v>
      </c>
      <c r="L58" s="5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>
        <f t="shared" si="1"/>
        <v>32</v>
      </c>
      <c r="AL58" s="4">
        <v>34</v>
      </c>
      <c r="AM58" s="12">
        <f t="shared" si="0"/>
        <v>94.117647058823522</v>
      </c>
    </row>
    <row r="59" spans="1:39" ht="15.6">
      <c r="A59" s="52" t="s">
        <v>337</v>
      </c>
      <c r="B59" s="53" t="s">
        <v>338</v>
      </c>
      <c r="C59" s="4">
        <v>0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0</v>
      </c>
      <c r="K59" s="4">
        <v>1</v>
      </c>
      <c r="L59" s="5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0</v>
      </c>
      <c r="S59" s="4">
        <v>0</v>
      </c>
      <c r="T59" s="4">
        <v>1</v>
      </c>
      <c r="U59" s="4">
        <v>1</v>
      </c>
      <c r="V59" s="4">
        <v>1</v>
      </c>
      <c r="W59" s="4">
        <v>0</v>
      </c>
      <c r="X59" s="4">
        <v>0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  <c r="AI59" s="4">
        <v>0</v>
      </c>
      <c r="AJ59" s="4">
        <v>0</v>
      </c>
      <c r="AK59">
        <f t="shared" si="1"/>
        <v>25</v>
      </c>
      <c r="AL59" s="4">
        <v>34</v>
      </c>
      <c r="AM59" s="12">
        <f t="shared" si="0"/>
        <v>73.529411764705884</v>
      </c>
    </row>
    <row r="60" spans="1:39" ht="15.6">
      <c r="A60" s="52" t="s">
        <v>339</v>
      </c>
      <c r="B60" s="53" t="s">
        <v>340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0</v>
      </c>
      <c r="I60" s="4">
        <v>1</v>
      </c>
      <c r="J60" s="4">
        <v>0</v>
      </c>
      <c r="K60" s="4">
        <v>1</v>
      </c>
      <c r="L60" s="5">
        <v>1</v>
      </c>
      <c r="M60" s="4">
        <v>0</v>
      </c>
      <c r="N60" s="4">
        <v>1</v>
      </c>
      <c r="O60" s="4">
        <v>1</v>
      </c>
      <c r="P60" s="4">
        <v>0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0</v>
      </c>
      <c r="AD60" s="4">
        <v>1</v>
      </c>
      <c r="AE60" s="4">
        <v>0</v>
      </c>
      <c r="AF60" s="4">
        <v>0</v>
      </c>
      <c r="AG60" s="4">
        <v>1</v>
      </c>
      <c r="AH60" s="4">
        <v>1</v>
      </c>
      <c r="AI60" s="4">
        <v>1</v>
      </c>
      <c r="AJ60" s="4">
        <v>1</v>
      </c>
      <c r="AK60">
        <f t="shared" si="1"/>
        <v>26</v>
      </c>
      <c r="AL60" s="4">
        <v>34</v>
      </c>
      <c r="AM60" s="12">
        <f t="shared" si="0"/>
        <v>76.470588235294116</v>
      </c>
    </row>
    <row r="61" spans="1:39" ht="15.6">
      <c r="A61" s="52" t="s">
        <v>341</v>
      </c>
      <c r="B61" s="53" t="s">
        <v>342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0</v>
      </c>
      <c r="L61" s="5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>
        <f t="shared" si="1"/>
        <v>33</v>
      </c>
      <c r="AL61" s="4">
        <v>34</v>
      </c>
      <c r="AM61" s="12">
        <f t="shared" si="0"/>
        <v>97.058823529411768</v>
      </c>
    </row>
    <row r="62" spans="1:39" ht="15.6">
      <c r="A62" s="52" t="s">
        <v>343</v>
      </c>
      <c r="B62" s="53" t="s">
        <v>344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0</v>
      </c>
      <c r="I62" s="4">
        <v>1</v>
      </c>
      <c r="J62" s="4">
        <v>0</v>
      </c>
      <c r="K62" s="4">
        <v>1</v>
      </c>
      <c r="L62" s="5">
        <v>1</v>
      </c>
      <c r="M62" s="4">
        <v>1</v>
      </c>
      <c r="N62" s="4">
        <v>1</v>
      </c>
      <c r="O62" s="4">
        <v>1</v>
      </c>
      <c r="P62" s="4">
        <v>1</v>
      </c>
      <c r="Q62" s="4">
        <v>0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0</v>
      </c>
      <c r="AE62" s="4">
        <v>1</v>
      </c>
      <c r="AF62" s="4">
        <v>1</v>
      </c>
      <c r="AG62" s="4">
        <v>0</v>
      </c>
      <c r="AH62" s="4">
        <v>1</v>
      </c>
      <c r="AI62" s="4">
        <v>1</v>
      </c>
      <c r="AJ62" s="4">
        <v>1</v>
      </c>
      <c r="AK62">
        <f t="shared" si="1"/>
        <v>29</v>
      </c>
      <c r="AL62" s="4">
        <v>34</v>
      </c>
      <c r="AM62" s="12">
        <f t="shared" si="0"/>
        <v>85.294117647058826</v>
      </c>
    </row>
    <row r="63" spans="1:39" ht="15.6">
      <c r="A63" s="52" t="s">
        <v>345</v>
      </c>
      <c r="B63" s="53" t="s">
        <v>346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0</v>
      </c>
      <c r="K63" s="4">
        <v>1</v>
      </c>
      <c r="L63" s="5">
        <v>1</v>
      </c>
      <c r="M63" s="4">
        <v>1</v>
      </c>
      <c r="N63" s="4">
        <v>0</v>
      </c>
      <c r="O63" s="4">
        <v>1</v>
      </c>
      <c r="P63" s="4">
        <v>1</v>
      </c>
      <c r="Q63" s="4">
        <v>0</v>
      </c>
      <c r="R63" s="4">
        <v>1</v>
      </c>
      <c r="S63" s="4">
        <v>0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0</v>
      </c>
      <c r="AE63" s="4">
        <v>1</v>
      </c>
      <c r="AF63" s="4">
        <v>1</v>
      </c>
      <c r="AG63" s="4">
        <v>0</v>
      </c>
      <c r="AH63" s="4">
        <v>1</v>
      </c>
      <c r="AI63" s="4">
        <v>1</v>
      </c>
      <c r="AJ63" s="4">
        <v>1</v>
      </c>
      <c r="AK63">
        <f t="shared" si="1"/>
        <v>26</v>
      </c>
      <c r="AL63" s="4">
        <v>34</v>
      </c>
      <c r="AM63" s="12">
        <f t="shared" si="0"/>
        <v>76.470588235294116</v>
      </c>
    </row>
    <row r="64" spans="1:39" ht="15.6">
      <c r="A64" s="52" t="s">
        <v>347</v>
      </c>
      <c r="B64" s="53" t="s">
        <v>348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0</v>
      </c>
      <c r="I64" s="4">
        <v>1</v>
      </c>
      <c r="J64" s="4">
        <v>1</v>
      </c>
      <c r="K64" s="4">
        <v>0</v>
      </c>
      <c r="L64" s="5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0</v>
      </c>
      <c r="AD64" s="4">
        <v>1</v>
      </c>
      <c r="AE64" s="4">
        <v>1</v>
      </c>
      <c r="AF64" s="4">
        <v>0</v>
      </c>
      <c r="AG64" s="4">
        <v>0</v>
      </c>
      <c r="AH64" s="4">
        <v>1</v>
      </c>
      <c r="AI64" s="4">
        <v>1</v>
      </c>
      <c r="AJ64" s="4">
        <v>1</v>
      </c>
      <c r="AK64">
        <f t="shared" si="1"/>
        <v>29</v>
      </c>
      <c r="AL64" s="4">
        <v>34</v>
      </c>
      <c r="AM64" s="12">
        <f t="shared" si="0"/>
        <v>85.294117647058826</v>
      </c>
    </row>
    <row r="65" spans="1:39" ht="15.6">
      <c r="A65" s="52" t="s">
        <v>349</v>
      </c>
      <c r="B65" s="53" t="s">
        <v>350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0</v>
      </c>
      <c r="I65" s="4">
        <v>1</v>
      </c>
      <c r="J65" s="4">
        <v>1</v>
      </c>
      <c r="K65" s="4">
        <v>0</v>
      </c>
      <c r="L65" s="5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>
        <f t="shared" si="1"/>
        <v>32</v>
      </c>
      <c r="AL65" s="4">
        <v>34</v>
      </c>
      <c r="AM65" s="12">
        <f t="shared" si="0"/>
        <v>94.117647058823522</v>
      </c>
    </row>
    <row r="66" spans="1:39" ht="15.6">
      <c r="A66" s="52" t="s">
        <v>351</v>
      </c>
      <c r="B66" s="53" t="s">
        <v>352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0</v>
      </c>
      <c r="K66" s="4">
        <v>1</v>
      </c>
      <c r="L66" s="5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>
        <f t="shared" si="1"/>
        <v>33</v>
      </c>
      <c r="AL66" s="4">
        <v>34</v>
      </c>
      <c r="AM66" s="12">
        <f t="shared" si="0"/>
        <v>97.058823529411768</v>
      </c>
    </row>
    <row r="67" spans="1:39" ht="15.6">
      <c r="A67" s="52" t="s">
        <v>353</v>
      </c>
      <c r="B67" s="53" t="s">
        <v>354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0</v>
      </c>
      <c r="L67" s="5">
        <v>1</v>
      </c>
      <c r="M67" s="4">
        <v>1</v>
      </c>
      <c r="N67" s="4">
        <v>1</v>
      </c>
      <c r="O67" s="4">
        <v>1</v>
      </c>
      <c r="P67" s="4">
        <v>1</v>
      </c>
      <c r="Q67" s="4">
        <v>0</v>
      </c>
      <c r="R67" s="4">
        <v>1</v>
      </c>
      <c r="S67" s="4">
        <v>0</v>
      </c>
      <c r="T67" s="4">
        <v>1</v>
      </c>
      <c r="U67" s="4">
        <v>1</v>
      </c>
      <c r="V67" s="4">
        <v>1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0</v>
      </c>
      <c r="AD67" s="4">
        <v>1</v>
      </c>
      <c r="AE67" s="4">
        <v>1</v>
      </c>
      <c r="AF67" s="4">
        <v>0</v>
      </c>
      <c r="AG67" s="4">
        <v>1</v>
      </c>
      <c r="AH67" s="4">
        <v>1</v>
      </c>
      <c r="AI67" s="4">
        <v>1</v>
      </c>
      <c r="AJ67" s="4">
        <v>1</v>
      </c>
      <c r="AK67">
        <f t="shared" si="1"/>
        <v>28</v>
      </c>
      <c r="AL67" s="4">
        <v>34</v>
      </c>
      <c r="AM67" s="12">
        <f t="shared" si="0"/>
        <v>82.35294117647058</v>
      </c>
    </row>
    <row r="68" spans="1:39" ht="15.6">
      <c r="A68" s="52" t="s">
        <v>355</v>
      </c>
      <c r="B68" s="53" t="s">
        <v>356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0</v>
      </c>
      <c r="I68" s="4">
        <v>1</v>
      </c>
      <c r="J68" s="4">
        <v>1</v>
      </c>
      <c r="K68" s="4">
        <v>0</v>
      </c>
      <c r="L68" s="5">
        <v>1</v>
      </c>
      <c r="M68" s="4">
        <v>1</v>
      </c>
      <c r="N68" s="4">
        <v>0</v>
      </c>
      <c r="O68" s="4">
        <v>1</v>
      </c>
      <c r="P68" s="4">
        <v>1</v>
      </c>
      <c r="Q68" s="4">
        <v>1</v>
      </c>
      <c r="R68" s="4">
        <v>0</v>
      </c>
      <c r="S68" s="4">
        <v>0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0</v>
      </c>
      <c r="AB68" s="4">
        <v>1</v>
      </c>
      <c r="AC68" s="4">
        <v>1</v>
      </c>
      <c r="AD68" s="4">
        <v>0</v>
      </c>
      <c r="AE68" s="4">
        <v>1</v>
      </c>
      <c r="AF68" s="4">
        <v>0</v>
      </c>
      <c r="AG68" s="4">
        <v>1</v>
      </c>
      <c r="AH68" s="4">
        <v>1</v>
      </c>
      <c r="AI68" s="4">
        <v>1</v>
      </c>
      <c r="AJ68" s="4">
        <v>1</v>
      </c>
      <c r="AK68">
        <f t="shared" si="1"/>
        <v>26</v>
      </c>
      <c r="AL68" s="4">
        <v>34</v>
      </c>
      <c r="AM68" s="12">
        <f t="shared" si="0"/>
        <v>76.470588235294116</v>
      </c>
    </row>
    <row r="69" spans="1:39" ht="15.6">
      <c r="A69" s="52" t="s">
        <v>357</v>
      </c>
      <c r="B69" s="53" t="s">
        <v>358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0</v>
      </c>
      <c r="L69" s="5">
        <v>1</v>
      </c>
      <c r="M69" s="4">
        <v>0</v>
      </c>
      <c r="N69" s="4">
        <v>1</v>
      </c>
      <c r="O69" s="4">
        <v>1</v>
      </c>
      <c r="P69" s="4">
        <v>1</v>
      </c>
      <c r="Q69" s="4">
        <v>0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0</v>
      </c>
      <c r="AG69" s="4">
        <v>1</v>
      </c>
      <c r="AH69" s="4">
        <v>1</v>
      </c>
      <c r="AI69" s="4">
        <v>1</v>
      </c>
      <c r="AJ69" s="4">
        <v>1</v>
      </c>
      <c r="AK69">
        <f t="shared" si="1"/>
        <v>30</v>
      </c>
      <c r="AL69" s="4">
        <v>34</v>
      </c>
      <c r="AM69" s="12">
        <f t="shared" si="0"/>
        <v>88.235294117647058</v>
      </c>
    </row>
    <row r="70" spans="1:39" ht="15.6">
      <c r="A70" s="52" t="s">
        <v>359</v>
      </c>
      <c r="B70" s="53" t="s">
        <v>360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0</v>
      </c>
      <c r="I70" s="4">
        <v>1</v>
      </c>
      <c r="J70" s="4">
        <v>1</v>
      </c>
      <c r="K70" s="4">
        <v>0</v>
      </c>
      <c r="L70" s="5">
        <v>1</v>
      </c>
      <c r="M70" s="4">
        <v>1</v>
      </c>
      <c r="N70" s="4">
        <v>1</v>
      </c>
      <c r="O70" s="4">
        <v>1</v>
      </c>
      <c r="P70" s="4">
        <v>1</v>
      </c>
      <c r="Q70" s="4">
        <v>0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0</v>
      </c>
      <c r="Z70" s="4">
        <v>1</v>
      </c>
      <c r="AA70" s="4">
        <v>1</v>
      </c>
      <c r="AB70" s="4">
        <v>0</v>
      </c>
      <c r="AC70" s="4">
        <v>1</v>
      </c>
      <c r="AD70" s="4">
        <v>1</v>
      </c>
      <c r="AE70" s="4">
        <v>0</v>
      </c>
      <c r="AF70" s="4">
        <v>0</v>
      </c>
      <c r="AG70" s="4">
        <v>0</v>
      </c>
      <c r="AH70" s="4">
        <v>1</v>
      </c>
      <c r="AI70" s="4">
        <v>1</v>
      </c>
      <c r="AJ70" s="4">
        <v>1</v>
      </c>
      <c r="AK70">
        <f t="shared" si="1"/>
        <v>26</v>
      </c>
      <c r="AL70" s="4">
        <v>34</v>
      </c>
      <c r="AM70" s="12">
        <f t="shared" si="0"/>
        <v>76.470588235294116</v>
      </c>
    </row>
    <row r="71" spans="1:39" ht="15.6">
      <c r="A71" s="52" t="s">
        <v>361</v>
      </c>
      <c r="B71" s="53" t="s">
        <v>362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0</v>
      </c>
      <c r="L71" s="5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0</v>
      </c>
      <c r="AE71" s="4">
        <v>1</v>
      </c>
      <c r="AF71" s="4">
        <v>1</v>
      </c>
      <c r="AG71" s="4">
        <v>0</v>
      </c>
      <c r="AH71" s="4">
        <v>1</v>
      </c>
      <c r="AI71" s="4">
        <v>1</v>
      </c>
      <c r="AJ71" s="4">
        <v>1</v>
      </c>
      <c r="AK71">
        <f t="shared" si="1"/>
        <v>31</v>
      </c>
      <c r="AL71" s="4">
        <v>34</v>
      </c>
      <c r="AM71" s="12">
        <f t="shared" si="0"/>
        <v>91.17647058823529</v>
      </c>
    </row>
    <row r="72" spans="1:39" ht="15.6">
      <c r="A72" s="52" t="s">
        <v>363</v>
      </c>
      <c r="B72" s="53" t="s">
        <v>364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0</v>
      </c>
      <c r="L72" s="5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0</v>
      </c>
      <c r="AH72" s="4">
        <v>1</v>
      </c>
      <c r="AI72" s="4">
        <v>1</v>
      </c>
      <c r="AJ72" s="4">
        <v>1</v>
      </c>
      <c r="AK72">
        <f t="shared" si="1"/>
        <v>32</v>
      </c>
      <c r="AL72" s="4">
        <v>34</v>
      </c>
      <c r="AM72" s="12">
        <f t="shared" si="0"/>
        <v>94.117647058823522</v>
      </c>
    </row>
    <row r="73" spans="1:39" ht="15.6">
      <c r="A73" s="52" t="s">
        <v>365</v>
      </c>
      <c r="B73" s="53" t="s">
        <v>366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0</v>
      </c>
      <c r="J73" s="4">
        <v>1</v>
      </c>
      <c r="K73" s="4">
        <v>0</v>
      </c>
      <c r="L73" s="5">
        <v>1</v>
      </c>
      <c r="M73" s="4">
        <v>1</v>
      </c>
      <c r="N73" s="4">
        <v>1</v>
      </c>
      <c r="O73" s="4">
        <v>1</v>
      </c>
      <c r="P73" s="4">
        <v>0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0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>
        <f t="shared" si="1"/>
        <v>30</v>
      </c>
      <c r="AL73" s="4">
        <v>34</v>
      </c>
      <c r="AM73" s="12">
        <f t="shared" si="0"/>
        <v>88.235294117647058</v>
      </c>
    </row>
    <row r="74" spans="1:39" ht="15.6">
      <c r="A74" s="52" t="s">
        <v>367</v>
      </c>
      <c r="B74" s="53" t="s">
        <v>368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</v>
      </c>
      <c r="J74" s="4">
        <v>0</v>
      </c>
      <c r="K74" s="4">
        <v>1</v>
      </c>
      <c r="L74" s="5">
        <v>1</v>
      </c>
      <c r="M74" s="4">
        <v>0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0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>
        <f t="shared" si="1"/>
        <v>26</v>
      </c>
      <c r="AL74" s="4">
        <v>34</v>
      </c>
      <c r="AM74" s="12">
        <f t="shared" ref="AM74:AM87" si="2">AK74/AL74*100</f>
        <v>76.470588235294116</v>
      </c>
    </row>
    <row r="75" spans="1:39" ht="15.6">
      <c r="A75" s="52" t="s">
        <v>369</v>
      </c>
      <c r="B75" s="53" t="s">
        <v>370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0</v>
      </c>
      <c r="L75" s="5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0</v>
      </c>
      <c r="AG75" s="4">
        <v>1</v>
      </c>
      <c r="AH75" s="4">
        <v>1</v>
      </c>
      <c r="AI75" s="4">
        <v>1</v>
      </c>
      <c r="AJ75" s="4">
        <v>1</v>
      </c>
      <c r="AK75">
        <f t="shared" ref="AK75:AK87" si="3">SUM(C75:AJ75)</f>
        <v>32</v>
      </c>
      <c r="AL75" s="4">
        <v>34</v>
      </c>
      <c r="AM75" s="12">
        <f t="shared" si="2"/>
        <v>94.117647058823522</v>
      </c>
    </row>
    <row r="76" spans="1:39" ht="15.6">
      <c r="A76" s="52" t="s">
        <v>371</v>
      </c>
      <c r="B76" s="53" t="s">
        <v>372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0</v>
      </c>
      <c r="L76" s="5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0</v>
      </c>
      <c r="S76" s="4">
        <v>0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0</v>
      </c>
      <c r="AC76" s="4">
        <v>0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>
        <f t="shared" si="3"/>
        <v>29</v>
      </c>
      <c r="AL76" s="4">
        <v>34</v>
      </c>
      <c r="AM76" s="12">
        <f t="shared" si="2"/>
        <v>85.294117647058826</v>
      </c>
    </row>
    <row r="77" spans="1:39" ht="15.6">
      <c r="A77" s="52" t="s">
        <v>373</v>
      </c>
      <c r="B77" s="53" t="s">
        <v>374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0</v>
      </c>
      <c r="K77" s="4">
        <v>1</v>
      </c>
      <c r="L77" s="5">
        <v>1</v>
      </c>
      <c r="M77" s="4">
        <v>0</v>
      </c>
      <c r="N77" s="4">
        <v>1</v>
      </c>
      <c r="O77" s="4">
        <v>1</v>
      </c>
      <c r="P77" s="4">
        <v>1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0</v>
      </c>
      <c r="AC77" s="4">
        <v>1</v>
      </c>
      <c r="AD77" s="4">
        <v>1</v>
      </c>
      <c r="AE77" s="4">
        <v>1</v>
      </c>
      <c r="AF77" s="4">
        <v>0</v>
      </c>
      <c r="AG77" s="4">
        <v>1</v>
      </c>
      <c r="AH77" s="4">
        <v>1</v>
      </c>
      <c r="AI77" s="4">
        <v>1</v>
      </c>
      <c r="AJ77" s="4">
        <v>1</v>
      </c>
      <c r="AK77">
        <f t="shared" si="3"/>
        <v>29</v>
      </c>
      <c r="AL77" s="4">
        <v>34</v>
      </c>
      <c r="AM77" s="12">
        <f t="shared" si="2"/>
        <v>85.294117647058826</v>
      </c>
    </row>
    <row r="78" spans="1:39" ht="15.6">
      <c r="A78" s="52" t="s">
        <v>375</v>
      </c>
      <c r="B78" s="53" t="s">
        <v>376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0</v>
      </c>
      <c r="K78" s="4">
        <v>1</v>
      </c>
      <c r="L78" s="5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0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>
        <f t="shared" si="3"/>
        <v>32</v>
      </c>
      <c r="AL78" s="4">
        <v>34</v>
      </c>
      <c r="AM78" s="12">
        <f t="shared" si="2"/>
        <v>94.117647058823522</v>
      </c>
    </row>
    <row r="79" spans="1:39" ht="15.6">
      <c r="A79" s="52" t="s">
        <v>377</v>
      </c>
      <c r="B79" s="53" t="s">
        <v>378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0</v>
      </c>
      <c r="I79" s="4">
        <v>1</v>
      </c>
      <c r="J79" s="4">
        <v>0</v>
      </c>
      <c r="K79" s="4">
        <v>1</v>
      </c>
      <c r="L79" s="5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0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0</v>
      </c>
      <c r="AG79" s="4">
        <v>0</v>
      </c>
      <c r="AH79" s="4">
        <v>1</v>
      </c>
      <c r="AI79" s="4">
        <v>1</v>
      </c>
      <c r="AJ79" s="4">
        <v>1</v>
      </c>
      <c r="AK79">
        <f t="shared" si="3"/>
        <v>29</v>
      </c>
      <c r="AL79" s="4">
        <v>34</v>
      </c>
      <c r="AM79" s="12">
        <f t="shared" si="2"/>
        <v>85.294117647058826</v>
      </c>
    </row>
    <row r="80" spans="1:39" ht="15.6">
      <c r="A80" s="52" t="s">
        <v>379</v>
      </c>
      <c r="B80" s="53" t="s">
        <v>380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0</v>
      </c>
      <c r="K80" s="4">
        <v>0</v>
      </c>
      <c r="L80" s="5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0</v>
      </c>
      <c r="AC80" s="4">
        <v>1</v>
      </c>
      <c r="AD80" s="4">
        <v>1</v>
      </c>
      <c r="AE80" s="4">
        <v>1</v>
      </c>
      <c r="AF80" s="4">
        <v>0</v>
      </c>
      <c r="AG80" s="4">
        <v>0</v>
      </c>
      <c r="AH80" s="4">
        <v>1</v>
      </c>
      <c r="AI80" s="4">
        <v>1</v>
      </c>
      <c r="AJ80" s="4">
        <v>1</v>
      </c>
      <c r="AK80">
        <f t="shared" si="3"/>
        <v>29</v>
      </c>
      <c r="AL80" s="4">
        <v>34</v>
      </c>
      <c r="AM80" s="12">
        <f t="shared" si="2"/>
        <v>85.294117647058826</v>
      </c>
    </row>
    <row r="81" spans="1:39" ht="15.6">
      <c r="A81" s="52" t="s">
        <v>381</v>
      </c>
      <c r="B81" s="53" t="s">
        <v>382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0</v>
      </c>
      <c r="K81" s="4">
        <v>1</v>
      </c>
      <c r="L81" s="5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0</v>
      </c>
      <c r="AD81" s="4">
        <v>1</v>
      </c>
      <c r="AE81" s="4">
        <v>1</v>
      </c>
      <c r="AF81" s="4">
        <v>0</v>
      </c>
      <c r="AG81" s="4">
        <v>1</v>
      </c>
      <c r="AH81" s="4">
        <v>1</v>
      </c>
      <c r="AI81" s="4">
        <v>1</v>
      </c>
      <c r="AJ81" s="4">
        <v>1</v>
      </c>
      <c r="AK81">
        <f t="shared" si="3"/>
        <v>31</v>
      </c>
      <c r="AL81" s="4">
        <v>34</v>
      </c>
      <c r="AM81" s="12">
        <f t="shared" si="2"/>
        <v>91.17647058823529</v>
      </c>
    </row>
    <row r="82" spans="1:39" ht="15.6">
      <c r="A82" s="52" t="s">
        <v>383</v>
      </c>
      <c r="B82" s="53" t="s">
        <v>384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0</v>
      </c>
      <c r="I82" s="4">
        <v>1</v>
      </c>
      <c r="J82" s="4">
        <v>0</v>
      </c>
      <c r="K82" s="4">
        <v>1</v>
      </c>
      <c r="L82" s="5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0</v>
      </c>
      <c r="AG82" s="4">
        <v>1</v>
      </c>
      <c r="AH82" s="4">
        <v>1</v>
      </c>
      <c r="AI82" s="4">
        <v>1</v>
      </c>
      <c r="AJ82" s="4">
        <v>1</v>
      </c>
      <c r="AK82">
        <f t="shared" si="3"/>
        <v>31</v>
      </c>
      <c r="AL82" s="4">
        <v>34</v>
      </c>
      <c r="AM82" s="12">
        <f t="shared" si="2"/>
        <v>91.17647058823529</v>
      </c>
    </row>
    <row r="83" spans="1:39" ht="15.6">
      <c r="A83" s="52" t="s">
        <v>385</v>
      </c>
      <c r="B83" s="53" t="s">
        <v>386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0</v>
      </c>
      <c r="L83" s="5">
        <v>1</v>
      </c>
      <c r="M83" s="4">
        <v>1</v>
      </c>
      <c r="N83" s="4">
        <v>0</v>
      </c>
      <c r="O83" s="4">
        <v>1</v>
      </c>
      <c r="P83" s="4">
        <v>1</v>
      </c>
      <c r="Q83" s="4">
        <v>0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0</v>
      </c>
      <c r="AG83" s="4">
        <v>1</v>
      </c>
      <c r="AH83" s="4">
        <v>1</v>
      </c>
      <c r="AI83" s="4">
        <v>1</v>
      </c>
      <c r="AJ83" s="4">
        <v>1</v>
      </c>
      <c r="AK83">
        <f t="shared" si="3"/>
        <v>30</v>
      </c>
      <c r="AL83" s="4">
        <v>34</v>
      </c>
      <c r="AM83" s="12">
        <f t="shared" si="2"/>
        <v>88.235294117647058</v>
      </c>
    </row>
    <row r="84" spans="1:39" ht="15.6">
      <c r="A84" s="52" t="s">
        <v>387</v>
      </c>
      <c r="B84" s="53" t="s">
        <v>388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0</v>
      </c>
      <c r="K84" s="4">
        <v>0</v>
      </c>
      <c r="L84" s="5">
        <v>1</v>
      </c>
      <c r="M84" s="4">
        <v>1</v>
      </c>
      <c r="N84" s="4">
        <v>1</v>
      </c>
      <c r="O84" s="4">
        <v>0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>
        <f t="shared" si="3"/>
        <v>31</v>
      </c>
      <c r="AL84" s="4">
        <v>34</v>
      </c>
      <c r="AM84" s="12">
        <f t="shared" si="2"/>
        <v>91.17647058823529</v>
      </c>
    </row>
    <row r="85" spans="1:39" ht="15.6">
      <c r="A85" s="52" t="s">
        <v>389</v>
      </c>
      <c r="B85" s="53" t="s">
        <v>390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0</v>
      </c>
      <c r="I85" s="4">
        <v>1</v>
      </c>
      <c r="J85" s="4">
        <v>0</v>
      </c>
      <c r="K85" s="4">
        <v>1</v>
      </c>
      <c r="L85" s="5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0</v>
      </c>
      <c r="AG85" s="4">
        <v>1</v>
      </c>
      <c r="AH85" s="4">
        <v>1</v>
      </c>
      <c r="AI85" s="4">
        <v>1</v>
      </c>
      <c r="AJ85" s="4">
        <v>1</v>
      </c>
      <c r="AK85">
        <f t="shared" si="3"/>
        <v>31</v>
      </c>
      <c r="AL85" s="4">
        <v>34</v>
      </c>
      <c r="AM85" s="12">
        <f t="shared" si="2"/>
        <v>91.17647058823529</v>
      </c>
    </row>
    <row r="86" spans="1:39" ht="15.6">
      <c r="A86" s="52" t="s">
        <v>391</v>
      </c>
      <c r="B86" s="53" t="s">
        <v>392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0</v>
      </c>
      <c r="K86" s="4">
        <v>1</v>
      </c>
      <c r="L86" s="5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0</v>
      </c>
      <c r="AG86" s="4">
        <v>1</v>
      </c>
      <c r="AH86" s="4">
        <v>1</v>
      </c>
      <c r="AI86" s="4">
        <v>1</v>
      </c>
      <c r="AJ86" s="4">
        <v>1</v>
      </c>
      <c r="AK86">
        <f t="shared" si="3"/>
        <v>32</v>
      </c>
      <c r="AL86" s="4">
        <v>34</v>
      </c>
      <c r="AM86" s="12">
        <f t="shared" si="2"/>
        <v>94.117647058823522</v>
      </c>
    </row>
    <row r="87" spans="1:39" ht="15.6">
      <c r="A87" s="52" t="s">
        <v>393</v>
      </c>
      <c r="B87" s="53" t="s">
        <v>394</v>
      </c>
      <c r="C87" s="4">
        <v>1</v>
      </c>
      <c r="D87" s="4">
        <v>0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0</v>
      </c>
      <c r="K87" s="4">
        <v>1</v>
      </c>
      <c r="L87" s="5">
        <v>1</v>
      </c>
      <c r="M87" s="4">
        <v>0</v>
      </c>
      <c r="N87" s="4">
        <v>1</v>
      </c>
      <c r="O87" s="4">
        <v>1</v>
      </c>
      <c r="P87" s="4">
        <v>1</v>
      </c>
      <c r="Q87" s="4">
        <v>0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0</v>
      </c>
      <c r="AH87" s="4">
        <v>1</v>
      </c>
      <c r="AI87" s="4">
        <v>1</v>
      </c>
      <c r="AJ87" s="4">
        <v>1</v>
      </c>
      <c r="AK87">
        <f t="shared" si="3"/>
        <v>28</v>
      </c>
      <c r="AL87" s="4">
        <v>34</v>
      </c>
      <c r="AM87" s="12">
        <f t="shared" si="2"/>
        <v>82.35294117647058</v>
      </c>
    </row>
    <row r="88" spans="1:39">
      <c r="C88" s="4"/>
      <c r="D88" s="4"/>
      <c r="E88" s="4"/>
      <c r="F88" s="4"/>
      <c r="G88" s="4"/>
      <c r="H88" s="4"/>
      <c r="I88" s="4"/>
      <c r="J88" s="4"/>
      <c r="K88" s="4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9">
      <c r="C89" s="4"/>
      <c r="D89" s="4"/>
      <c r="E89" s="4"/>
      <c r="F89" s="4"/>
      <c r="G89" s="4"/>
      <c r="H89" s="4"/>
      <c r="I89" s="4"/>
      <c r="J89" s="4"/>
      <c r="K89" s="4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9">
      <c r="C90" s="4"/>
      <c r="D90" s="4"/>
      <c r="E90" s="4"/>
      <c r="F90" s="4"/>
      <c r="G90" s="4"/>
      <c r="H90" s="4"/>
      <c r="I90" s="4"/>
      <c r="J90" s="4"/>
      <c r="K90" s="4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9">
      <c r="C91" s="4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</sheetData>
  <mergeCells count="10">
    <mergeCell ref="C7:N7"/>
    <mergeCell ref="O7:V7"/>
    <mergeCell ref="W7:AG7"/>
    <mergeCell ref="AH7:AJ7"/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"/>
  <sheetViews>
    <sheetView topLeftCell="A19" workbookViewId="0">
      <selection sqref="A1:AM6"/>
    </sheetView>
  </sheetViews>
  <sheetFormatPr defaultRowHeight="14.4"/>
  <cols>
    <col min="1" max="1" width="20.6640625" customWidth="1"/>
    <col min="2" max="2" width="30.5546875" customWidth="1"/>
    <col min="4" max="4" width="7.109375" customWidth="1"/>
    <col min="11" max="11" width="6.21875" customWidth="1"/>
  </cols>
  <sheetData>
    <row r="1" spans="1:39">
      <c r="A1" s="2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40"/>
    </row>
    <row r="2" spans="1:39">
      <c r="A2" s="2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40"/>
    </row>
    <row r="3" spans="1:39">
      <c r="A3" s="29" t="s">
        <v>425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0"/>
    </row>
    <row r="4" spans="1:39">
      <c r="A4" s="29" t="s">
        <v>427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40"/>
    </row>
    <row r="5" spans="1:39">
      <c r="A5" s="29" t="s">
        <v>426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40"/>
    </row>
    <row r="6" spans="1:39">
      <c r="A6" s="29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0"/>
    </row>
    <row r="8" spans="1:39" ht="15.6">
      <c r="A8" s="51" t="s">
        <v>236</v>
      </c>
      <c r="B8" s="51" t="s">
        <v>190</v>
      </c>
      <c r="C8" s="18" t="s">
        <v>227</v>
      </c>
      <c r="D8" s="18" t="s">
        <v>431</v>
      </c>
      <c r="E8" s="18" t="s">
        <v>432</v>
      </c>
      <c r="F8" s="59" t="s">
        <v>224</v>
      </c>
      <c r="G8" s="18" t="s">
        <v>429</v>
      </c>
      <c r="H8" s="59" t="s">
        <v>226</v>
      </c>
      <c r="I8" s="59" t="s">
        <v>414</v>
      </c>
      <c r="J8" s="49" t="s">
        <v>420</v>
      </c>
      <c r="K8" s="60" t="s">
        <v>430</v>
      </c>
    </row>
    <row r="9" spans="1:39" ht="15.6">
      <c r="A9" s="52" t="s">
        <v>237</v>
      </c>
      <c r="B9" s="53" t="s">
        <v>238</v>
      </c>
      <c r="C9" s="4">
        <v>1</v>
      </c>
      <c r="D9" s="4">
        <v>1</v>
      </c>
      <c r="E9" s="4">
        <v>0</v>
      </c>
      <c r="F9" s="4">
        <v>1</v>
      </c>
      <c r="G9" s="4">
        <v>1</v>
      </c>
      <c r="H9" s="4">
        <v>1</v>
      </c>
      <c r="I9" s="4">
        <v>0</v>
      </c>
      <c r="J9" s="4">
        <f t="shared" ref="J9:J14" si="0">SUM(C9:I9)</f>
        <v>5</v>
      </c>
      <c r="K9" s="5">
        <f>J9/7*100</f>
        <v>71.428571428571431</v>
      </c>
    </row>
    <row r="10" spans="1:39" ht="15.6">
      <c r="A10" s="52" t="s">
        <v>239</v>
      </c>
      <c r="B10" s="53" t="s">
        <v>240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f t="shared" si="0"/>
        <v>7</v>
      </c>
      <c r="K10" s="5">
        <f>J10/7*100</f>
        <v>100</v>
      </c>
    </row>
    <row r="11" spans="1:39" ht="15.6">
      <c r="A11" s="52" t="s">
        <v>241</v>
      </c>
      <c r="B11" s="53" t="s">
        <v>242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0</v>
      </c>
      <c r="J11" s="4">
        <f t="shared" si="0"/>
        <v>6</v>
      </c>
      <c r="K11" s="5">
        <f t="shared" ref="K11:K47" si="1">J11/7*100</f>
        <v>85.714285714285708</v>
      </c>
    </row>
    <row r="12" spans="1:39" ht="15.6">
      <c r="A12" s="52" t="s">
        <v>243</v>
      </c>
      <c r="B12" s="53" t="s">
        <v>244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0</v>
      </c>
      <c r="J12" s="4">
        <f t="shared" si="0"/>
        <v>6</v>
      </c>
      <c r="K12" s="5">
        <f t="shared" si="1"/>
        <v>85.714285714285708</v>
      </c>
    </row>
    <row r="13" spans="1:39" ht="15.6">
      <c r="A13" s="52" t="s">
        <v>245</v>
      </c>
      <c r="B13" s="53" t="s">
        <v>246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0</v>
      </c>
      <c r="J13" s="4">
        <f t="shared" si="0"/>
        <v>5</v>
      </c>
      <c r="K13" s="5">
        <f t="shared" si="1"/>
        <v>71.428571428571431</v>
      </c>
    </row>
    <row r="14" spans="1:39" ht="15.6">
      <c r="A14" s="52" t="s">
        <v>247</v>
      </c>
      <c r="B14" s="53" t="s">
        <v>248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f t="shared" si="0"/>
        <v>7</v>
      </c>
      <c r="K14" s="5">
        <f t="shared" si="1"/>
        <v>100</v>
      </c>
    </row>
    <row r="15" spans="1:39" ht="15.6">
      <c r="A15" s="52" t="s">
        <v>249</v>
      </c>
      <c r="B15" s="53" t="s">
        <v>250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f t="shared" ref="J15:J47" si="2">SUM(C15:I15)</f>
        <v>7</v>
      </c>
      <c r="K15" s="5">
        <f t="shared" si="1"/>
        <v>100</v>
      </c>
    </row>
    <row r="16" spans="1:39" ht="15.6">
      <c r="A16" s="52" t="s">
        <v>251</v>
      </c>
      <c r="B16" s="53" t="s">
        <v>252</v>
      </c>
      <c r="C16" s="4">
        <v>1</v>
      </c>
      <c r="D16" s="4">
        <v>1</v>
      </c>
      <c r="E16" s="4">
        <v>0</v>
      </c>
      <c r="F16" s="4">
        <v>1</v>
      </c>
      <c r="G16" s="4">
        <v>1</v>
      </c>
      <c r="H16" s="4">
        <v>0</v>
      </c>
      <c r="I16" s="4">
        <v>1</v>
      </c>
      <c r="J16" s="4">
        <f t="shared" si="2"/>
        <v>5</v>
      </c>
      <c r="K16" s="5">
        <f t="shared" si="1"/>
        <v>71.428571428571431</v>
      </c>
    </row>
    <row r="17" spans="1:11" ht="15.6">
      <c r="A17" s="52" t="s">
        <v>253</v>
      </c>
      <c r="B17" s="53" t="s">
        <v>254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f t="shared" si="2"/>
        <v>7</v>
      </c>
      <c r="K17" s="5">
        <f t="shared" si="1"/>
        <v>100</v>
      </c>
    </row>
    <row r="18" spans="1:11" ht="15.6">
      <c r="A18" s="52" t="s">
        <v>255</v>
      </c>
      <c r="B18" s="53" t="s">
        <v>256</v>
      </c>
      <c r="C18" s="4">
        <v>1</v>
      </c>
      <c r="D18" s="4">
        <v>1</v>
      </c>
      <c r="E18" s="4">
        <v>1</v>
      </c>
      <c r="F18" s="4">
        <v>0</v>
      </c>
      <c r="G18" s="4">
        <v>1</v>
      </c>
      <c r="H18" s="4">
        <v>1</v>
      </c>
      <c r="I18" s="4">
        <v>1</v>
      </c>
      <c r="J18" s="4">
        <f t="shared" si="2"/>
        <v>6</v>
      </c>
      <c r="K18" s="5">
        <f t="shared" si="1"/>
        <v>85.714285714285708</v>
      </c>
    </row>
    <row r="19" spans="1:11" ht="15.6">
      <c r="A19" s="52" t="s">
        <v>257</v>
      </c>
      <c r="B19" s="53" t="s">
        <v>258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0</v>
      </c>
      <c r="J19" s="4">
        <f t="shared" si="2"/>
        <v>6</v>
      </c>
      <c r="K19" s="5">
        <f t="shared" si="1"/>
        <v>85.714285714285708</v>
      </c>
    </row>
    <row r="20" spans="1:11" ht="15.6">
      <c r="A20" s="52" t="s">
        <v>259</v>
      </c>
      <c r="B20" s="53" t="s">
        <v>260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f t="shared" si="2"/>
        <v>7</v>
      </c>
      <c r="K20" s="5">
        <f t="shared" si="1"/>
        <v>100</v>
      </c>
    </row>
    <row r="21" spans="1:11" ht="15.6">
      <c r="A21" s="52" t="s">
        <v>261</v>
      </c>
      <c r="B21" s="53" t="s">
        <v>262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f t="shared" si="2"/>
        <v>7</v>
      </c>
      <c r="K21" s="5">
        <f t="shared" si="1"/>
        <v>100</v>
      </c>
    </row>
    <row r="22" spans="1:11" ht="15.6">
      <c r="A22" s="52" t="s">
        <v>263</v>
      </c>
      <c r="B22" s="53" t="s">
        <v>264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f t="shared" si="2"/>
        <v>7</v>
      </c>
      <c r="K22" s="5">
        <f t="shared" si="1"/>
        <v>100</v>
      </c>
    </row>
    <row r="23" spans="1:11" ht="15.6">
      <c r="A23" s="52" t="s">
        <v>265</v>
      </c>
      <c r="B23" s="53" t="s">
        <v>266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f t="shared" si="2"/>
        <v>7</v>
      </c>
      <c r="K23" s="5">
        <f t="shared" si="1"/>
        <v>100</v>
      </c>
    </row>
    <row r="24" spans="1:11" ht="15.6">
      <c r="A24" s="52" t="s">
        <v>267</v>
      </c>
      <c r="B24" s="53" t="s">
        <v>268</v>
      </c>
      <c r="C24" s="4">
        <v>1</v>
      </c>
      <c r="D24" s="4">
        <v>1</v>
      </c>
      <c r="E24" s="4">
        <v>0</v>
      </c>
      <c r="F24" s="4">
        <v>1</v>
      </c>
      <c r="G24" s="4">
        <v>0</v>
      </c>
      <c r="H24" s="4">
        <v>1</v>
      </c>
      <c r="I24" s="4">
        <v>1</v>
      </c>
      <c r="J24" s="4">
        <f t="shared" si="2"/>
        <v>5</v>
      </c>
      <c r="K24" s="5">
        <f t="shared" si="1"/>
        <v>71.428571428571431</v>
      </c>
    </row>
    <row r="25" spans="1:11" ht="15.6">
      <c r="A25" s="52" t="s">
        <v>269</v>
      </c>
      <c r="B25" s="53" t="s">
        <v>270</v>
      </c>
      <c r="C25" s="4">
        <v>0</v>
      </c>
      <c r="D25" s="4">
        <v>0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f t="shared" si="2"/>
        <v>5</v>
      </c>
      <c r="K25" s="5">
        <f t="shared" si="1"/>
        <v>71.428571428571431</v>
      </c>
    </row>
    <row r="26" spans="1:11" ht="15.6">
      <c r="A26" s="52" t="s">
        <v>271</v>
      </c>
      <c r="B26" s="53" t="s">
        <v>272</v>
      </c>
      <c r="C26" s="4">
        <v>0</v>
      </c>
      <c r="D26" s="4">
        <v>0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f t="shared" si="2"/>
        <v>5</v>
      </c>
      <c r="K26" s="5">
        <f t="shared" si="1"/>
        <v>71.428571428571431</v>
      </c>
    </row>
    <row r="27" spans="1:11" ht="15.6">
      <c r="A27" s="52" t="s">
        <v>273</v>
      </c>
      <c r="B27" s="53" t="s">
        <v>274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f t="shared" si="2"/>
        <v>7</v>
      </c>
      <c r="K27" s="5">
        <f t="shared" si="1"/>
        <v>100</v>
      </c>
    </row>
    <row r="28" spans="1:11" ht="15.6">
      <c r="A28" s="52" t="s">
        <v>275</v>
      </c>
      <c r="B28" s="53" t="s">
        <v>276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f t="shared" si="2"/>
        <v>7</v>
      </c>
      <c r="K28" s="5">
        <f t="shared" si="1"/>
        <v>100</v>
      </c>
    </row>
    <row r="29" spans="1:11" ht="15.6">
      <c r="A29" s="52" t="s">
        <v>277</v>
      </c>
      <c r="B29" s="53" t="s">
        <v>278</v>
      </c>
      <c r="C29" s="4">
        <v>0</v>
      </c>
      <c r="D29" s="4">
        <v>0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f t="shared" si="2"/>
        <v>5</v>
      </c>
      <c r="K29" s="5">
        <f t="shared" si="1"/>
        <v>71.428571428571431</v>
      </c>
    </row>
    <row r="30" spans="1:11" ht="15.6">
      <c r="A30" s="52" t="s">
        <v>279</v>
      </c>
      <c r="B30" s="53" t="s">
        <v>280</v>
      </c>
      <c r="C30" s="4">
        <v>0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0</v>
      </c>
      <c r="J30" s="4">
        <f t="shared" si="2"/>
        <v>5</v>
      </c>
      <c r="K30" s="5">
        <f t="shared" si="1"/>
        <v>71.428571428571431</v>
      </c>
    </row>
    <row r="31" spans="1:11" ht="15.6">
      <c r="A31" s="52" t="s">
        <v>281</v>
      </c>
      <c r="B31" s="53" t="s">
        <v>282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0</v>
      </c>
      <c r="I31" s="4">
        <v>0</v>
      </c>
      <c r="J31" s="4">
        <f t="shared" si="2"/>
        <v>5</v>
      </c>
      <c r="K31" s="5">
        <f t="shared" si="1"/>
        <v>71.428571428571431</v>
      </c>
    </row>
    <row r="32" spans="1:11" ht="15.6">
      <c r="A32" s="52" t="s">
        <v>283</v>
      </c>
      <c r="B32" s="53" t="s">
        <v>284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f t="shared" si="2"/>
        <v>7</v>
      </c>
      <c r="K32" s="5">
        <f t="shared" si="1"/>
        <v>100</v>
      </c>
    </row>
    <row r="33" spans="1:11" ht="15.6">
      <c r="A33" s="52" t="s">
        <v>285</v>
      </c>
      <c r="B33" s="53" t="s">
        <v>286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f t="shared" si="2"/>
        <v>7</v>
      </c>
      <c r="K33" s="5">
        <f t="shared" si="1"/>
        <v>100</v>
      </c>
    </row>
    <row r="34" spans="1:11" ht="15.6">
      <c r="A34" s="52" t="s">
        <v>287</v>
      </c>
      <c r="B34" s="53" t="s">
        <v>288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f t="shared" si="2"/>
        <v>7</v>
      </c>
      <c r="K34" s="5">
        <f t="shared" si="1"/>
        <v>100</v>
      </c>
    </row>
    <row r="35" spans="1:11" ht="15.6">
      <c r="A35" s="52" t="s">
        <v>289</v>
      </c>
      <c r="B35" s="53" t="s">
        <v>290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f t="shared" si="2"/>
        <v>7</v>
      </c>
      <c r="K35" s="5">
        <f t="shared" si="1"/>
        <v>100</v>
      </c>
    </row>
    <row r="36" spans="1:11" ht="15.6">
      <c r="A36" s="52" t="s">
        <v>291</v>
      </c>
      <c r="B36" s="53" t="s">
        <v>292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f t="shared" si="2"/>
        <v>7</v>
      </c>
      <c r="K36" s="5">
        <f t="shared" si="1"/>
        <v>100</v>
      </c>
    </row>
    <row r="37" spans="1:11" ht="15.6">
      <c r="A37" s="52" t="s">
        <v>293</v>
      </c>
      <c r="B37" s="53" t="s">
        <v>294</v>
      </c>
      <c r="C37" s="4">
        <v>1</v>
      </c>
      <c r="D37" s="4">
        <v>1</v>
      </c>
      <c r="E37" s="4">
        <v>1</v>
      </c>
      <c r="F37" s="4">
        <v>0</v>
      </c>
      <c r="G37" s="4">
        <v>1</v>
      </c>
      <c r="H37" s="4">
        <v>1</v>
      </c>
      <c r="I37" s="4">
        <v>1</v>
      </c>
      <c r="J37" s="4">
        <f t="shared" si="2"/>
        <v>6</v>
      </c>
      <c r="K37" s="5">
        <f t="shared" si="1"/>
        <v>85.714285714285708</v>
      </c>
    </row>
    <row r="38" spans="1:11" ht="15.6">
      <c r="A38" s="52" t="s">
        <v>295</v>
      </c>
      <c r="B38" s="53" t="s">
        <v>296</v>
      </c>
      <c r="C38" s="4">
        <v>1</v>
      </c>
      <c r="D38" s="4">
        <v>1</v>
      </c>
      <c r="E38" s="4">
        <v>0</v>
      </c>
      <c r="F38" s="4">
        <v>1</v>
      </c>
      <c r="G38" s="4">
        <v>1</v>
      </c>
      <c r="H38" s="4">
        <v>1</v>
      </c>
      <c r="I38" s="4">
        <v>0</v>
      </c>
      <c r="J38" s="4">
        <f t="shared" si="2"/>
        <v>5</v>
      </c>
      <c r="K38" s="5">
        <f t="shared" si="1"/>
        <v>71.428571428571431</v>
      </c>
    </row>
    <row r="39" spans="1:11" ht="15.6">
      <c r="A39" s="52" t="s">
        <v>297</v>
      </c>
      <c r="B39" s="53" t="s">
        <v>298</v>
      </c>
      <c r="C39" s="4">
        <v>1</v>
      </c>
      <c r="D39" s="4">
        <v>1</v>
      </c>
      <c r="E39" s="4">
        <v>0</v>
      </c>
      <c r="F39" s="4">
        <v>1</v>
      </c>
      <c r="G39" s="4">
        <v>1</v>
      </c>
      <c r="H39" s="4">
        <v>1</v>
      </c>
      <c r="I39" s="4">
        <v>0</v>
      </c>
      <c r="J39" s="4">
        <f t="shared" si="2"/>
        <v>5</v>
      </c>
      <c r="K39" s="5">
        <f t="shared" si="1"/>
        <v>71.428571428571431</v>
      </c>
    </row>
    <row r="40" spans="1:11" ht="15.6">
      <c r="A40" s="52" t="s">
        <v>299</v>
      </c>
      <c r="B40" s="53" t="s">
        <v>300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0</v>
      </c>
      <c r="J40" s="4">
        <f t="shared" si="2"/>
        <v>6</v>
      </c>
      <c r="K40" s="5">
        <f t="shared" si="1"/>
        <v>85.714285714285708</v>
      </c>
    </row>
    <row r="41" spans="1:11" ht="15.6">
      <c r="A41" s="52" t="s">
        <v>301</v>
      </c>
      <c r="B41" s="53" t="s">
        <v>302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0</v>
      </c>
      <c r="J41" s="4">
        <f t="shared" si="2"/>
        <v>6</v>
      </c>
      <c r="K41" s="5">
        <f t="shared" si="1"/>
        <v>85.714285714285708</v>
      </c>
    </row>
    <row r="42" spans="1:11" ht="15.6">
      <c r="A42" s="52" t="s">
        <v>303</v>
      </c>
      <c r="B42" s="53" t="s">
        <v>304</v>
      </c>
      <c r="C42" s="4">
        <v>1</v>
      </c>
      <c r="D42" s="4">
        <v>1</v>
      </c>
      <c r="E42" s="4">
        <v>1</v>
      </c>
      <c r="F42" s="4">
        <v>0</v>
      </c>
      <c r="G42" s="4">
        <v>1</v>
      </c>
      <c r="H42" s="4">
        <v>1</v>
      </c>
      <c r="I42" s="4">
        <v>1</v>
      </c>
      <c r="J42" s="4">
        <f t="shared" si="2"/>
        <v>6</v>
      </c>
      <c r="K42" s="5">
        <f t="shared" si="1"/>
        <v>85.714285714285708</v>
      </c>
    </row>
    <row r="43" spans="1:11" ht="15.6">
      <c r="A43" s="52" t="s">
        <v>305</v>
      </c>
      <c r="B43" s="53" t="s">
        <v>306</v>
      </c>
      <c r="C43" s="4">
        <v>1</v>
      </c>
      <c r="D43" s="4">
        <v>1</v>
      </c>
      <c r="E43" s="4">
        <v>0</v>
      </c>
      <c r="F43" s="4">
        <v>1</v>
      </c>
      <c r="G43" s="4">
        <v>1</v>
      </c>
      <c r="H43" s="4">
        <v>1</v>
      </c>
      <c r="I43" s="4">
        <v>0</v>
      </c>
      <c r="J43" s="4">
        <f t="shared" si="2"/>
        <v>5</v>
      </c>
      <c r="K43" s="5">
        <f t="shared" si="1"/>
        <v>71.428571428571431</v>
      </c>
    </row>
    <row r="44" spans="1:11" ht="15.6">
      <c r="A44" s="52" t="s">
        <v>307</v>
      </c>
      <c r="B44" s="53" t="s">
        <v>308</v>
      </c>
      <c r="C44" s="4">
        <v>1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f t="shared" si="2"/>
        <v>7</v>
      </c>
      <c r="K44" s="5">
        <f t="shared" si="1"/>
        <v>100</v>
      </c>
    </row>
    <row r="45" spans="1:11" ht="15.6">
      <c r="A45" s="52" t="s">
        <v>309</v>
      </c>
      <c r="B45" s="53" t="s">
        <v>310</v>
      </c>
      <c r="C45" s="4">
        <v>1</v>
      </c>
      <c r="D45" s="4">
        <v>1</v>
      </c>
      <c r="E45" s="4">
        <v>1</v>
      </c>
      <c r="F45" s="4">
        <v>0</v>
      </c>
      <c r="G45" s="4">
        <v>1</v>
      </c>
      <c r="H45" s="4">
        <v>1</v>
      </c>
      <c r="I45" s="4">
        <v>1</v>
      </c>
      <c r="J45" s="4">
        <f t="shared" si="2"/>
        <v>6</v>
      </c>
      <c r="K45" s="5">
        <f t="shared" si="1"/>
        <v>85.714285714285708</v>
      </c>
    </row>
    <row r="46" spans="1:11" ht="15.6">
      <c r="A46" s="52" t="s">
        <v>311</v>
      </c>
      <c r="B46" s="53" t="s">
        <v>312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f t="shared" si="2"/>
        <v>7</v>
      </c>
      <c r="K46" s="5">
        <f t="shared" si="1"/>
        <v>100</v>
      </c>
    </row>
    <row r="47" spans="1:11" ht="15.6">
      <c r="A47" s="52" t="s">
        <v>313</v>
      </c>
      <c r="B47" s="53" t="s">
        <v>314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0</v>
      </c>
      <c r="J47" s="4">
        <f t="shared" si="2"/>
        <v>6</v>
      </c>
      <c r="K47" s="5">
        <f t="shared" si="1"/>
        <v>85.714285714285708</v>
      </c>
    </row>
  </sheetData>
  <mergeCells count="6"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"/>
  <sheetViews>
    <sheetView topLeftCell="A7" workbookViewId="0">
      <selection activeCell="I29" sqref="I29"/>
    </sheetView>
  </sheetViews>
  <sheetFormatPr defaultRowHeight="14.4"/>
  <cols>
    <col min="1" max="1" width="20.77734375" customWidth="1"/>
    <col min="2" max="2" width="38.88671875" customWidth="1"/>
    <col min="11" max="11" width="6.77734375" customWidth="1"/>
  </cols>
  <sheetData>
    <row r="1" spans="1:39">
      <c r="A1" s="2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40"/>
    </row>
    <row r="2" spans="1:39">
      <c r="A2" s="2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40"/>
    </row>
    <row r="3" spans="1:39">
      <c r="A3" s="29" t="s">
        <v>425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0"/>
    </row>
    <row r="4" spans="1:39">
      <c r="A4" s="29" t="s">
        <v>433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40"/>
    </row>
    <row r="5" spans="1:39">
      <c r="A5" s="29" t="s">
        <v>426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40"/>
    </row>
    <row r="6" spans="1:39">
      <c r="A6" s="29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0"/>
    </row>
    <row r="7" spans="1:39" ht="15.6">
      <c r="A7" s="54" t="s">
        <v>428</v>
      </c>
      <c r="B7" s="54" t="s">
        <v>190</v>
      </c>
      <c r="C7" s="18" t="s">
        <v>434</v>
      </c>
      <c r="D7" s="59">
        <v>45926</v>
      </c>
      <c r="E7" s="59">
        <v>45933</v>
      </c>
      <c r="F7" s="59">
        <v>45940</v>
      </c>
      <c r="G7" s="18" t="s">
        <v>435</v>
      </c>
      <c r="H7" s="18" t="s">
        <v>423</v>
      </c>
      <c r="I7" s="18" t="s">
        <v>414</v>
      </c>
      <c r="J7" s="49" t="s">
        <v>420</v>
      </c>
      <c r="K7" s="49" t="s">
        <v>193</v>
      </c>
    </row>
    <row r="8" spans="1:39" ht="15.6">
      <c r="A8" s="52" t="s">
        <v>315</v>
      </c>
      <c r="B8" s="53" t="s">
        <v>316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f>SUM(C8:I8)</f>
        <v>7</v>
      </c>
      <c r="K8" s="5">
        <f>(J8/7)*100</f>
        <v>100</v>
      </c>
    </row>
    <row r="9" spans="1:39" ht="15.6">
      <c r="A9" s="52" t="s">
        <v>317</v>
      </c>
      <c r="B9" s="53" t="s">
        <v>318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f t="shared" ref="J9:J47" si="0">SUM(C9:I9)</f>
        <v>7</v>
      </c>
      <c r="K9" s="5">
        <f>(J9/7)*100</f>
        <v>100</v>
      </c>
    </row>
    <row r="10" spans="1:39" ht="15.6">
      <c r="A10" s="52" t="s">
        <v>319</v>
      </c>
      <c r="B10" s="53" t="s">
        <v>320</v>
      </c>
      <c r="C10" s="4">
        <v>1</v>
      </c>
      <c r="D10" s="4">
        <v>1</v>
      </c>
      <c r="E10" s="4">
        <v>1</v>
      </c>
      <c r="F10" s="4">
        <v>0</v>
      </c>
      <c r="G10" s="4">
        <v>1</v>
      </c>
      <c r="H10" s="4">
        <v>1</v>
      </c>
      <c r="I10" s="4">
        <v>0</v>
      </c>
      <c r="J10" s="4">
        <f t="shared" si="0"/>
        <v>5</v>
      </c>
      <c r="K10" s="5">
        <f t="shared" ref="K10:K47" si="1">(J10/7)*100</f>
        <v>71.428571428571431</v>
      </c>
    </row>
    <row r="11" spans="1:39" ht="15.6">
      <c r="A11" s="52" t="s">
        <v>321</v>
      </c>
      <c r="B11" s="53" t="s">
        <v>322</v>
      </c>
      <c r="C11" s="4">
        <v>1</v>
      </c>
      <c r="D11" s="4">
        <v>1</v>
      </c>
      <c r="E11" s="4">
        <v>0</v>
      </c>
      <c r="F11" s="4">
        <v>1</v>
      </c>
      <c r="G11" s="4">
        <v>1</v>
      </c>
      <c r="H11" s="4">
        <v>1</v>
      </c>
      <c r="I11" s="4">
        <v>1</v>
      </c>
      <c r="J11" s="4">
        <f t="shared" si="0"/>
        <v>6</v>
      </c>
      <c r="K11" s="5">
        <f t="shared" si="1"/>
        <v>85.714285714285708</v>
      </c>
    </row>
    <row r="12" spans="1:39" ht="15.6">
      <c r="A12" s="52" t="s">
        <v>323</v>
      </c>
      <c r="B12" s="53" t="s">
        <v>324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f t="shared" si="0"/>
        <v>7</v>
      </c>
      <c r="K12" s="5">
        <f t="shared" si="1"/>
        <v>100</v>
      </c>
    </row>
    <row r="13" spans="1:39" ht="15.6">
      <c r="A13" s="52" t="s">
        <v>325</v>
      </c>
      <c r="B13" s="53" t="s">
        <v>326</v>
      </c>
      <c r="C13" s="4">
        <v>1</v>
      </c>
      <c r="D13" s="4">
        <v>1</v>
      </c>
      <c r="E13" s="4">
        <v>1</v>
      </c>
      <c r="F13" s="4">
        <v>0</v>
      </c>
      <c r="G13" s="4">
        <v>1</v>
      </c>
      <c r="H13" s="4">
        <v>1</v>
      </c>
      <c r="I13" s="4">
        <v>0</v>
      </c>
      <c r="J13" s="4">
        <f t="shared" si="0"/>
        <v>5</v>
      </c>
      <c r="K13" s="5">
        <f t="shared" si="1"/>
        <v>71.428571428571431</v>
      </c>
    </row>
    <row r="14" spans="1:39" ht="15.6">
      <c r="A14" s="52" t="s">
        <v>327</v>
      </c>
      <c r="B14" s="53" t="s">
        <v>328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f t="shared" si="0"/>
        <v>7</v>
      </c>
      <c r="K14" s="5">
        <f t="shared" si="1"/>
        <v>100</v>
      </c>
    </row>
    <row r="15" spans="1:39" ht="15.6">
      <c r="A15" s="52" t="s">
        <v>329</v>
      </c>
      <c r="B15" s="53" t="s">
        <v>330</v>
      </c>
      <c r="C15" s="4">
        <v>1</v>
      </c>
      <c r="D15" s="4">
        <v>1</v>
      </c>
      <c r="E15" s="4">
        <v>0</v>
      </c>
      <c r="F15" s="4">
        <v>1</v>
      </c>
      <c r="G15" s="4">
        <v>1</v>
      </c>
      <c r="H15" s="4">
        <v>1</v>
      </c>
      <c r="I15" s="4">
        <v>1</v>
      </c>
      <c r="J15" s="4">
        <f t="shared" si="0"/>
        <v>6</v>
      </c>
      <c r="K15" s="5">
        <f t="shared" si="1"/>
        <v>85.714285714285708</v>
      </c>
    </row>
    <row r="16" spans="1:39" ht="15.6">
      <c r="A16" s="52" t="s">
        <v>331</v>
      </c>
      <c r="B16" s="53" t="s">
        <v>332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0</v>
      </c>
      <c r="J16" s="4">
        <f t="shared" si="0"/>
        <v>6</v>
      </c>
      <c r="K16" s="5">
        <f t="shared" si="1"/>
        <v>85.714285714285708</v>
      </c>
    </row>
    <row r="17" spans="1:11" ht="15.6">
      <c r="A17" s="52" t="s">
        <v>333</v>
      </c>
      <c r="B17" s="53" t="s">
        <v>334</v>
      </c>
      <c r="C17" s="4">
        <v>1</v>
      </c>
      <c r="D17" s="4">
        <v>1</v>
      </c>
      <c r="E17" s="4">
        <v>0</v>
      </c>
      <c r="F17" s="4">
        <v>0</v>
      </c>
      <c r="G17" s="4">
        <v>1</v>
      </c>
      <c r="H17" s="4">
        <v>1</v>
      </c>
      <c r="I17" s="4">
        <v>1</v>
      </c>
      <c r="J17" s="4">
        <f t="shared" si="0"/>
        <v>5</v>
      </c>
      <c r="K17" s="5">
        <f t="shared" si="1"/>
        <v>71.428571428571431</v>
      </c>
    </row>
    <row r="18" spans="1:11" ht="15.6">
      <c r="A18" s="52" t="s">
        <v>335</v>
      </c>
      <c r="B18" s="53" t="s">
        <v>336</v>
      </c>
      <c r="C18" s="4">
        <v>1</v>
      </c>
      <c r="D18" s="4">
        <v>1</v>
      </c>
      <c r="E18" s="4">
        <v>0</v>
      </c>
      <c r="F18" s="4">
        <v>0</v>
      </c>
      <c r="G18" s="4">
        <v>1</v>
      </c>
      <c r="H18" s="4">
        <v>1</v>
      </c>
      <c r="I18" s="4">
        <v>1</v>
      </c>
      <c r="J18" s="4">
        <f t="shared" si="0"/>
        <v>5</v>
      </c>
      <c r="K18" s="5">
        <f t="shared" si="1"/>
        <v>71.428571428571431</v>
      </c>
    </row>
    <row r="19" spans="1:11" ht="15.6">
      <c r="A19" s="52" t="s">
        <v>337</v>
      </c>
      <c r="B19" s="53" t="s">
        <v>338</v>
      </c>
      <c r="C19" s="4">
        <v>1</v>
      </c>
      <c r="D19" s="4">
        <v>1</v>
      </c>
      <c r="E19" s="4">
        <v>0</v>
      </c>
      <c r="F19" s="4">
        <v>1</v>
      </c>
      <c r="G19" s="4">
        <v>1</v>
      </c>
      <c r="H19" s="4">
        <v>1</v>
      </c>
      <c r="I19" s="4">
        <v>1</v>
      </c>
      <c r="J19" s="4">
        <f t="shared" si="0"/>
        <v>6</v>
      </c>
      <c r="K19" s="5">
        <f t="shared" si="1"/>
        <v>85.714285714285708</v>
      </c>
    </row>
    <row r="20" spans="1:11" ht="15.6">
      <c r="A20" s="52" t="s">
        <v>339</v>
      </c>
      <c r="B20" s="53" t="s">
        <v>340</v>
      </c>
      <c r="C20" s="4">
        <v>1</v>
      </c>
      <c r="D20" s="4">
        <v>1</v>
      </c>
      <c r="E20" s="4">
        <v>0</v>
      </c>
      <c r="F20" s="4">
        <v>0</v>
      </c>
      <c r="G20" s="4">
        <v>1</v>
      </c>
      <c r="H20" s="4">
        <v>1</v>
      </c>
      <c r="I20" s="4">
        <v>1</v>
      </c>
      <c r="J20" s="4">
        <f t="shared" si="0"/>
        <v>5</v>
      </c>
      <c r="K20" s="5">
        <f t="shared" si="1"/>
        <v>71.428571428571431</v>
      </c>
    </row>
    <row r="21" spans="1:11" ht="15.6">
      <c r="A21" s="52" t="s">
        <v>341</v>
      </c>
      <c r="B21" s="53" t="s">
        <v>342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f t="shared" si="0"/>
        <v>7</v>
      </c>
      <c r="K21" s="5">
        <f t="shared" si="1"/>
        <v>100</v>
      </c>
    </row>
    <row r="22" spans="1:11" ht="15.6">
      <c r="A22" s="52" t="s">
        <v>343</v>
      </c>
      <c r="B22" s="53" t="s">
        <v>344</v>
      </c>
      <c r="C22" s="4">
        <v>0</v>
      </c>
      <c r="D22" s="4">
        <v>1</v>
      </c>
      <c r="E22" s="4">
        <v>1</v>
      </c>
      <c r="F22" s="4">
        <v>0</v>
      </c>
      <c r="G22" s="4">
        <v>1</v>
      </c>
      <c r="H22" s="4">
        <v>1</v>
      </c>
      <c r="I22" s="4">
        <v>1</v>
      </c>
      <c r="J22" s="4">
        <f t="shared" si="0"/>
        <v>5</v>
      </c>
      <c r="K22" s="5">
        <f t="shared" si="1"/>
        <v>71.428571428571431</v>
      </c>
    </row>
    <row r="23" spans="1:11" ht="15.6">
      <c r="A23" s="52" t="s">
        <v>345</v>
      </c>
      <c r="B23" s="53" t="s">
        <v>346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0</v>
      </c>
      <c r="I23" s="4">
        <v>0</v>
      </c>
      <c r="J23" s="4">
        <f t="shared" si="0"/>
        <v>5</v>
      </c>
      <c r="K23" s="5">
        <f t="shared" si="1"/>
        <v>71.428571428571431</v>
      </c>
    </row>
    <row r="24" spans="1:11" ht="15.6">
      <c r="A24" s="52" t="s">
        <v>347</v>
      </c>
      <c r="B24" s="53" t="s">
        <v>348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f t="shared" si="0"/>
        <v>7</v>
      </c>
      <c r="K24" s="5">
        <f t="shared" si="1"/>
        <v>100</v>
      </c>
    </row>
    <row r="25" spans="1:11" ht="15.6">
      <c r="A25" s="52" t="s">
        <v>349</v>
      </c>
      <c r="B25" s="53" t="s">
        <v>350</v>
      </c>
      <c r="C25" s="4">
        <v>0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0</v>
      </c>
      <c r="J25" s="4">
        <f t="shared" si="0"/>
        <v>5</v>
      </c>
      <c r="K25" s="5">
        <f t="shared" si="1"/>
        <v>71.428571428571431</v>
      </c>
    </row>
    <row r="26" spans="1:11" ht="15.6">
      <c r="A26" s="52" t="s">
        <v>351</v>
      </c>
      <c r="B26" s="53" t="s">
        <v>352</v>
      </c>
      <c r="C26" s="4">
        <v>1</v>
      </c>
      <c r="D26" s="4">
        <v>1</v>
      </c>
      <c r="E26" s="4">
        <v>0</v>
      </c>
      <c r="F26" s="4">
        <v>1</v>
      </c>
      <c r="G26" s="4">
        <v>1</v>
      </c>
      <c r="H26" s="4">
        <v>1</v>
      </c>
      <c r="I26" s="4">
        <v>1</v>
      </c>
      <c r="J26" s="4">
        <f t="shared" si="0"/>
        <v>6</v>
      </c>
      <c r="K26" s="5">
        <f t="shared" si="1"/>
        <v>85.714285714285708</v>
      </c>
    </row>
    <row r="27" spans="1:11" ht="15.6">
      <c r="A27" s="52" t="s">
        <v>353</v>
      </c>
      <c r="B27" s="53" t="s">
        <v>354</v>
      </c>
      <c r="C27" s="4">
        <v>1</v>
      </c>
      <c r="D27" s="4">
        <v>1</v>
      </c>
      <c r="E27" s="4">
        <v>1</v>
      </c>
      <c r="F27" s="4">
        <v>0</v>
      </c>
      <c r="G27" s="4">
        <v>1</v>
      </c>
      <c r="H27" s="4">
        <v>1</v>
      </c>
      <c r="I27" s="4">
        <v>0</v>
      </c>
      <c r="J27" s="4">
        <f t="shared" si="0"/>
        <v>5</v>
      </c>
      <c r="K27" s="5">
        <f t="shared" si="1"/>
        <v>71.428571428571431</v>
      </c>
    </row>
    <row r="28" spans="1:11" ht="15.6">
      <c r="A28" s="52" t="s">
        <v>355</v>
      </c>
      <c r="B28" s="53" t="s">
        <v>356</v>
      </c>
      <c r="C28" s="4">
        <v>0</v>
      </c>
      <c r="D28" s="4">
        <v>1</v>
      </c>
      <c r="E28" s="4">
        <v>0</v>
      </c>
      <c r="F28" s="4">
        <v>1</v>
      </c>
      <c r="G28" s="4">
        <v>1</v>
      </c>
      <c r="H28" s="4">
        <v>1</v>
      </c>
      <c r="I28" s="4">
        <v>1</v>
      </c>
      <c r="J28" s="4">
        <f t="shared" si="0"/>
        <v>5</v>
      </c>
      <c r="K28" s="5">
        <f t="shared" si="1"/>
        <v>71.428571428571431</v>
      </c>
    </row>
    <row r="29" spans="1:11" ht="15.6">
      <c r="A29" s="52" t="s">
        <v>357</v>
      </c>
      <c r="B29" s="53" t="s">
        <v>358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0</v>
      </c>
      <c r="I29" s="4">
        <v>1</v>
      </c>
      <c r="J29" s="4">
        <f t="shared" si="0"/>
        <v>6</v>
      </c>
      <c r="K29" s="5">
        <f t="shared" si="1"/>
        <v>85.714285714285708</v>
      </c>
    </row>
    <row r="30" spans="1:11" ht="15.6">
      <c r="A30" s="52" t="s">
        <v>359</v>
      </c>
      <c r="B30" s="53" t="s">
        <v>360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f t="shared" si="0"/>
        <v>7</v>
      </c>
      <c r="K30" s="5">
        <f t="shared" si="1"/>
        <v>100</v>
      </c>
    </row>
    <row r="31" spans="1:11" ht="15.6">
      <c r="A31" s="52" t="s">
        <v>361</v>
      </c>
      <c r="B31" s="53" t="s">
        <v>362</v>
      </c>
      <c r="C31" s="4">
        <v>1</v>
      </c>
      <c r="D31" s="4">
        <v>1</v>
      </c>
      <c r="E31" s="4">
        <v>1</v>
      </c>
      <c r="F31" s="4">
        <v>0</v>
      </c>
      <c r="G31" s="4">
        <v>1</v>
      </c>
      <c r="H31" s="4">
        <v>1</v>
      </c>
      <c r="I31" s="4">
        <v>0</v>
      </c>
      <c r="J31" s="4">
        <f t="shared" si="0"/>
        <v>5</v>
      </c>
      <c r="K31" s="5">
        <f t="shared" si="1"/>
        <v>71.428571428571431</v>
      </c>
    </row>
    <row r="32" spans="1:11" ht="15.6">
      <c r="A32" s="52" t="s">
        <v>363</v>
      </c>
      <c r="B32" s="53" t="s">
        <v>364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f t="shared" si="0"/>
        <v>7</v>
      </c>
      <c r="K32" s="5">
        <f t="shared" si="1"/>
        <v>100</v>
      </c>
    </row>
    <row r="33" spans="1:11" ht="15.6">
      <c r="A33" s="52" t="s">
        <v>365</v>
      </c>
      <c r="B33" s="53" t="s">
        <v>366</v>
      </c>
      <c r="C33" s="4">
        <v>0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f t="shared" si="0"/>
        <v>6</v>
      </c>
      <c r="K33" s="5">
        <f t="shared" si="1"/>
        <v>85.714285714285708</v>
      </c>
    </row>
    <row r="34" spans="1:11" ht="15.6">
      <c r="A34" s="52" t="s">
        <v>367</v>
      </c>
      <c r="B34" s="53" t="s">
        <v>368</v>
      </c>
      <c r="C34" s="4">
        <v>1</v>
      </c>
      <c r="D34" s="4">
        <v>1</v>
      </c>
      <c r="E34" s="4">
        <v>1</v>
      </c>
      <c r="F34" s="4">
        <v>0</v>
      </c>
      <c r="G34" s="4">
        <v>1</v>
      </c>
      <c r="H34" s="4">
        <v>1</v>
      </c>
      <c r="I34" s="4">
        <v>1</v>
      </c>
      <c r="J34" s="4">
        <f t="shared" si="0"/>
        <v>6</v>
      </c>
      <c r="K34" s="5">
        <f t="shared" si="1"/>
        <v>85.714285714285708</v>
      </c>
    </row>
    <row r="35" spans="1:11" ht="15.6">
      <c r="A35" s="52" t="s">
        <v>369</v>
      </c>
      <c r="B35" s="53" t="s">
        <v>370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0</v>
      </c>
      <c r="J35" s="4">
        <f t="shared" si="0"/>
        <v>6</v>
      </c>
      <c r="K35" s="5">
        <f t="shared" si="1"/>
        <v>85.714285714285708</v>
      </c>
    </row>
    <row r="36" spans="1:11" ht="15.6">
      <c r="A36" s="52" t="s">
        <v>371</v>
      </c>
      <c r="B36" s="53" t="s">
        <v>372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f t="shared" si="0"/>
        <v>7</v>
      </c>
      <c r="K36" s="5">
        <f t="shared" si="1"/>
        <v>100</v>
      </c>
    </row>
    <row r="37" spans="1:11" ht="15.6">
      <c r="A37" s="52" t="s">
        <v>373</v>
      </c>
      <c r="B37" s="53" t="s">
        <v>374</v>
      </c>
      <c r="C37" s="4">
        <v>1</v>
      </c>
      <c r="D37" s="4">
        <v>1</v>
      </c>
      <c r="E37" s="4">
        <v>1</v>
      </c>
      <c r="F37" s="4">
        <v>0</v>
      </c>
      <c r="G37" s="4">
        <v>1</v>
      </c>
      <c r="H37" s="4">
        <v>1</v>
      </c>
      <c r="I37" s="4">
        <v>1</v>
      </c>
      <c r="J37" s="4">
        <f t="shared" si="0"/>
        <v>6</v>
      </c>
      <c r="K37" s="5">
        <f t="shared" si="1"/>
        <v>85.714285714285708</v>
      </c>
    </row>
    <row r="38" spans="1:11" ht="15.6">
      <c r="A38" s="52" t="s">
        <v>375</v>
      </c>
      <c r="B38" s="53" t="s">
        <v>376</v>
      </c>
      <c r="C38" s="4">
        <v>1</v>
      </c>
      <c r="D38" s="4">
        <v>1</v>
      </c>
      <c r="E38" s="4">
        <v>1</v>
      </c>
      <c r="F38" s="4">
        <v>0</v>
      </c>
      <c r="G38" s="4">
        <v>1</v>
      </c>
      <c r="H38" s="4">
        <v>1</v>
      </c>
      <c r="I38" s="4">
        <v>1</v>
      </c>
      <c r="J38" s="4">
        <f t="shared" si="0"/>
        <v>6</v>
      </c>
      <c r="K38" s="5">
        <f t="shared" si="1"/>
        <v>85.714285714285708</v>
      </c>
    </row>
    <row r="39" spans="1:11" ht="15.6">
      <c r="A39" s="52" t="s">
        <v>377</v>
      </c>
      <c r="B39" s="53" t="s">
        <v>378</v>
      </c>
      <c r="C39" s="4">
        <v>1</v>
      </c>
      <c r="D39" s="4">
        <v>1</v>
      </c>
      <c r="E39" s="4">
        <v>1</v>
      </c>
      <c r="F39" s="4">
        <v>0</v>
      </c>
      <c r="G39" s="4">
        <v>1</v>
      </c>
      <c r="H39" s="4">
        <v>1</v>
      </c>
      <c r="I39" s="4">
        <v>1</v>
      </c>
      <c r="J39" s="4">
        <f t="shared" si="0"/>
        <v>6</v>
      </c>
      <c r="K39" s="5">
        <f t="shared" si="1"/>
        <v>85.714285714285708</v>
      </c>
    </row>
    <row r="40" spans="1:11" ht="15.6">
      <c r="A40" s="52" t="s">
        <v>379</v>
      </c>
      <c r="B40" s="53" t="s">
        <v>380</v>
      </c>
      <c r="C40" s="4">
        <v>1</v>
      </c>
      <c r="D40" s="4">
        <v>1</v>
      </c>
      <c r="E40" s="4">
        <v>1</v>
      </c>
      <c r="F40" s="4">
        <v>0</v>
      </c>
      <c r="G40" s="4">
        <v>1</v>
      </c>
      <c r="H40" s="4">
        <v>1</v>
      </c>
      <c r="I40" s="4">
        <v>0</v>
      </c>
      <c r="J40" s="4">
        <f t="shared" si="0"/>
        <v>5</v>
      </c>
      <c r="K40" s="5">
        <f t="shared" si="1"/>
        <v>71.428571428571431</v>
      </c>
    </row>
    <row r="41" spans="1:11" ht="15.6">
      <c r="A41" s="52" t="s">
        <v>381</v>
      </c>
      <c r="B41" s="53" t="s">
        <v>382</v>
      </c>
      <c r="C41" s="4">
        <v>1</v>
      </c>
      <c r="D41" s="4">
        <v>1</v>
      </c>
      <c r="E41" s="4">
        <v>1</v>
      </c>
      <c r="F41" s="4">
        <v>0</v>
      </c>
      <c r="G41" s="4">
        <v>1</v>
      </c>
      <c r="H41" s="4">
        <v>1</v>
      </c>
      <c r="I41" s="4">
        <v>1</v>
      </c>
      <c r="J41" s="4">
        <f t="shared" si="0"/>
        <v>6</v>
      </c>
      <c r="K41" s="5">
        <f t="shared" si="1"/>
        <v>85.714285714285708</v>
      </c>
    </row>
    <row r="42" spans="1:11" ht="15.6">
      <c r="A42" s="52" t="s">
        <v>383</v>
      </c>
      <c r="B42" s="53" t="s">
        <v>384</v>
      </c>
      <c r="C42" s="4">
        <v>1</v>
      </c>
      <c r="D42" s="4">
        <v>1</v>
      </c>
      <c r="E42" s="4">
        <v>1</v>
      </c>
      <c r="F42" s="4">
        <v>0</v>
      </c>
      <c r="G42" s="4">
        <v>1</v>
      </c>
      <c r="H42" s="4">
        <v>1</v>
      </c>
      <c r="I42" s="4">
        <v>0</v>
      </c>
      <c r="J42" s="4">
        <f t="shared" si="0"/>
        <v>5</v>
      </c>
      <c r="K42" s="5">
        <f t="shared" si="1"/>
        <v>71.428571428571431</v>
      </c>
    </row>
    <row r="43" spans="1:11" ht="15.6">
      <c r="A43" s="52" t="s">
        <v>385</v>
      </c>
      <c r="B43" s="53" t="s">
        <v>386</v>
      </c>
      <c r="C43" s="4">
        <v>1</v>
      </c>
      <c r="D43" s="4">
        <v>1</v>
      </c>
      <c r="E43" s="4">
        <v>1</v>
      </c>
      <c r="F43" s="4">
        <v>0</v>
      </c>
      <c r="G43" s="4">
        <v>1</v>
      </c>
      <c r="H43" s="4">
        <v>1</v>
      </c>
      <c r="I43" s="4">
        <v>1</v>
      </c>
      <c r="J43" s="4">
        <f t="shared" si="0"/>
        <v>6</v>
      </c>
      <c r="K43" s="5">
        <f t="shared" si="1"/>
        <v>85.714285714285708</v>
      </c>
    </row>
    <row r="44" spans="1:11" ht="15.6">
      <c r="A44" s="52" t="s">
        <v>387</v>
      </c>
      <c r="B44" s="53" t="s">
        <v>388</v>
      </c>
      <c r="C44" s="4">
        <v>1</v>
      </c>
      <c r="D44" s="4">
        <v>1</v>
      </c>
      <c r="E44" s="4">
        <v>0</v>
      </c>
      <c r="F44" s="4">
        <v>1</v>
      </c>
      <c r="G44" s="4">
        <v>1</v>
      </c>
      <c r="H44" s="4">
        <v>1</v>
      </c>
      <c r="I44" s="4">
        <v>1</v>
      </c>
      <c r="J44" s="4">
        <f t="shared" si="0"/>
        <v>6</v>
      </c>
      <c r="K44" s="5">
        <f t="shared" si="1"/>
        <v>85.714285714285708</v>
      </c>
    </row>
    <row r="45" spans="1:11" ht="15.6">
      <c r="A45" s="52" t="s">
        <v>389</v>
      </c>
      <c r="B45" s="53" t="s">
        <v>390</v>
      </c>
      <c r="C45" s="4">
        <v>1</v>
      </c>
      <c r="D45" s="4">
        <v>1</v>
      </c>
      <c r="E45" s="4">
        <v>1</v>
      </c>
      <c r="F45" s="4">
        <v>0</v>
      </c>
      <c r="G45" s="4">
        <v>1</v>
      </c>
      <c r="H45" s="4">
        <v>1</v>
      </c>
      <c r="I45" s="4">
        <v>1</v>
      </c>
      <c r="J45" s="4">
        <f t="shared" si="0"/>
        <v>6</v>
      </c>
      <c r="K45" s="5">
        <f t="shared" si="1"/>
        <v>85.714285714285708</v>
      </c>
    </row>
    <row r="46" spans="1:11" ht="15.6">
      <c r="A46" s="52" t="s">
        <v>391</v>
      </c>
      <c r="B46" s="53" t="s">
        <v>392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0</v>
      </c>
      <c r="J46" s="4">
        <f t="shared" si="0"/>
        <v>6</v>
      </c>
      <c r="K46" s="5">
        <f t="shared" si="1"/>
        <v>85.714285714285708</v>
      </c>
    </row>
    <row r="47" spans="1:11" ht="15.6">
      <c r="A47" s="52" t="s">
        <v>393</v>
      </c>
      <c r="B47" s="53" t="s">
        <v>394</v>
      </c>
      <c r="C47" s="4">
        <v>1</v>
      </c>
      <c r="D47" s="4">
        <v>1</v>
      </c>
      <c r="E47" s="4">
        <v>1</v>
      </c>
      <c r="F47" s="4">
        <v>0</v>
      </c>
      <c r="G47" s="4">
        <v>1</v>
      </c>
      <c r="H47" s="4">
        <v>1</v>
      </c>
      <c r="I47" s="4">
        <v>1</v>
      </c>
      <c r="J47" s="4">
        <f t="shared" si="0"/>
        <v>6</v>
      </c>
      <c r="K47" s="5">
        <f t="shared" si="1"/>
        <v>85.714285714285708</v>
      </c>
    </row>
  </sheetData>
  <mergeCells count="6">
    <mergeCell ref="A1:AM1"/>
    <mergeCell ref="A2:AM2"/>
    <mergeCell ref="A3:AM3"/>
    <mergeCell ref="A4:AM4"/>
    <mergeCell ref="A5:AM5"/>
    <mergeCell ref="A6:A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CS702,CS703</vt:lpstr>
      <vt:lpstr>CS913</vt:lpstr>
      <vt:lpstr>LabB1 NLP</vt:lpstr>
      <vt:lpstr>LabB2NLP</vt:lpstr>
      <vt:lpstr>CS101 FCP</vt:lpstr>
      <vt:lpstr>CS101LAB G1</vt:lpstr>
      <vt:lpstr>CS101FCP LAB G2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2025-11-24T09:37:31Z</cp:lastPrinted>
  <dcterms:created xsi:type="dcterms:W3CDTF">2025-11-24T08:57:41Z</dcterms:created>
  <dcterms:modified xsi:type="dcterms:W3CDTF">2025-11-24T11:19:00Z</dcterms:modified>
</cp:coreProperties>
</file>