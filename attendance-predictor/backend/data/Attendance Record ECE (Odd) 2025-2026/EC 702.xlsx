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<sst xmlns="http://schemas.openxmlformats.org/spreadsheetml/2006/main" count="3000" uniqueCount="162">
  <si>
    <t>Electronics and Communication Engineering Department</t>
  </si>
  <si>
    <t>B.Tech - 4th year, Semester - 7th sem</t>
  </si>
  <si>
    <t>Subject Name: EC-702 Electric Vehicle Technology</t>
  </si>
  <si>
    <t>Subject Coordinator: Mr. Rahul Patel</t>
  </si>
  <si>
    <t xml:space="preserve">JULY-DEC 2025
</t>
  </si>
  <si>
    <t>JULY</t>
  </si>
  <si>
    <t>AUG</t>
  </si>
  <si>
    <t>SEP</t>
  </si>
  <si>
    <t>Oct</t>
  </si>
  <si>
    <t>Nov</t>
  </si>
  <si>
    <t>Total P</t>
  </si>
  <si>
    <t>Total A</t>
  </si>
  <si>
    <t>Total</t>
  </si>
  <si>
    <t>Present (%)</t>
  </si>
  <si>
    <t>Sr. No</t>
  </si>
  <si>
    <t>Enrollment No.</t>
  </si>
  <si>
    <t>Name</t>
  </si>
  <si>
    <t>UI22EC01</t>
  </si>
  <si>
    <t>ABHISHEK TIWARI</t>
  </si>
  <si>
    <t>A</t>
  </si>
  <si>
    <t>P</t>
  </si>
  <si>
    <t>M     I    DSEM EXAM</t>
  </si>
  <si>
    <t>UI22EC02</t>
  </si>
  <si>
    <t>ADARSH SINGH</t>
  </si>
  <si>
    <t>UI22EC03</t>
  </si>
  <si>
    <t>ADITI RATHORE</t>
  </si>
  <si>
    <t>UI22EC06</t>
  </si>
  <si>
    <t>AMAN KUMAR</t>
  </si>
  <si>
    <t>UI22EC07</t>
  </si>
  <si>
    <t>AMAN PARMAR</t>
  </si>
  <si>
    <t>UI22EC09</t>
  </si>
  <si>
    <t>AMIT RAJ</t>
  </si>
  <si>
    <t>UI22EC11</t>
  </si>
  <si>
    <t>ANSH AGARWAL</t>
  </si>
  <si>
    <t>UI22EC13</t>
  </si>
  <si>
    <t>AYUSH DINESH PARDHI</t>
  </si>
  <si>
    <t>UI22EC16</t>
  </si>
  <si>
    <t>DESAI ROHAN SAGAR</t>
  </si>
  <si>
    <t>UI22EC17</t>
  </si>
  <si>
    <t>DEV DAS YADAV</t>
  </si>
  <si>
    <t>UI22EC18</t>
  </si>
  <si>
    <t>DEV VALA</t>
  </si>
  <si>
    <t>UI22EC19</t>
  </si>
  <si>
    <t>DEVIKA VERMA</t>
  </si>
  <si>
    <t>UI22EC20</t>
  </si>
  <si>
    <t>DHARMVEER GARG</t>
  </si>
  <si>
    <t>UI22EC21</t>
  </si>
  <si>
    <t>DHEERAJ KUMAR GUTHIKONDA</t>
  </si>
  <si>
    <t>UI22EC22</t>
  </si>
  <si>
    <t>DHRUV KUMAR MEENA</t>
  </si>
  <si>
    <t>UI22EC23</t>
  </si>
  <si>
    <t>DIVYANSHU VISHWAKARMA</t>
  </si>
  <si>
    <t>UI22EC24</t>
  </si>
  <si>
    <t>GONDALIYA UTSAV CHANDULAL</t>
  </si>
  <si>
    <t>UI22EC25</t>
  </si>
  <si>
    <t>GOURAV KUMAR SHAW</t>
  </si>
  <si>
    <t>UI22EC26</t>
  </si>
  <si>
    <t>HARSH KUMAR</t>
  </si>
  <si>
    <t>UI22EC27</t>
  </si>
  <si>
    <t>HARSH SHARMA</t>
  </si>
  <si>
    <t>UI22EC28</t>
  </si>
  <si>
    <t>HARSHIT</t>
  </si>
  <si>
    <t>UI22EC30</t>
  </si>
  <si>
    <t>HARSHITA PURWAR</t>
  </si>
  <si>
    <t>UI22EC31</t>
  </si>
  <si>
    <t>JAHNAVI GORLE</t>
  </si>
  <si>
    <t>UI22EC32</t>
  </si>
  <si>
    <t>JAMILI SAI LAKSHMI PRIYANKA</t>
  </si>
  <si>
    <t>UI22EC33</t>
  </si>
  <si>
    <t>JANNU VIVEK SAM</t>
  </si>
  <si>
    <t>UI22EC34</t>
  </si>
  <si>
    <t>JARPULA NIRJALA</t>
  </si>
  <si>
    <t>UI22EC36</t>
  </si>
  <si>
    <t>KADAMATI PYDI THANMAY SAI</t>
  </si>
  <si>
    <t>UI22EC37</t>
  </si>
  <si>
    <t>KANKHAR HARSHVARDHAN PRADEEP</t>
  </si>
  <si>
    <t>UI22EC39</t>
  </si>
  <si>
    <t>LINCY BAINIWAL</t>
  </si>
  <si>
    <t>UI22EC41</t>
  </si>
  <si>
    <t>MADDI KOUSHIK</t>
  </si>
  <si>
    <t>UI22EC42</t>
  </si>
  <si>
    <t>MANCHIKATLA SAI CHARAN</t>
  </si>
  <si>
    <t>UI22EC43</t>
  </si>
  <si>
    <t>MYAKALA SAMEERA</t>
  </si>
  <si>
    <t>UI22EC44</t>
  </si>
  <si>
    <t>NAVADIYA HETANSH</t>
  </si>
  <si>
    <t>UI22EC45</t>
  </si>
  <si>
    <t>P AKSHITH</t>
  </si>
  <si>
    <t>UI22EC46</t>
  </si>
  <si>
    <t>PATEL RUDRA</t>
  </si>
  <si>
    <t>UI22EC47</t>
  </si>
  <si>
    <t>PERKA MANOGNA</t>
  </si>
  <si>
    <t>UI22EC49</t>
  </si>
  <si>
    <t>PITLA NISHOK BABU</t>
  </si>
  <si>
    <t>UI22EC51</t>
  </si>
  <si>
    <t>PRAKHAR MISHRA</t>
  </si>
  <si>
    <t>UI22EC52</t>
  </si>
  <si>
    <t>PRATEEK JAISWAL</t>
  </si>
  <si>
    <t>UI22EC53</t>
  </si>
  <si>
    <t>PRATHAM SACHAN</t>
  </si>
  <si>
    <t>UI22EC54</t>
  </si>
  <si>
    <t>PRAVEEN CHOUHAN</t>
  </si>
  <si>
    <t>UI22EC55</t>
  </si>
  <si>
    <t>PRINCE PATEL</t>
  </si>
  <si>
    <t>UI22EC56</t>
  </si>
  <si>
    <t>PRIYANSHU CHATURVEDI</t>
  </si>
  <si>
    <t>UI22EC57</t>
  </si>
  <si>
    <t>PRIYANSHU PANCHAL</t>
  </si>
  <si>
    <t>UI22EC58</t>
  </si>
  <si>
    <t>RAHUL PATEL</t>
  </si>
  <si>
    <t>UI22EC60</t>
  </si>
  <si>
    <t>RUCHITA AGARWAL</t>
  </si>
  <si>
    <t>UI22EC61</t>
  </si>
  <si>
    <t>RUDRANSH MALVI</t>
  </si>
  <si>
    <t>UI22EC62</t>
  </si>
  <si>
    <t>SANJAY GOND</t>
  </si>
  <si>
    <t>UI22EC63</t>
  </si>
  <si>
    <t>SANJAY KUMAR</t>
  </si>
  <si>
    <t>UI22EC64</t>
  </si>
  <si>
    <t>SANYA</t>
  </si>
  <si>
    <t>UI22EC65</t>
  </si>
  <si>
    <t>SARTHAK KUMAR</t>
  </si>
  <si>
    <t>UI22EC66</t>
  </si>
  <si>
    <t>SARTHAK SACHIN PARDESHI</t>
  </si>
  <si>
    <t>UI22EC67</t>
  </si>
  <si>
    <t>SHAURYA BISHT</t>
  </si>
  <si>
    <t>UI22EC68</t>
  </si>
  <si>
    <t>SHIVAM KUMAR</t>
  </si>
  <si>
    <t>UI22EC69</t>
  </si>
  <si>
    <t>SHIVAM SAGAR</t>
  </si>
  <si>
    <t>UI22EC70</t>
  </si>
  <si>
    <t>SHRADESH JODAWAT</t>
  </si>
  <si>
    <t>UI22EC71</t>
  </si>
  <si>
    <t>SIDDHARTH KAUSHIK</t>
  </si>
  <si>
    <t>UI22EC72</t>
  </si>
  <si>
    <t>SOJITRA YASH SURESHBHAI</t>
  </si>
  <si>
    <t>UI22EC73</t>
  </si>
  <si>
    <t>SOLANKI KISHOR KHANGARAM</t>
  </si>
  <si>
    <t>UI22EC74</t>
  </si>
  <si>
    <t>SUMIT</t>
  </si>
  <si>
    <t>UI22EC76</t>
  </si>
  <si>
    <t>SUNNY PRITAM</t>
  </si>
  <si>
    <t>UI22EC77</t>
  </si>
  <si>
    <t>TANYA PURWAR</t>
  </si>
  <si>
    <t>UI22EC78</t>
  </si>
  <si>
    <t>TIMMAREDDY DEEKSHITHA</t>
  </si>
  <si>
    <t>UI22EC80</t>
  </si>
  <si>
    <t>UPADHYAY PREKSHA RAJENBHAI</t>
  </si>
  <si>
    <t>UI22EC81</t>
  </si>
  <si>
    <t>VAIBHAV VARSHNEY</t>
  </si>
  <si>
    <t>UI22EC82</t>
  </si>
  <si>
    <t>VANSHIT SHIVANI</t>
  </si>
  <si>
    <t>UI22EC83</t>
  </si>
  <si>
    <t>VERMA AMAN JILAJEET</t>
  </si>
  <si>
    <t>UI22EC84</t>
  </si>
  <si>
    <t>VIBHU MISHRA</t>
  </si>
  <si>
    <t>UI22EC85</t>
  </si>
  <si>
    <t>VIKESH KUMAR</t>
  </si>
  <si>
    <t>UI22EC86</t>
  </si>
  <si>
    <t>VISHNU VERMA</t>
  </si>
  <si>
    <t>UI22EC87</t>
  </si>
  <si>
    <t>VISHU PATLE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</si>
</sst>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9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3" fillId="0" borderId="0" xfId="0" applyFont="1" applyAlignment="1"/>
    <xf numFmtId="0" fontId="3" fillId="0" borderId="3" xfId="0" applyFont="1" applyBorder="1" applyAlignment="1"/>
    <xf numFmtId="0" fontId="3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6" fillId="0" borderId="5" xfId="0" applyFont="1" applyBorder="1" applyAlignment="1"/>
    <xf numFmtId="0" fontId="5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6" xfId="0" applyFont="1" applyBorder="1"/>
    <xf numFmtId="0" fontId="4" fillId="3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4" fillId="3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4" borderId="3" xfId="0" applyFont="1" applyFill="1" applyBorder="1" applyAlignment="1"/>
    <xf numFmtId="0" fontId="1" fillId="0" borderId="3" xfId="0" applyFont="1" applyBorder="1" applyAlignment="1">
      <alignment horizontal="center"/>
    </xf>
    <xf numFmtId="2" fontId="3" fillId="0" borderId="0" xfId="0" applyNumberFormat="1" applyFont="1" applyAlignment="1"/>
    <xf numFmtId="2" fontId="4" fillId="4" borderId="3" xfId="0" applyNumberFormat="1" applyFont="1" applyFill="1" applyBorder="1" applyAlignment="1">
      <alignment horizontal="center"/>
    </xf>
    <xf numFmtId="2" fontId="3" fillId="4" borderId="3" xfId="0" applyNumberFormat="1" applyFont="1" applyFill="1" applyBorder="1" applyAlignment="1"/>
    <xf numFmtId="2" fontId="1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4" xfId="0" applyFont="1" applyBorder="1"/>
    <xf numFmtId="0" fontId="8" fillId="0" borderId="3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A995"/>
  <sheetViews>
    <sheetView tabSelected="1" topLeftCell="A3" workbookViewId="0">
      <selection activeCell="Q95" sqref="Q95"/>
    </sheetView>
  </sheetViews>
  <sheetFormatPr defaultColWidth="12.6285714285714" defaultRowHeight="15.75" customHeight="1"/>
  <cols>
    <col min="1" max="1" width="3" customWidth="1"/>
    <col min="2" max="2" width="18.1333333333333" customWidth="1"/>
    <col min="3" max="3" width="23.5047619047619" customWidth="1"/>
    <col min="4" max="45" width="3.24761904761905" customWidth="1"/>
    <col min="46" max="46" width="1.38095238095238" customWidth="1"/>
    <col min="47" max="47" width="6.38095238095238" customWidth="1"/>
    <col min="48" max="48" width="6.5047619047619" customWidth="1"/>
    <col min="49" max="49" width="4.87619047619048" customWidth="1"/>
    <col min="50" max="50" width="10.1333333333333" customWidth="1"/>
  </cols>
  <sheetData>
    <row r="1" ht="15" spans="1:5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17"/>
      <c r="AY1" s="3"/>
      <c r="AZ1" s="3"/>
      <c r="BA1" s="3"/>
    </row>
    <row r="2" ht="15" spans="1:5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17"/>
      <c r="AY2" s="3"/>
      <c r="AZ2" s="3"/>
      <c r="BA2" s="3"/>
    </row>
    <row r="3" ht="15" spans="1:5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17"/>
      <c r="AY3" s="3"/>
      <c r="AZ3" s="3"/>
      <c r="BA3" s="3"/>
    </row>
    <row r="4" ht="15" spans="1:5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17"/>
      <c r="AY4" s="3"/>
      <c r="AZ4" s="3"/>
      <c r="BA4" s="3"/>
    </row>
    <row r="5" ht="15" spans="1:53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17"/>
      <c r="AY5" s="3"/>
      <c r="AZ5" s="3"/>
      <c r="BA5" s="3"/>
    </row>
    <row r="6" ht="20.25" customHeight="1" spans="1:53">
      <c r="A6" s="1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17"/>
      <c r="AY6" s="3"/>
      <c r="AZ6" s="3"/>
      <c r="BA6" s="3"/>
    </row>
    <row r="7" ht="12.75" spans="1:53">
      <c r="A7" s="3"/>
      <c r="B7" s="3"/>
      <c r="C7" s="4"/>
      <c r="D7" s="5">
        <v>28</v>
      </c>
      <c r="E7" s="5">
        <v>30</v>
      </c>
      <c r="F7" s="5">
        <v>30</v>
      </c>
      <c r="G7" s="5">
        <v>4</v>
      </c>
      <c r="H7" s="5">
        <v>6</v>
      </c>
      <c r="I7" s="5">
        <v>6</v>
      </c>
      <c r="J7" s="5">
        <v>11</v>
      </c>
      <c r="K7" s="5">
        <v>13</v>
      </c>
      <c r="L7" s="5">
        <v>13</v>
      </c>
      <c r="M7" s="16">
        <v>18</v>
      </c>
      <c r="N7" s="16">
        <v>19</v>
      </c>
      <c r="O7" s="16">
        <v>21</v>
      </c>
      <c r="P7" s="16">
        <v>26</v>
      </c>
      <c r="Q7" s="16">
        <v>28</v>
      </c>
      <c r="R7" s="16">
        <v>2</v>
      </c>
      <c r="S7" s="16">
        <v>3</v>
      </c>
      <c r="T7" s="16">
        <v>4</v>
      </c>
      <c r="U7" s="16">
        <v>9</v>
      </c>
      <c r="V7" s="16">
        <v>10</v>
      </c>
      <c r="W7" s="16">
        <v>11</v>
      </c>
      <c r="X7" s="16">
        <v>16</v>
      </c>
      <c r="Y7" s="16">
        <v>17</v>
      </c>
      <c r="Z7" s="16">
        <v>18</v>
      </c>
      <c r="AA7" s="16"/>
      <c r="AB7" s="16">
        <v>1</v>
      </c>
      <c r="AC7" s="16">
        <v>7</v>
      </c>
      <c r="AD7" s="16">
        <v>8</v>
      </c>
      <c r="AE7" s="16">
        <v>9</v>
      </c>
      <c r="AF7" s="16">
        <v>15</v>
      </c>
      <c r="AG7" s="16">
        <v>16</v>
      </c>
      <c r="AH7" s="16">
        <v>28</v>
      </c>
      <c r="AI7" s="16">
        <v>29</v>
      </c>
      <c r="AJ7" s="16">
        <v>30</v>
      </c>
      <c r="AK7" s="16">
        <v>4</v>
      </c>
      <c r="AL7" s="16">
        <v>6</v>
      </c>
      <c r="AM7" s="16">
        <v>11</v>
      </c>
      <c r="AN7" s="16">
        <v>12</v>
      </c>
      <c r="AO7" s="16">
        <v>13</v>
      </c>
      <c r="AP7" s="16">
        <v>18</v>
      </c>
      <c r="AQ7" s="16">
        <v>19</v>
      </c>
      <c r="AR7" s="16">
        <v>20</v>
      </c>
      <c r="AS7" s="16"/>
      <c r="AT7" s="16"/>
      <c r="AU7" s="4"/>
      <c r="AV7" s="3"/>
      <c r="AW7" s="3"/>
      <c r="AX7" s="25"/>
      <c r="AY7" s="3"/>
      <c r="AZ7" s="3"/>
      <c r="BA7" s="3"/>
    </row>
    <row r="8" ht="12.75" spans="1:53">
      <c r="A8" s="4"/>
      <c r="B8" s="4"/>
      <c r="C8" s="4"/>
      <c r="D8" s="6" t="s">
        <v>5</v>
      </c>
      <c r="E8" s="2"/>
      <c r="F8" s="2"/>
      <c r="G8" s="6" t="s">
        <v>6</v>
      </c>
      <c r="H8" s="2"/>
      <c r="I8" s="2"/>
      <c r="J8" s="2"/>
      <c r="K8" s="2"/>
      <c r="L8" s="2"/>
      <c r="M8" s="2"/>
      <c r="N8" s="2"/>
      <c r="O8" s="2"/>
      <c r="P8" s="2"/>
      <c r="Q8" s="17"/>
      <c r="R8" s="6" t="s">
        <v>7</v>
      </c>
      <c r="S8" s="2"/>
      <c r="T8" s="2"/>
      <c r="U8" s="2"/>
      <c r="V8" s="2"/>
      <c r="W8" s="2"/>
      <c r="X8" s="2"/>
      <c r="Y8" s="2"/>
      <c r="Z8" s="2"/>
      <c r="AA8" s="17"/>
      <c r="AB8" s="18" t="s">
        <v>8</v>
      </c>
      <c r="AC8" s="2"/>
      <c r="AD8" s="2"/>
      <c r="AE8" s="2"/>
      <c r="AF8" s="2"/>
      <c r="AG8" s="2"/>
      <c r="AH8" s="2"/>
      <c r="AI8" s="2"/>
      <c r="AJ8" s="2"/>
      <c r="AK8" s="18" t="s">
        <v>9</v>
      </c>
      <c r="AL8" s="2"/>
      <c r="AM8" s="2"/>
      <c r="AN8" s="2"/>
      <c r="AO8" s="2"/>
      <c r="AP8" s="2"/>
      <c r="AQ8" s="2"/>
      <c r="AR8" s="2"/>
      <c r="AS8" s="2"/>
      <c r="AT8" s="21"/>
      <c r="AU8" s="22" t="s">
        <v>10</v>
      </c>
      <c r="AV8" s="22" t="s">
        <v>11</v>
      </c>
      <c r="AW8" s="22" t="s">
        <v>12</v>
      </c>
      <c r="AX8" s="26" t="s">
        <v>13</v>
      </c>
      <c r="AY8" s="3"/>
      <c r="AZ8" s="3"/>
      <c r="BA8" s="3"/>
    </row>
    <row r="9" ht="51" spans="1:53">
      <c r="A9" s="7" t="s">
        <v>14</v>
      </c>
      <c r="B9" s="7" t="s">
        <v>15</v>
      </c>
      <c r="C9" s="8" t="s">
        <v>16</v>
      </c>
      <c r="D9" s="9">
        <v>1</v>
      </c>
      <c r="E9" s="10">
        <v>2</v>
      </c>
      <c r="F9" s="9">
        <v>3</v>
      </c>
      <c r="G9" s="10">
        <v>4</v>
      </c>
      <c r="H9" s="9">
        <v>5</v>
      </c>
      <c r="I9" s="10">
        <v>6</v>
      </c>
      <c r="J9" s="9">
        <v>7</v>
      </c>
      <c r="K9" s="10">
        <v>8</v>
      </c>
      <c r="L9" s="9">
        <v>9</v>
      </c>
      <c r="M9" s="10">
        <v>10</v>
      </c>
      <c r="N9" s="9">
        <v>11</v>
      </c>
      <c r="O9" s="10">
        <v>12</v>
      </c>
      <c r="P9" s="9">
        <v>13</v>
      </c>
      <c r="Q9" s="10">
        <v>14</v>
      </c>
      <c r="R9" s="9">
        <v>15</v>
      </c>
      <c r="S9" s="10">
        <v>16</v>
      </c>
      <c r="T9" s="9">
        <v>17</v>
      </c>
      <c r="U9" s="10">
        <v>18</v>
      </c>
      <c r="V9" s="9">
        <v>19</v>
      </c>
      <c r="W9" s="10">
        <v>20</v>
      </c>
      <c r="X9" s="9">
        <v>21</v>
      </c>
      <c r="Y9" s="10">
        <v>22</v>
      </c>
      <c r="Z9" s="9">
        <v>23</v>
      </c>
      <c r="AA9" s="10">
        <v>24</v>
      </c>
      <c r="AB9" s="9">
        <v>25</v>
      </c>
      <c r="AC9" s="10">
        <v>26</v>
      </c>
      <c r="AD9" s="9">
        <v>27</v>
      </c>
      <c r="AE9" s="10">
        <v>28</v>
      </c>
      <c r="AF9" s="9">
        <v>29</v>
      </c>
      <c r="AG9" s="10">
        <v>30</v>
      </c>
      <c r="AH9" s="9">
        <v>31</v>
      </c>
      <c r="AI9" s="10">
        <v>32</v>
      </c>
      <c r="AJ9" s="9">
        <v>33</v>
      </c>
      <c r="AK9" s="10">
        <v>34</v>
      </c>
      <c r="AL9" s="9">
        <v>35</v>
      </c>
      <c r="AM9" s="10">
        <v>36</v>
      </c>
      <c r="AN9" s="9">
        <v>37</v>
      </c>
      <c r="AO9" s="10">
        <v>38</v>
      </c>
      <c r="AP9" s="9">
        <v>39</v>
      </c>
      <c r="AQ9" s="10">
        <v>40</v>
      </c>
      <c r="AR9" s="9">
        <v>41</v>
      </c>
      <c r="AS9" s="10">
        <v>42</v>
      </c>
      <c r="AT9" s="9"/>
      <c r="AU9" s="23"/>
      <c r="AV9" s="23"/>
      <c r="AW9" s="23"/>
      <c r="AX9" s="27"/>
      <c r="AY9" s="3"/>
      <c r="AZ9" s="3"/>
      <c r="BA9" s="3"/>
    </row>
    <row r="10" spans="1:53">
      <c r="A10" s="11">
        <v>1</v>
      </c>
      <c r="B10" s="12" t="s">
        <v>17</v>
      </c>
      <c r="C10" s="13" t="s">
        <v>18</v>
      </c>
      <c r="D10" s="5" t="s">
        <v>19</v>
      </c>
      <c r="E10" s="5" t="s">
        <v>19</v>
      </c>
      <c r="F10" s="5" t="s">
        <v>19</v>
      </c>
      <c r="G10" s="5" t="s">
        <v>19</v>
      </c>
      <c r="H10" s="5" t="s">
        <v>20</v>
      </c>
      <c r="I10" s="5" t="s">
        <v>19</v>
      </c>
      <c r="J10" s="5" t="s">
        <v>19</v>
      </c>
      <c r="K10" s="5" t="s">
        <v>19</v>
      </c>
      <c r="L10" s="5" t="s">
        <v>19</v>
      </c>
      <c r="M10" s="5" t="s">
        <v>20</v>
      </c>
      <c r="N10" s="5" t="s">
        <v>19</v>
      </c>
      <c r="O10" s="5" t="s">
        <v>20</v>
      </c>
      <c r="P10" s="5" t="s">
        <v>20</v>
      </c>
      <c r="Q10" s="5" t="s">
        <v>19</v>
      </c>
      <c r="R10" s="5" t="s">
        <v>20</v>
      </c>
      <c r="S10" s="5" t="s">
        <v>19</v>
      </c>
      <c r="T10" s="5" t="s">
        <v>20</v>
      </c>
      <c r="U10" s="5" t="s">
        <v>20</v>
      </c>
      <c r="V10" s="5" t="s">
        <v>20</v>
      </c>
      <c r="W10" s="5" t="s">
        <v>20</v>
      </c>
      <c r="X10" s="5" t="s">
        <v>20</v>
      </c>
      <c r="Y10" s="5" t="s">
        <v>19</v>
      </c>
      <c r="Z10" s="5" t="s">
        <v>20</v>
      </c>
      <c r="AA10" s="19" t="s">
        <v>21</v>
      </c>
      <c r="AB10" s="5" t="s">
        <v>19</v>
      </c>
      <c r="AC10" s="5" t="s">
        <v>20</v>
      </c>
      <c r="AD10" s="5" t="s">
        <v>20</v>
      </c>
      <c r="AE10" s="5" t="s">
        <v>20</v>
      </c>
      <c r="AF10" s="5" t="s">
        <v>19</v>
      </c>
      <c r="AG10" s="5" t="s">
        <v>19</v>
      </c>
      <c r="AH10" s="5" t="s">
        <v>20</v>
      </c>
      <c r="AI10" s="5" t="s">
        <v>19</v>
      </c>
      <c r="AJ10" s="5" t="s">
        <v>19</v>
      </c>
      <c r="AK10" s="5" t="s">
        <v>20</v>
      </c>
      <c r="AL10" s="5" t="s">
        <v>20</v>
      </c>
      <c r="AM10" s="5" t="s">
        <v>19</v>
      </c>
      <c r="AN10" s="5" t="s">
        <v>20</v>
      </c>
      <c r="AO10" s="5" t="s">
        <v>20</v>
      </c>
      <c r="AP10" s="5" t="s">
        <v>20</v>
      </c>
      <c r="AQ10" s="5" t="s">
        <v>20</v>
      </c>
      <c r="AR10" s="5" t="s">
        <v>20</v>
      </c>
      <c r="AS10" s="5"/>
      <c r="AT10" s="5"/>
      <c r="AU10" s="24">
        <f t="shared" ref="AU10:AU85" si="0">COUNTIF(D10:AS10,"P")+COUNTIF(D10:AS10,"1")</f>
        <v>22</v>
      </c>
      <c r="AV10" s="24">
        <f t="shared" ref="AV10:AV85" si="1">COUNTIF(D10:AS10,"A")+COUNTIF(D10:AS10,"0")</f>
        <v>18</v>
      </c>
      <c r="AW10" s="24">
        <f t="shared" ref="AW10:AW85" si="2">AU10+AV10</f>
        <v>40</v>
      </c>
      <c r="AX10" s="28">
        <f t="shared" ref="AX10:AX85" si="3">(AU10/AW10)*100</f>
        <v>55</v>
      </c>
      <c r="AY10" s="3"/>
      <c r="AZ10" s="3"/>
      <c r="BA10" s="3"/>
    </row>
    <row r="11" spans="1:53">
      <c r="A11" s="14">
        <v>2</v>
      </c>
      <c r="B11" s="12" t="s">
        <v>22</v>
      </c>
      <c r="C11" s="13" t="s">
        <v>23</v>
      </c>
      <c r="D11" s="5" t="s">
        <v>19</v>
      </c>
      <c r="E11" s="5" t="s">
        <v>19</v>
      </c>
      <c r="F11" s="5" t="s">
        <v>19</v>
      </c>
      <c r="G11" s="5" t="s">
        <v>19</v>
      </c>
      <c r="H11" s="5" t="s">
        <v>19</v>
      </c>
      <c r="I11" s="5" t="s">
        <v>19</v>
      </c>
      <c r="J11" s="5" t="s">
        <v>19</v>
      </c>
      <c r="K11" s="5" t="s">
        <v>20</v>
      </c>
      <c r="L11" s="5" t="s">
        <v>20</v>
      </c>
      <c r="M11" s="5" t="s">
        <v>19</v>
      </c>
      <c r="N11" s="5" t="s">
        <v>19</v>
      </c>
      <c r="O11" s="5" t="s">
        <v>20</v>
      </c>
      <c r="P11" s="5" t="s">
        <v>19</v>
      </c>
      <c r="Q11" s="5" t="s">
        <v>20</v>
      </c>
      <c r="R11" s="5" t="s">
        <v>20</v>
      </c>
      <c r="S11" s="5" t="s">
        <v>19</v>
      </c>
      <c r="T11" s="5" t="s">
        <v>20</v>
      </c>
      <c r="U11" s="5" t="s">
        <v>19</v>
      </c>
      <c r="V11" s="5" t="s">
        <v>20</v>
      </c>
      <c r="W11" s="5" t="s">
        <v>19</v>
      </c>
      <c r="X11" s="5" t="s">
        <v>20</v>
      </c>
      <c r="Y11" s="5" t="s">
        <v>19</v>
      </c>
      <c r="Z11" s="5" t="s">
        <v>19</v>
      </c>
      <c r="AA11" s="20"/>
      <c r="AB11" s="5" t="s">
        <v>19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 t="s">
        <v>20</v>
      </c>
      <c r="AJ11" s="5" t="s">
        <v>20</v>
      </c>
      <c r="AK11" s="5" t="s">
        <v>20</v>
      </c>
      <c r="AL11" s="5" t="s">
        <v>20</v>
      </c>
      <c r="AM11" s="5" t="s">
        <v>19</v>
      </c>
      <c r="AN11" s="5" t="s">
        <v>20</v>
      </c>
      <c r="AO11" s="5" t="s">
        <v>20</v>
      </c>
      <c r="AP11" s="5" t="s">
        <v>20</v>
      </c>
      <c r="AQ11" s="5" t="s">
        <v>19</v>
      </c>
      <c r="AR11" s="5" t="s">
        <v>20</v>
      </c>
      <c r="AS11" s="5"/>
      <c r="AT11" s="5"/>
      <c r="AU11" s="24">
        <f t="shared" si="0"/>
        <v>22</v>
      </c>
      <c r="AV11" s="24">
        <f t="shared" si="1"/>
        <v>18</v>
      </c>
      <c r="AW11" s="24">
        <f t="shared" si="2"/>
        <v>40</v>
      </c>
      <c r="AX11" s="28">
        <f t="shared" si="3"/>
        <v>55</v>
      </c>
      <c r="AY11" s="3"/>
      <c r="AZ11" s="3"/>
      <c r="BA11" s="3"/>
    </row>
    <row r="12" spans="1:53">
      <c r="A12" s="14">
        <v>3</v>
      </c>
      <c r="B12" s="12" t="s">
        <v>24</v>
      </c>
      <c r="C12" s="13" t="s">
        <v>25</v>
      </c>
      <c r="D12" s="5" t="s">
        <v>19</v>
      </c>
      <c r="E12" s="5" t="s">
        <v>19</v>
      </c>
      <c r="F12" s="5" t="s">
        <v>19</v>
      </c>
      <c r="G12" s="5" t="s">
        <v>20</v>
      </c>
      <c r="H12" s="5" t="s">
        <v>19</v>
      </c>
      <c r="I12" s="5" t="s">
        <v>19</v>
      </c>
      <c r="J12" s="5" t="s">
        <v>19</v>
      </c>
      <c r="K12" s="5" t="s">
        <v>20</v>
      </c>
      <c r="L12" s="5" t="s">
        <v>20</v>
      </c>
      <c r="M12" s="5" t="s">
        <v>19</v>
      </c>
      <c r="N12" s="5" t="s">
        <v>20</v>
      </c>
      <c r="O12" s="5" t="s">
        <v>20</v>
      </c>
      <c r="P12" s="5" t="s">
        <v>20</v>
      </c>
      <c r="Q12" s="5" t="s">
        <v>20</v>
      </c>
      <c r="R12" s="5" t="s">
        <v>20</v>
      </c>
      <c r="S12" s="5" t="s">
        <v>19</v>
      </c>
      <c r="T12" s="5" t="s">
        <v>20</v>
      </c>
      <c r="U12" s="5" t="s">
        <v>20</v>
      </c>
      <c r="V12" s="5" t="s">
        <v>20</v>
      </c>
      <c r="W12" s="5" t="s">
        <v>20</v>
      </c>
      <c r="X12" s="5" t="s">
        <v>20</v>
      </c>
      <c r="Y12" s="5" t="s">
        <v>20</v>
      </c>
      <c r="Z12" s="5" t="s">
        <v>20</v>
      </c>
      <c r="AA12" s="20"/>
      <c r="AB12" s="5" t="s">
        <v>19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19</v>
      </c>
      <c r="AH12" s="5" t="s">
        <v>20</v>
      </c>
      <c r="AI12" s="5" t="s">
        <v>20</v>
      </c>
      <c r="AJ12" s="5" t="s">
        <v>20</v>
      </c>
      <c r="AK12" s="5" t="s">
        <v>20</v>
      </c>
      <c r="AL12" s="5" t="s">
        <v>20</v>
      </c>
      <c r="AM12" s="5" t="s">
        <v>19</v>
      </c>
      <c r="AN12" s="5" t="s">
        <v>20</v>
      </c>
      <c r="AO12" s="5" t="s">
        <v>19</v>
      </c>
      <c r="AP12" s="5" t="s">
        <v>20</v>
      </c>
      <c r="AQ12" s="5" t="s">
        <v>20</v>
      </c>
      <c r="AR12" s="5" t="s">
        <v>20</v>
      </c>
      <c r="AS12" s="5"/>
      <c r="AT12" s="5"/>
      <c r="AU12" s="24">
        <f t="shared" si="0"/>
        <v>28</v>
      </c>
      <c r="AV12" s="24">
        <f t="shared" si="1"/>
        <v>12</v>
      </c>
      <c r="AW12" s="24">
        <f t="shared" si="2"/>
        <v>40</v>
      </c>
      <c r="AX12" s="28">
        <f t="shared" si="3"/>
        <v>70</v>
      </c>
      <c r="AY12" s="3"/>
      <c r="AZ12" s="3"/>
      <c r="BA12" s="3"/>
    </row>
    <row r="13" spans="1:53">
      <c r="A13" s="14">
        <v>4</v>
      </c>
      <c r="B13" s="12" t="s">
        <v>26</v>
      </c>
      <c r="C13" s="13" t="s">
        <v>27</v>
      </c>
      <c r="D13" s="5" t="s">
        <v>19</v>
      </c>
      <c r="E13" s="5" t="s">
        <v>19</v>
      </c>
      <c r="F13" s="5" t="s">
        <v>19</v>
      </c>
      <c r="G13" s="5" t="s">
        <v>19</v>
      </c>
      <c r="H13" s="5" t="s">
        <v>20</v>
      </c>
      <c r="I13" s="5" t="s">
        <v>20</v>
      </c>
      <c r="J13" s="5" t="s">
        <v>19</v>
      </c>
      <c r="K13" s="5" t="s">
        <v>20</v>
      </c>
      <c r="L13" s="5" t="s">
        <v>20</v>
      </c>
      <c r="M13" s="5" t="s">
        <v>19</v>
      </c>
      <c r="N13" s="5" t="s">
        <v>20</v>
      </c>
      <c r="O13" s="5" t="s">
        <v>20</v>
      </c>
      <c r="P13" s="5" t="s">
        <v>20</v>
      </c>
      <c r="Q13" s="5" t="s">
        <v>20</v>
      </c>
      <c r="R13" s="5" t="s">
        <v>20</v>
      </c>
      <c r="S13" s="5" t="s">
        <v>19</v>
      </c>
      <c r="T13" s="5" t="s">
        <v>20</v>
      </c>
      <c r="U13" s="5" t="s">
        <v>20</v>
      </c>
      <c r="V13" s="5" t="s">
        <v>20</v>
      </c>
      <c r="W13" s="5" t="s">
        <v>20</v>
      </c>
      <c r="X13" s="5" t="s">
        <v>20</v>
      </c>
      <c r="Y13" s="5" t="s">
        <v>20</v>
      </c>
      <c r="Z13" s="5" t="s">
        <v>20</v>
      </c>
      <c r="AA13" s="20"/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 t="s">
        <v>20</v>
      </c>
      <c r="AJ13" s="5" t="s">
        <v>19</v>
      </c>
      <c r="AK13" s="5" t="s">
        <v>20</v>
      </c>
      <c r="AL13" s="5" t="s">
        <v>20</v>
      </c>
      <c r="AM13" s="5" t="s">
        <v>19</v>
      </c>
      <c r="AN13" s="5" t="s">
        <v>20</v>
      </c>
      <c r="AO13" s="5" t="s">
        <v>20</v>
      </c>
      <c r="AP13" s="5" t="s">
        <v>19</v>
      </c>
      <c r="AQ13" s="5" t="s">
        <v>19</v>
      </c>
      <c r="AR13" s="5" t="s">
        <v>20</v>
      </c>
      <c r="AS13" s="5"/>
      <c r="AT13" s="5"/>
      <c r="AU13" s="24">
        <f t="shared" si="0"/>
        <v>29</v>
      </c>
      <c r="AV13" s="24">
        <f t="shared" si="1"/>
        <v>11</v>
      </c>
      <c r="AW13" s="24">
        <f t="shared" si="2"/>
        <v>40</v>
      </c>
      <c r="AX13" s="28">
        <f t="shared" si="3"/>
        <v>72.5</v>
      </c>
      <c r="AY13" s="3"/>
      <c r="AZ13" s="3"/>
      <c r="BA13" s="3"/>
    </row>
    <row r="14" spans="1:53">
      <c r="A14" s="11">
        <v>5</v>
      </c>
      <c r="B14" s="12" t="s">
        <v>28</v>
      </c>
      <c r="C14" s="13" t="s">
        <v>29</v>
      </c>
      <c r="D14" s="5" t="s">
        <v>19</v>
      </c>
      <c r="E14" s="5" t="s">
        <v>19</v>
      </c>
      <c r="F14" s="5" t="s">
        <v>19</v>
      </c>
      <c r="G14" s="5" t="s">
        <v>20</v>
      </c>
      <c r="H14" s="5" t="s">
        <v>20</v>
      </c>
      <c r="I14" s="5" t="s">
        <v>20</v>
      </c>
      <c r="J14" s="5" t="s">
        <v>20</v>
      </c>
      <c r="K14" s="5" t="s">
        <v>20</v>
      </c>
      <c r="L14" s="5" t="s">
        <v>19</v>
      </c>
      <c r="M14" s="5" t="s">
        <v>19</v>
      </c>
      <c r="N14" s="5" t="s">
        <v>20</v>
      </c>
      <c r="O14" s="5" t="s">
        <v>20</v>
      </c>
      <c r="P14" s="5" t="s">
        <v>20</v>
      </c>
      <c r="Q14" s="5" t="s">
        <v>20</v>
      </c>
      <c r="R14" s="5" t="s">
        <v>20</v>
      </c>
      <c r="S14" s="5" t="s">
        <v>19</v>
      </c>
      <c r="T14" s="5" t="s">
        <v>20</v>
      </c>
      <c r="U14" s="5" t="s">
        <v>20</v>
      </c>
      <c r="V14" s="5" t="s">
        <v>19</v>
      </c>
      <c r="W14" s="5" t="s">
        <v>20</v>
      </c>
      <c r="X14" s="5" t="s">
        <v>20</v>
      </c>
      <c r="Y14" s="5" t="s">
        <v>19</v>
      </c>
      <c r="Z14" s="5" t="s">
        <v>20</v>
      </c>
      <c r="AA14" s="20"/>
      <c r="AB14" s="5" t="s">
        <v>20</v>
      </c>
      <c r="AC14" s="5" t="s">
        <v>19</v>
      </c>
      <c r="AD14" s="5" t="s">
        <v>20</v>
      </c>
      <c r="AE14" s="5" t="s">
        <v>20</v>
      </c>
      <c r="AF14" s="5" t="s">
        <v>19</v>
      </c>
      <c r="AG14" s="5" t="s">
        <v>20</v>
      </c>
      <c r="AH14" s="5" t="s">
        <v>20</v>
      </c>
      <c r="AI14" s="5" t="s">
        <v>20</v>
      </c>
      <c r="AJ14" s="5" t="s">
        <v>20</v>
      </c>
      <c r="AK14" s="5" t="s">
        <v>20</v>
      </c>
      <c r="AL14" s="5" t="s">
        <v>20</v>
      </c>
      <c r="AM14" s="5" t="s">
        <v>20</v>
      </c>
      <c r="AN14" s="5" t="s">
        <v>20</v>
      </c>
      <c r="AO14" s="5" t="s">
        <v>19</v>
      </c>
      <c r="AP14" s="5" t="s">
        <v>20</v>
      </c>
      <c r="AQ14" s="5" t="s">
        <v>20</v>
      </c>
      <c r="AR14" s="5" t="s">
        <v>20</v>
      </c>
      <c r="AS14" s="5"/>
      <c r="AT14" s="5"/>
      <c r="AU14" s="24">
        <f t="shared" si="0"/>
        <v>29</v>
      </c>
      <c r="AV14" s="24">
        <f t="shared" si="1"/>
        <v>11</v>
      </c>
      <c r="AW14" s="24">
        <f t="shared" si="2"/>
        <v>40</v>
      </c>
      <c r="AX14" s="28">
        <f t="shared" si="3"/>
        <v>72.5</v>
      </c>
      <c r="AY14" s="3"/>
      <c r="AZ14" s="3"/>
      <c r="BA14" s="3"/>
    </row>
    <row r="15" spans="1:53">
      <c r="A15" s="14">
        <v>6</v>
      </c>
      <c r="B15" s="12" t="s">
        <v>30</v>
      </c>
      <c r="C15" s="13" t="s">
        <v>31</v>
      </c>
      <c r="D15" s="5" t="s">
        <v>19</v>
      </c>
      <c r="E15" s="5" t="s">
        <v>19</v>
      </c>
      <c r="F15" s="5" t="s">
        <v>19</v>
      </c>
      <c r="G15" s="5" t="s">
        <v>20</v>
      </c>
      <c r="H15" s="5" t="s">
        <v>19</v>
      </c>
      <c r="I15" s="5" t="s">
        <v>19</v>
      </c>
      <c r="J15" s="5" t="s">
        <v>19</v>
      </c>
      <c r="K15" s="5" t="s">
        <v>20</v>
      </c>
      <c r="L15" s="5" t="s">
        <v>19</v>
      </c>
      <c r="M15" s="5" t="s">
        <v>19</v>
      </c>
      <c r="N15" s="5" t="s">
        <v>19</v>
      </c>
      <c r="O15" s="5" t="s">
        <v>19</v>
      </c>
      <c r="P15" s="5" t="s">
        <v>19</v>
      </c>
      <c r="Q15" s="5" t="s">
        <v>19</v>
      </c>
      <c r="R15" s="5" t="s">
        <v>20</v>
      </c>
      <c r="S15" s="5" t="s">
        <v>20</v>
      </c>
      <c r="T15" s="5" t="s">
        <v>20</v>
      </c>
      <c r="U15" s="5" t="s">
        <v>19</v>
      </c>
      <c r="V15" s="5" t="s">
        <v>19</v>
      </c>
      <c r="W15" s="5" t="s">
        <v>20</v>
      </c>
      <c r="X15" s="5" t="s">
        <v>20</v>
      </c>
      <c r="Y15" s="5" t="s">
        <v>19</v>
      </c>
      <c r="Z15" s="5" t="s">
        <v>20</v>
      </c>
      <c r="AA15" s="20"/>
      <c r="AB15" s="5" t="s">
        <v>20</v>
      </c>
      <c r="AC15" s="5" t="s">
        <v>19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20</v>
      </c>
      <c r="AJ15" s="5" t="s">
        <v>20</v>
      </c>
      <c r="AK15" s="5" t="s">
        <v>20</v>
      </c>
      <c r="AL15" s="5" t="s">
        <v>20</v>
      </c>
      <c r="AM15" s="5" t="s">
        <v>20</v>
      </c>
      <c r="AN15" s="5" t="s">
        <v>20</v>
      </c>
      <c r="AO15" s="5" t="s">
        <v>20</v>
      </c>
      <c r="AP15" s="5" t="s">
        <v>19</v>
      </c>
      <c r="AQ15" s="5" t="s">
        <v>20</v>
      </c>
      <c r="AR15" s="5" t="s">
        <v>20</v>
      </c>
      <c r="AS15" s="5"/>
      <c r="AT15" s="5"/>
      <c r="AU15" s="24">
        <f t="shared" si="0"/>
        <v>23</v>
      </c>
      <c r="AV15" s="24">
        <f t="shared" si="1"/>
        <v>17</v>
      </c>
      <c r="AW15" s="24">
        <f t="shared" si="2"/>
        <v>40</v>
      </c>
      <c r="AX15" s="28">
        <f t="shared" si="3"/>
        <v>57.5</v>
      </c>
      <c r="AY15" s="3"/>
      <c r="AZ15" s="3"/>
      <c r="BA15" s="3"/>
    </row>
    <row r="16" spans="1:53">
      <c r="A16" s="14">
        <v>7</v>
      </c>
      <c r="B16" s="12" t="s">
        <v>32</v>
      </c>
      <c r="C16" s="13" t="s">
        <v>33</v>
      </c>
      <c r="D16" s="5" t="s">
        <v>20</v>
      </c>
      <c r="E16" s="5" t="s">
        <v>20</v>
      </c>
      <c r="F16" s="5" t="s">
        <v>19</v>
      </c>
      <c r="G16" s="5" t="s">
        <v>19</v>
      </c>
      <c r="H16" s="5" t="s">
        <v>19</v>
      </c>
      <c r="I16" s="5" t="s">
        <v>19</v>
      </c>
      <c r="J16" s="5" t="s">
        <v>19</v>
      </c>
      <c r="K16" s="5" t="s">
        <v>19</v>
      </c>
      <c r="L16" s="5" t="s">
        <v>19</v>
      </c>
      <c r="M16" s="5" t="s">
        <v>20</v>
      </c>
      <c r="N16" s="5" t="s">
        <v>20</v>
      </c>
      <c r="O16" s="5" t="s">
        <v>20</v>
      </c>
      <c r="P16" s="5" t="s">
        <v>20</v>
      </c>
      <c r="Q16" s="5" t="s">
        <v>20</v>
      </c>
      <c r="R16" s="5" t="s">
        <v>20</v>
      </c>
      <c r="S16" s="5" t="s">
        <v>19</v>
      </c>
      <c r="T16" s="5" t="s">
        <v>19</v>
      </c>
      <c r="U16" s="5" t="s">
        <v>20</v>
      </c>
      <c r="V16" s="5" t="s">
        <v>19</v>
      </c>
      <c r="W16" s="5" t="s">
        <v>20</v>
      </c>
      <c r="X16" s="5" t="s">
        <v>20</v>
      </c>
      <c r="Y16" s="5" t="s">
        <v>20</v>
      </c>
      <c r="Z16" s="5" t="s">
        <v>20</v>
      </c>
      <c r="AA16" s="20"/>
      <c r="AB16" s="5" t="s">
        <v>19</v>
      </c>
      <c r="AC16" s="5" t="s">
        <v>20</v>
      </c>
      <c r="AD16" s="5" t="s">
        <v>20</v>
      </c>
      <c r="AE16" s="5" t="s">
        <v>19</v>
      </c>
      <c r="AF16" s="5" t="s">
        <v>19</v>
      </c>
      <c r="AG16" s="5" t="s">
        <v>19</v>
      </c>
      <c r="AH16" s="5" t="s">
        <v>20</v>
      </c>
      <c r="AI16" s="5" t="s">
        <v>20</v>
      </c>
      <c r="AJ16" s="5" t="s">
        <v>20</v>
      </c>
      <c r="AK16" s="5" t="s">
        <v>19</v>
      </c>
      <c r="AL16" s="5" t="s">
        <v>20</v>
      </c>
      <c r="AM16" s="5" t="s">
        <v>20</v>
      </c>
      <c r="AN16" s="5" t="s">
        <v>20</v>
      </c>
      <c r="AO16" s="5" t="s">
        <v>20</v>
      </c>
      <c r="AP16" s="5" t="s">
        <v>19</v>
      </c>
      <c r="AQ16" s="5" t="s">
        <v>20</v>
      </c>
      <c r="AR16" s="5" t="s">
        <v>20</v>
      </c>
      <c r="AS16" s="5"/>
      <c r="AT16" s="5"/>
      <c r="AU16" s="24">
        <f t="shared" si="0"/>
        <v>24</v>
      </c>
      <c r="AV16" s="24">
        <f t="shared" si="1"/>
        <v>16</v>
      </c>
      <c r="AW16" s="24">
        <f t="shared" si="2"/>
        <v>40</v>
      </c>
      <c r="AX16" s="28">
        <f t="shared" si="3"/>
        <v>60</v>
      </c>
      <c r="AY16" s="3"/>
      <c r="AZ16" s="3"/>
      <c r="BA16" s="3"/>
    </row>
    <row r="17" spans="1:53">
      <c r="A17" s="14">
        <v>8</v>
      </c>
      <c r="B17" s="12" t="s">
        <v>34</v>
      </c>
      <c r="C17" s="13" t="s">
        <v>35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20</v>
      </c>
      <c r="I17" s="5" t="s">
        <v>20</v>
      </c>
      <c r="J17" s="5" t="s">
        <v>19</v>
      </c>
      <c r="K17" s="5" t="s">
        <v>20</v>
      </c>
      <c r="L17" s="5" t="s">
        <v>20</v>
      </c>
      <c r="M17" s="5" t="s">
        <v>20</v>
      </c>
      <c r="N17" s="5" t="s">
        <v>20</v>
      </c>
      <c r="O17" s="5" t="s">
        <v>20</v>
      </c>
      <c r="P17" s="5" t="s">
        <v>20</v>
      </c>
      <c r="Q17" s="5" t="s">
        <v>20</v>
      </c>
      <c r="R17" s="5" t="s">
        <v>19</v>
      </c>
      <c r="S17" s="5" t="s">
        <v>19</v>
      </c>
      <c r="T17" s="5" t="s">
        <v>19</v>
      </c>
      <c r="U17" s="5" t="s">
        <v>20</v>
      </c>
      <c r="V17" s="5" t="s">
        <v>20</v>
      </c>
      <c r="W17" s="5" t="s">
        <v>20</v>
      </c>
      <c r="X17" s="5" t="s">
        <v>20</v>
      </c>
      <c r="Y17" s="5" t="s">
        <v>20</v>
      </c>
      <c r="Z17" s="5" t="s">
        <v>20</v>
      </c>
      <c r="AA17" s="20"/>
      <c r="AB17" s="5" t="s">
        <v>20</v>
      </c>
      <c r="AC17" s="5" t="s">
        <v>20</v>
      </c>
      <c r="AD17" s="5" t="s">
        <v>20</v>
      </c>
      <c r="AE17" s="5" t="s">
        <v>19</v>
      </c>
      <c r="AF17" s="5" t="s">
        <v>19</v>
      </c>
      <c r="AG17" s="5" t="s">
        <v>19</v>
      </c>
      <c r="AH17" s="5" t="s">
        <v>20</v>
      </c>
      <c r="AI17" s="5" t="s">
        <v>19</v>
      </c>
      <c r="AJ17" s="5" t="s">
        <v>19</v>
      </c>
      <c r="AK17" s="5" t="s">
        <v>20</v>
      </c>
      <c r="AL17" s="5" t="s">
        <v>20</v>
      </c>
      <c r="AM17" s="5" t="s">
        <v>20</v>
      </c>
      <c r="AN17" s="5" t="s">
        <v>20</v>
      </c>
      <c r="AO17" s="5" t="s">
        <v>19</v>
      </c>
      <c r="AP17" s="5" t="s">
        <v>19</v>
      </c>
      <c r="AQ17" s="5" t="s">
        <v>20</v>
      </c>
      <c r="AR17" s="5" t="s">
        <v>20</v>
      </c>
      <c r="AS17" s="5"/>
      <c r="AT17" s="5"/>
      <c r="AU17" s="24">
        <f t="shared" si="0"/>
        <v>25</v>
      </c>
      <c r="AV17" s="24">
        <f t="shared" si="1"/>
        <v>15</v>
      </c>
      <c r="AW17" s="24">
        <f t="shared" si="2"/>
        <v>40</v>
      </c>
      <c r="AX17" s="28">
        <f t="shared" si="3"/>
        <v>62.5</v>
      </c>
      <c r="AY17" s="3"/>
      <c r="AZ17" s="3"/>
      <c r="BA17" s="3"/>
    </row>
    <row r="18" spans="1:53">
      <c r="A18" s="11">
        <v>9</v>
      </c>
      <c r="B18" s="12" t="s">
        <v>36</v>
      </c>
      <c r="C18" s="13" t="s">
        <v>37</v>
      </c>
      <c r="D18" s="5" t="s">
        <v>19</v>
      </c>
      <c r="E18" s="5" t="s">
        <v>19</v>
      </c>
      <c r="F18" s="5" t="s">
        <v>19</v>
      </c>
      <c r="G18" s="5" t="s">
        <v>20</v>
      </c>
      <c r="H18" s="5" t="s">
        <v>20</v>
      </c>
      <c r="I18" s="5" t="s">
        <v>20</v>
      </c>
      <c r="J18" s="5" t="s">
        <v>20</v>
      </c>
      <c r="K18" s="5" t="s">
        <v>20</v>
      </c>
      <c r="L18" s="5" t="s">
        <v>19</v>
      </c>
      <c r="M18" s="5" t="s">
        <v>20</v>
      </c>
      <c r="N18" s="5" t="s">
        <v>20</v>
      </c>
      <c r="O18" s="5" t="s">
        <v>19</v>
      </c>
      <c r="P18" s="5" t="s">
        <v>20</v>
      </c>
      <c r="Q18" s="5" t="s">
        <v>20</v>
      </c>
      <c r="R18" s="5" t="s">
        <v>20</v>
      </c>
      <c r="S18" s="5" t="s">
        <v>20</v>
      </c>
      <c r="T18" s="5" t="s">
        <v>20</v>
      </c>
      <c r="U18" s="5" t="s">
        <v>20</v>
      </c>
      <c r="V18" s="5" t="s">
        <v>20</v>
      </c>
      <c r="W18" s="5" t="s">
        <v>20</v>
      </c>
      <c r="X18" s="5" t="s">
        <v>20</v>
      </c>
      <c r="Y18" s="5" t="s">
        <v>19</v>
      </c>
      <c r="Z18" s="5" t="s">
        <v>20</v>
      </c>
      <c r="AA18" s="20"/>
      <c r="AB18" s="5" t="s">
        <v>19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19</v>
      </c>
      <c r="AH18" s="5" t="s">
        <v>19</v>
      </c>
      <c r="AI18" s="5" t="s">
        <v>19</v>
      </c>
      <c r="AJ18" s="5" t="s">
        <v>19</v>
      </c>
      <c r="AK18" s="5" t="s">
        <v>20</v>
      </c>
      <c r="AL18" s="5" t="s">
        <v>20</v>
      </c>
      <c r="AM18" s="5" t="s">
        <v>20</v>
      </c>
      <c r="AN18" s="5" t="s">
        <v>20</v>
      </c>
      <c r="AO18" s="5" t="s">
        <v>20</v>
      </c>
      <c r="AP18" s="5" t="s">
        <v>20</v>
      </c>
      <c r="AQ18" s="5" t="s">
        <v>20</v>
      </c>
      <c r="AR18" s="5" t="s">
        <v>20</v>
      </c>
      <c r="AS18" s="5"/>
      <c r="AT18" s="5"/>
      <c r="AU18" s="24">
        <f t="shared" si="0"/>
        <v>29</v>
      </c>
      <c r="AV18" s="24">
        <f t="shared" si="1"/>
        <v>11</v>
      </c>
      <c r="AW18" s="24">
        <f t="shared" si="2"/>
        <v>40</v>
      </c>
      <c r="AX18" s="28">
        <f t="shared" si="3"/>
        <v>72.5</v>
      </c>
      <c r="AY18" s="3"/>
      <c r="AZ18" s="3"/>
      <c r="BA18" s="3"/>
    </row>
    <row r="19" spans="1:53">
      <c r="A19" s="14">
        <v>10</v>
      </c>
      <c r="B19" s="12" t="s">
        <v>38</v>
      </c>
      <c r="C19" s="13" t="s">
        <v>39</v>
      </c>
      <c r="D19" s="5" t="s">
        <v>19</v>
      </c>
      <c r="E19" s="5" t="s">
        <v>19</v>
      </c>
      <c r="F19" s="5" t="s">
        <v>19</v>
      </c>
      <c r="G19" s="5" t="s">
        <v>19</v>
      </c>
      <c r="H19" s="5" t="s">
        <v>20</v>
      </c>
      <c r="I19" s="5" t="s">
        <v>20</v>
      </c>
      <c r="J19" s="5" t="s">
        <v>19</v>
      </c>
      <c r="K19" s="5" t="s">
        <v>20</v>
      </c>
      <c r="L19" s="5" t="s">
        <v>19</v>
      </c>
      <c r="M19" s="5" t="s">
        <v>20</v>
      </c>
      <c r="N19" s="5" t="s">
        <v>20</v>
      </c>
      <c r="O19" s="5" t="s">
        <v>19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20</v>
      </c>
      <c r="U19" s="5" t="s">
        <v>20</v>
      </c>
      <c r="V19" s="5" t="s">
        <v>20</v>
      </c>
      <c r="W19" s="5" t="s">
        <v>19</v>
      </c>
      <c r="X19" s="5" t="s">
        <v>20</v>
      </c>
      <c r="Y19" s="5" t="s">
        <v>20</v>
      </c>
      <c r="Z19" s="5" t="s">
        <v>20</v>
      </c>
      <c r="AA19" s="20"/>
      <c r="AB19" s="5" t="s">
        <v>20</v>
      </c>
      <c r="AC19" s="5" t="s">
        <v>19</v>
      </c>
      <c r="AD19" s="5" t="s">
        <v>20</v>
      </c>
      <c r="AE19" s="5" t="s">
        <v>20</v>
      </c>
      <c r="AF19" s="5" t="s">
        <v>20</v>
      </c>
      <c r="AG19" s="5" t="s">
        <v>19</v>
      </c>
      <c r="AH19" s="5" t="s">
        <v>19</v>
      </c>
      <c r="AI19" s="5" t="s">
        <v>20</v>
      </c>
      <c r="AJ19" s="5" t="s">
        <v>20</v>
      </c>
      <c r="AK19" s="5" t="s">
        <v>20</v>
      </c>
      <c r="AL19" s="5" t="s">
        <v>20</v>
      </c>
      <c r="AM19" s="5" t="s">
        <v>19</v>
      </c>
      <c r="AN19" s="5" t="s">
        <v>19</v>
      </c>
      <c r="AO19" s="5" t="s">
        <v>19</v>
      </c>
      <c r="AP19" s="5" t="s">
        <v>19</v>
      </c>
      <c r="AQ19" s="5" t="s">
        <v>19</v>
      </c>
      <c r="AR19" s="5" t="s">
        <v>20</v>
      </c>
      <c r="AS19" s="5"/>
      <c r="AT19" s="5"/>
      <c r="AU19" s="24">
        <f t="shared" si="0"/>
        <v>24</v>
      </c>
      <c r="AV19" s="24">
        <f t="shared" si="1"/>
        <v>16</v>
      </c>
      <c r="AW19" s="24">
        <f t="shared" si="2"/>
        <v>40</v>
      </c>
      <c r="AX19" s="28">
        <f t="shared" si="3"/>
        <v>60</v>
      </c>
      <c r="AY19" s="3"/>
      <c r="AZ19" s="3"/>
      <c r="BA19" s="3"/>
    </row>
    <row r="20" spans="1:53">
      <c r="A20" s="14">
        <v>11</v>
      </c>
      <c r="B20" s="12" t="s">
        <v>40</v>
      </c>
      <c r="C20" s="13" t="s">
        <v>41</v>
      </c>
      <c r="D20" s="5" t="s">
        <v>20</v>
      </c>
      <c r="E20" s="5" t="s">
        <v>20</v>
      </c>
      <c r="F20" s="5" t="s">
        <v>19</v>
      </c>
      <c r="G20" s="5" t="s">
        <v>20</v>
      </c>
      <c r="H20" s="5" t="s">
        <v>20</v>
      </c>
      <c r="I20" s="5" t="s">
        <v>20</v>
      </c>
      <c r="J20" s="5" t="s">
        <v>19</v>
      </c>
      <c r="K20" s="5" t="s">
        <v>20</v>
      </c>
      <c r="L20" s="5" t="s">
        <v>20</v>
      </c>
      <c r="M20" s="5" t="s">
        <v>19</v>
      </c>
      <c r="N20" s="5" t="s">
        <v>19</v>
      </c>
      <c r="O20" s="5" t="s">
        <v>20</v>
      </c>
      <c r="P20" s="5" t="s">
        <v>19</v>
      </c>
      <c r="Q20" s="5" t="s">
        <v>19</v>
      </c>
      <c r="R20" s="5" t="s">
        <v>20</v>
      </c>
      <c r="S20" s="5" t="s">
        <v>20</v>
      </c>
      <c r="T20" s="5" t="s">
        <v>20</v>
      </c>
      <c r="U20" s="5" t="s">
        <v>20</v>
      </c>
      <c r="V20" s="5" t="s">
        <v>19</v>
      </c>
      <c r="W20" s="5" t="s">
        <v>20</v>
      </c>
      <c r="X20" s="5" t="s">
        <v>20</v>
      </c>
      <c r="Y20" s="5" t="s">
        <v>20</v>
      </c>
      <c r="Z20" s="5" t="s">
        <v>20</v>
      </c>
      <c r="AA20" s="20"/>
      <c r="AB20" s="5" t="s">
        <v>20</v>
      </c>
      <c r="AC20" s="5" t="s">
        <v>19</v>
      </c>
      <c r="AD20" s="5" t="s">
        <v>20</v>
      </c>
      <c r="AE20" s="5" t="s">
        <v>20</v>
      </c>
      <c r="AF20" s="5" t="s">
        <v>20</v>
      </c>
      <c r="AG20" s="5" t="s">
        <v>19</v>
      </c>
      <c r="AH20" s="5" t="s">
        <v>20</v>
      </c>
      <c r="AI20" s="5" t="s">
        <v>20</v>
      </c>
      <c r="AJ20" s="5" t="s">
        <v>20</v>
      </c>
      <c r="AK20" s="5" t="s">
        <v>20</v>
      </c>
      <c r="AL20" s="5" t="s">
        <v>20</v>
      </c>
      <c r="AM20" s="5" t="s">
        <v>20</v>
      </c>
      <c r="AN20" s="5" t="s">
        <v>19</v>
      </c>
      <c r="AO20" s="5" t="s">
        <v>19</v>
      </c>
      <c r="AP20" s="5" t="s">
        <v>20</v>
      </c>
      <c r="AQ20" s="5" t="s">
        <v>19</v>
      </c>
      <c r="AR20" s="5" t="s">
        <v>20</v>
      </c>
      <c r="AS20" s="5"/>
      <c r="AT20" s="5"/>
      <c r="AU20" s="24">
        <f t="shared" si="0"/>
        <v>28</v>
      </c>
      <c r="AV20" s="24">
        <f t="shared" si="1"/>
        <v>12</v>
      </c>
      <c r="AW20" s="24">
        <f t="shared" si="2"/>
        <v>40</v>
      </c>
      <c r="AX20" s="28">
        <f t="shared" si="3"/>
        <v>70</v>
      </c>
      <c r="AY20" s="3"/>
      <c r="AZ20" s="3"/>
      <c r="BA20" s="3"/>
    </row>
    <row r="21" spans="1:53">
      <c r="A21" s="14">
        <v>12</v>
      </c>
      <c r="B21" s="15" t="s">
        <v>42</v>
      </c>
      <c r="C21" s="13" t="s">
        <v>43</v>
      </c>
      <c r="D21" s="5" t="s">
        <v>19</v>
      </c>
      <c r="E21" s="5" t="s">
        <v>19</v>
      </c>
      <c r="F21" s="5" t="s">
        <v>19</v>
      </c>
      <c r="G21" s="5" t="s">
        <v>19</v>
      </c>
      <c r="H21" s="5" t="s">
        <v>19</v>
      </c>
      <c r="I21" s="5" t="s">
        <v>19</v>
      </c>
      <c r="J21" s="5" t="s">
        <v>19</v>
      </c>
      <c r="K21" s="5" t="s">
        <v>19</v>
      </c>
      <c r="L21" s="5" t="s">
        <v>19</v>
      </c>
      <c r="M21" s="5" t="s">
        <v>20</v>
      </c>
      <c r="N21" s="5" t="s">
        <v>20</v>
      </c>
      <c r="O21" s="5" t="s">
        <v>19</v>
      </c>
      <c r="P21" s="5" t="s">
        <v>20</v>
      </c>
      <c r="Q21" s="5" t="s">
        <v>20</v>
      </c>
      <c r="R21" s="5" t="s">
        <v>20</v>
      </c>
      <c r="S21" s="5" t="s">
        <v>19</v>
      </c>
      <c r="T21" s="5" t="s">
        <v>20</v>
      </c>
      <c r="U21" s="5" t="s">
        <v>19</v>
      </c>
      <c r="V21" s="5" t="s">
        <v>20</v>
      </c>
      <c r="W21" s="5" t="s">
        <v>20</v>
      </c>
      <c r="X21" s="5" t="s">
        <v>20</v>
      </c>
      <c r="Y21" s="5" t="s">
        <v>20</v>
      </c>
      <c r="Z21" s="5" t="s">
        <v>20</v>
      </c>
      <c r="AA21" s="20"/>
      <c r="AB21" s="5" t="s">
        <v>19</v>
      </c>
      <c r="AC21" s="5" t="s">
        <v>19</v>
      </c>
      <c r="AD21" s="5" t="s">
        <v>19</v>
      </c>
      <c r="AE21" s="5" t="s">
        <v>19</v>
      </c>
      <c r="AF21" s="5" t="s">
        <v>19</v>
      </c>
      <c r="AG21" s="5" t="s">
        <v>19</v>
      </c>
      <c r="AH21" s="5" t="s">
        <v>20</v>
      </c>
      <c r="AI21" s="5" t="s">
        <v>20</v>
      </c>
      <c r="AJ21" s="5" t="s">
        <v>20</v>
      </c>
      <c r="AK21" s="5" t="s">
        <v>20</v>
      </c>
      <c r="AL21" s="5" t="s">
        <v>20</v>
      </c>
      <c r="AM21" s="5" t="s">
        <v>19</v>
      </c>
      <c r="AN21" s="5" t="s">
        <v>20</v>
      </c>
      <c r="AO21" s="5" t="s">
        <v>19</v>
      </c>
      <c r="AP21" s="5" t="s">
        <v>20</v>
      </c>
      <c r="AQ21" s="5" t="s">
        <v>20</v>
      </c>
      <c r="AR21" s="5" t="s">
        <v>20</v>
      </c>
      <c r="AS21" s="5"/>
      <c r="AT21" s="5"/>
      <c r="AU21" s="24">
        <f t="shared" si="0"/>
        <v>20</v>
      </c>
      <c r="AV21" s="24">
        <f t="shared" si="1"/>
        <v>20</v>
      </c>
      <c r="AW21" s="24">
        <f t="shared" si="2"/>
        <v>40</v>
      </c>
      <c r="AX21" s="28">
        <f t="shared" si="3"/>
        <v>50</v>
      </c>
      <c r="AY21" s="3"/>
      <c r="AZ21" s="3"/>
      <c r="BA21" s="3"/>
    </row>
    <row r="22" spans="1:53">
      <c r="A22" s="11">
        <v>13</v>
      </c>
      <c r="B22" s="12" t="s">
        <v>44</v>
      </c>
      <c r="C22" s="13" t="s">
        <v>45</v>
      </c>
      <c r="D22" s="5" t="s">
        <v>19</v>
      </c>
      <c r="E22" s="5" t="s">
        <v>19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5" t="s">
        <v>20</v>
      </c>
      <c r="L22" s="5" t="s">
        <v>20</v>
      </c>
      <c r="M22" s="5" t="s">
        <v>20</v>
      </c>
      <c r="N22" s="5" t="s">
        <v>20</v>
      </c>
      <c r="O22" s="5" t="s">
        <v>19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20</v>
      </c>
      <c r="U22" s="5" t="s">
        <v>20</v>
      </c>
      <c r="V22" s="5" t="s">
        <v>19</v>
      </c>
      <c r="W22" s="5" t="s">
        <v>20</v>
      </c>
      <c r="X22" s="5" t="s">
        <v>20</v>
      </c>
      <c r="Y22" s="5" t="s">
        <v>20</v>
      </c>
      <c r="Z22" s="5" t="s">
        <v>20</v>
      </c>
      <c r="AA22" s="20"/>
      <c r="AB22" s="5" t="s">
        <v>19</v>
      </c>
      <c r="AC22" s="5" t="s">
        <v>20</v>
      </c>
      <c r="AD22" s="5" t="s">
        <v>20</v>
      </c>
      <c r="AE22" s="5" t="s">
        <v>19</v>
      </c>
      <c r="AF22" s="5" t="s">
        <v>20</v>
      </c>
      <c r="AG22" s="5" t="s">
        <v>19</v>
      </c>
      <c r="AH22" s="5" t="s">
        <v>19</v>
      </c>
      <c r="AI22" s="5" t="s">
        <v>19</v>
      </c>
      <c r="AJ22" s="5" t="s">
        <v>19</v>
      </c>
      <c r="AK22" s="5" t="s">
        <v>19</v>
      </c>
      <c r="AL22" s="5" t="s">
        <v>20</v>
      </c>
      <c r="AM22" s="5" t="s">
        <v>20</v>
      </c>
      <c r="AN22" s="5" t="s">
        <v>20</v>
      </c>
      <c r="AO22" s="5" t="s">
        <v>20</v>
      </c>
      <c r="AP22" s="5" t="s">
        <v>19</v>
      </c>
      <c r="AQ22" s="5" t="s">
        <v>19</v>
      </c>
      <c r="AR22" s="5" t="s">
        <v>20</v>
      </c>
      <c r="AS22" s="5"/>
      <c r="AT22" s="5"/>
      <c r="AU22" s="24">
        <f t="shared" si="0"/>
        <v>22</v>
      </c>
      <c r="AV22" s="24">
        <f t="shared" si="1"/>
        <v>18</v>
      </c>
      <c r="AW22" s="24">
        <f t="shared" si="2"/>
        <v>40</v>
      </c>
      <c r="AX22" s="28">
        <f t="shared" si="3"/>
        <v>55</v>
      </c>
      <c r="AY22" s="3"/>
      <c r="AZ22" s="3"/>
      <c r="BA22" s="3"/>
    </row>
    <row r="23" spans="1:53">
      <c r="A23" s="14">
        <v>14</v>
      </c>
      <c r="B23" s="12" t="s">
        <v>46</v>
      </c>
      <c r="C23" s="13" t="s">
        <v>47</v>
      </c>
      <c r="D23" s="5" t="s">
        <v>19</v>
      </c>
      <c r="E23" s="5" t="s">
        <v>19</v>
      </c>
      <c r="F23" s="5" t="s">
        <v>19</v>
      </c>
      <c r="G23" s="5" t="s">
        <v>19</v>
      </c>
      <c r="H23" s="5" t="s">
        <v>19</v>
      </c>
      <c r="I23" s="5" t="s">
        <v>19</v>
      </c>
      <c r="J23" s="5" t="s">
        <v>20</v>
      </c>
      <c r="K23" s="5" t="s">
        <v>20</v>
      </c>
      <c r="L23" s="5" t="s">
        <v>20</v>
      </c>
      <c r="M23" s="5" t="s">
        <v>19</v>
      </c>
      <c r="N23" s="5" t="s">
        <v>20</v>
      </c>
      <c r="O23" s="5" t="s">
        <v>19</v>
      </c>
      <c r="P23" s="5" t="s">
        <v>20</v>
      </c>
      <c r="Q23" s="5" t="s">
        <v>19</v>
      </c>
      <c r="R23" s="5" t="s">
        <v>20</v>
      </c>
      <c r="S23" s="5" t="s">
        <v>19</v>
      </c>
      <c r="T23" s="5" t="s">
        <v>20</v>
      </c>
      <c r="U23" s="5" t="s">
        <v>19</v>
      </c>
      <c r="V23" s="5" t="s">
        <v>19</v>
      </c>
      <c r="W23" s="5" t="s">
        <v>20</v>
      </c>
      <c r="X23" s="5" t="s">
        <v>20</v>
      </c>
      <c r="Y23" s="5" t="s">
        <v>20</v>
      </c>
      <c r="Z23" s="5" t="s">
        <v>20</v>
      </c>
      <c r="AA23" s="20"/>
      <c r="AB23" s="5" t="s">
        <v>19</v>
      </c>
      <c r="AC23" s="5" t="s">
        <v>19</v>
      </c>
      <c r="AD23" s="5" t="s">
        <v>19</v>
      </c>
      <c r="AE23" s="5" t="s">
        <v>20</v>
      </c>
      <c r="AF23" s="5" t="s">
        <v>20</v>
      </c>
      <c r="AG23" s="5" t="s">
        <v>19</v>
      </c>
      <c r="AH23" s="5" t="s">
        <v>20</v>
      </c>
      <c r="AI23" s="5" t="s">
        <v>20</v>
      </c>
      <c r="AJ23" s="5" t="s">
        <v>20</v>
      </c>
      <c r="AK23" s="5" t="s">
        <v>20</v>
      </c>
      <c r="AL23" s="5" t="s">
        <v>20</v>
      </c>
      <c r="AM23" s="5" t="s">
        <v>20</v>
      </c>
      <c r="AN23" s="5" t="s">
        <v>19</v>
      </c>
      <c r="AO23" s="5" t="s">
        <v>20</v>
      </c>
      <c r="AP23" s="5" t="s">
        <v>20</v>
      </c>
      <c r="AQ23" s="5" t="s">
        <v>19</v>
      </c>
      <c r="AR23" s="5" t="s">
        <v>20</v>
      </c>
      <c r="AS23" s="5"/>
      <c r="AT23" s="5"/>
      <c r="AU23" s="24">
        <f t="shared" si="0"/>
        <v>22</v>
      </c>
      <c r="AV23" s="24">
        <f t="shared" si="1"/>
        <v>18</v>
      </c>
      <c r="AW23" s="24">
        <f t="shared" si="2"/>
        <v>40</v>
      </c>
      <c r="AX23" s="28">
        <f t="shared" si="3"/>
        <v>55</v>
      </c>
      <c r="AY23" s="3"/>
      <c r="AZ23" s="3"/>
      <c r="BA23" s="3"/>
    </row>
    <row r="24" spans="1:53">
      <c r="A24" s="14">
        <v>15</v>
      </c>
      <c r="B24" s="12" t="s">
        <v>48</v>
      </c>
      <c r="C24" s="13" t="s">
        <v>49</v>
      </c>
      <c r="D24" s="5" t="s">
        <v>19</v>
      </c>
      <c r="E24" s="5" t="s">
        <v>19</v>
      </c>
      <c r="F24" s="5" t="s">
        <v>19</v>
      </c>
      <c r="G24" s="5" t="s">
        <v>20</v>
      </c>
      <c r="H24" s="5" t="s">
        <v>20</v>
      </c>
      <c r="I24" s="5" t="s">
        <v>20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20</v>
      </c>
      <c r="O24" s="5" t="s">
        <v>19</v>
      </c>
      <c r="P24" s="5" t="s">
        <v>19</v>
      </c>
      <c r="Q24" s="5" t="s">
        <v>20</v>
      </c>
      <c r="R24" s="5" t="s">
        <v>20</v>
      </c>
      <c r="S24" s="5" t="s">
        <v>20</v>
      </c>
      <c r="T24" s="5" t="s">
        <v>19</v>
      </c>
      <c r="U24" s="5" t="s">
        <v>20</v>
      </c>
      <c r="V24" s="5" t="s">
        <v>20</v>
      </c>
      <c r="W24" s="5" t="s">
        <v>20</v>
      </c>
      <c r="X24" s="5" t="s">
        <v>20</v>
      </c>
      <c r="Y24" s="5" t="s">
        <v>19</v>
      </c>
      <c r="Z24" s="5" t="s">
        <v>20</v>
      </c>
      <c r="AA24" s="20"/>
      <c r="AB24" s="5" t="s">
        <v>19</v>
      </c>
      <c r="AC24" s="5" t="s">
        <v>20</v>
      </c>
      <c r="AD24" s="5" t="s">
        <v>20</v>
      </c>
      <c r="AE24" s="5" t="s">
        <v>20</v>
      </c>
      <c r="AF24" s="5" t="s">
        <v>19</v>
      </c>
      <c r="AG24" s="5" t="s">
        <v>19</v>
      </c>
      <c r="AH24" s="5" t="s">
        <v>19</v>
      </c>
      <c r="AI24" s="5" t="s">
        <v>19</v>
      </c>
      <c r="AJ24" s="5" t="s">
        <v>19</v>
      </c>
      <c r="AK24" s="5" t="s">
        <v>19</v>
      </c>
      <c r="AL24" s="5" t="s">
        <v>20</v>
      </c>
      <c r="AM24" s="5" t="s">
        <v>20</v>
      </c>
      <c r="AN24" s="5" t="s">
        <v>20</v>
      </c>
      <c r="AO24" s="5" t="s">
        <v>20</v>
      </c>
      <c r="AP24" s="5" t="s">
        <v>19</v>
      </c>
      <c r="AQ24" s="5" t="s">
        <v>19</v>
      </c>
      <c r="AR24" s="5" t="s">
        <v>20</v>
      </c>
      <c r="AS24" s="5"/>
      <c r="AT24" s="5"/>
      <c r="AU24" s="24">
        <f t="shared" si="0"/>
        <v>24</v>
      </c>
      <c r="AV24" s="24">
        <f t="shared" si="1"/>
        <v>16</v>
      </c>
      <c r="AW24" s="24">
        <f t="shared" si="2"/>
        <v>40</v>
      </c>
      <c r="AX24" s="28">
        <f t="shared" si="3"/>
        <v>60</v>
      </c>
      <c r="AY24" s="3"/>
      <c r="AZ24" s="3"/>
      <c r="BA24" s="3"/>
    </row>
    <row r="25" spans="1:53">
      <c r="A25" s="14">
        <v>16</v>
      </c>
      <c r="B25" s="12" t="s">
        <v>50</v>
      </c>
      <c r="C25" s="13" t="s">
        <v>51</v>
      </c>
      <c r="D25" s="5" t="s">
        <v>19</v>
      </c>
      <c r="E25" s="5" t="s">
        <v>19</v>
      </c>
      <c r="F25" s="5" t="s">
        <v>19</v>
      </c>
      <c r="G25" s="5" t="s">
        <v>19</v>
      </c>
      <c r="H25" s="5" t="s">
        <v>19</v>
      </c>
      <c r="I25" s="5" t="s">
        <v>19</v>
      </c>
      <c r="J25" s="5" t="s">
        <v>19</v>
      </c>
      <c r="K25" s="5" t="s">
        <v>19</v>
      </c>
      <c r="L25" s="5" t="s">
        <v>20</v>
      </c>
      <c r="M25" s="5" t="s">
        <v>19</v>
      </c>
      <c r="N25" s="5" t="s">
        <v>20</v>
      </c>
      <c r="O25" s="5" t="s">
        <v>20</v>
      </c>
      <c r="P25" s="5" t="s">
        <v>19</v>
      </c>
      <c r="Q25" s="5" t="s">
        <v>19</v>
      </c>
      <c r="R25" s="5" t="s">
        <v>20</v>
      </c>
      <c r="S25" s="5" t="s">
        <v>19</v>
      </c>
      <c r="T25" s="5" t="s">
        <v>20</v>
      </c>
      <c r="U25" s="5" t="s">
        <v>20</v>
      </c>
      <c r="V25" s="5" t="s">
        <v>20</v>
      </c>
      <c r="W25" s="5" t="s">
        <v>20</v>
      </c>
      <c r="X25" s="5" t="s">
        <v>20</v>
      </c>
      <c r="Y25" s="5" t="s">
        <v>20</v>
      </c>
      <c r="Z25" s="5" t="s">
        <v>20</v>
      </c>
      <c r="AA25" s="20"/>
      <c r="AB25" s="5" t="s">
        <v>19</v>
      </c>
      <c r="AC25" s="5" t="s">
        <v>19</v>
      </c>
      <c r="AD25" s="5" t="s">
        <v>20</v>
      </c>
      <c r="AE25" s="5" t="s">
        <v>20</v>
      </c>
      <c r="AF25" s="5" t="s">
        <v>19</v>
      </c>
      <c r="AG25" s="5" t="s">
        <v>20</v>
      </c>
      <c r="AH25" s="5" t="s">
        <v>20</v>
      </c>
      <c r="AI25" s="5" t="s">
        <v>19</v>
      </c>
      <c r="AJ25" s="5" t="s">
        <v>19</v>
      </c>
      <c r="AK25" s="5" t="s">
        <v>20</v>
      </c>
      <c r="AL25" s="5" t="s">
        <v>20</v>
      </c>
      <c r="AM25" s="5" t="s">
        <v>19</v>
      </c>
      <c r="AN25" s="5" t="s">
        <v>20</v>
      </c>
      <c r="AO25" s="5" t="s">
        <v>20</v>
      </c>
      <c r="AP25" s="5" t="s">
        <v>19</v>
      </c>
      <c r="AQ25" s="5" t="s">
        <v>20</v>
      </c>
      <c r="AR25" s="5" t="s">
        <v>20</v>
      </c>
      <c r="AS25" s="5"/>
      <c r="AT25" s="5"/>
      <c r="AU25" s="24">
        <f t="shared" si="0"/>
        <v>21</v>
      </c>
      <c r="AV25" s="24">
        <f t="shared" si="1"/>
        <v>19</v>
      </c>
      <c r="AW25" s="24">
        <f t="shared" si="2"/>
        <v>40</v>
      </c>
      <c r="AX25" s="28">
        <f t="shared" si="3"/>
        <v>52.5</v>
      </c>
      <c r="AY25" s="3"/>
      <c r="AZ25" s="3"/>
      <c r="BA25" s="3"/>
    </row>
    <row r="26" spans="1:53">
      <c r="A26" s="11">
        <v>17</v>
      </c>
      <c r="B26" s="12" t="s">
        <v>52</v>
      </c>
      <c r="C26" s="13" t="s">
        <v>53</v>
      </c>
      <c r="D26" s="5" t="s">
        <v>19</v>
      </c>
      <c r="E26" s="5" t="s">
        <v>19</v>
      </c>
      <c r="F26" s="5" t="s">
        <v>19</v>
      </c>
      <c r="G26" s="5" t="s">
        <v>20</v>
      </c>
      <c r="H26" s="5" t="s">
        <v>20</v>
      </c>
      <c r="I26" s="5" t="s">
        <v>20</v>
      </c>
      <c r="J26" s="5" t="s">
        <v>19</v>
      </c>
      <c r="K26" s="5" t="s">
        <v>20</v>
      </c>
      <c r="L26" s="5" t="s">
        <v>20</v>
      </c>
      <c r="M26" s="5" t="s">
        <v>19</v>
      </c>
      <c r="N26" s="5" t="s">
        <v>20</v>
      </c>
      <c r="O26" s="5" t="s">
        <v>20</v>
      </c>
      <c r="P26" s="5" t="s">
        <v>19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19</v>
      </c>
      <c r="V26" s="5" t="s">
        <v>20</v>
      </c>
      <c r="W26" s="5" t="s">
        <v>19</v>
      </c>
      <c r="X26" s="5" t="s">
        <v>20</v>
      </c>
      <c r="Y26" s="5" t="s">
        <v>20</v>
      </c>
      <c r="Z26" s="5" t="s">
        <v>20</v>
      </c>
      <c r="AA26" s="20"/>
      <c r="AB26" s="5" t="s">
        <v>19</v>
      </c>
      <c r="AC26" s="5" t="s">
        <v>20</v>
      </c>
      <c r="AD26" s="5" t="s">
        <v>19</v>
      </c>
      <c r="AE26" s="5" t="s">
        <v>19</v>
      </c>
      <c r="AF26" s="5" t="s">
        <v>20</v>
      </c>
      <c r="AG26" s="5" t="s">
        <v>20</v>
      </c>
      <c r="AH26" s="5" t="s">
        <v>20</v>
      </c>
      <c r="AI26" s="5" t="s">
        <v>20</v>
      </c>
      <c r="AJ26" s="5" t="s">
        <v>20</v>
      </c>
      <c r="AK26" s="5" t="s">
        <v>20</v>
      </c>
      <c r="AL26" s="5" t="s">
        <v>20</v>
      </c>
      <c r="AM26" s="5" t="s">
        <v>20</v>
      </c>
      <c r="AN26" s="5" t="s">
        <v>20</v>
      </c>
      <c r="AO26" s="5" t="s">
        <v>20</v>
      </c>
      <c r="AP26" s="5" t="s">
        <v>20</v>
      </c>
      <c r="AQ26" s="5" t="s">
        <v>19</v>
      </c>
      <c r="AR26" s="5" t="s">
        <v>20</v>
      </c>
      <c r="AS26" s="5"/>
      <c r="AT26" s="5"/>
      <c r="AU26" s="24">
        <f t="shared" si="0"/>
        <v>28</v>
      </c>
      <c r="AV26" s="24">
        <f t="shared" si="1"/>
        <v>12</v>
      </c>
      <c r="AW26" s="24">
        <f t="shared" si="2"/>
        <v>40</v>
      </c>
      <c r="AX26" s="28">
        <f t="shared" si="3"/>
        <v>70</v>
      </c>
      <c r="AY26" s="3"/>
      <c r="AZ26" s="3"/>
      <c r="BA26" s="3"/>
    </row>
    <row r="27" spans="1:53">
      <c r="A27" s="14">
        <v>18</v>
      </c>
      <c r="B27" s="12" t="s">
        <v>54</v>
      </c>
      <c r="C27" s="13" t="s">
        <v>55</v>
      </c>
      <c r="D27" s="5" t="s">
        <v>19</v>
      </c>
      <c r="E27" s="5" t="s">
        <v>19</v>
      </c>
      <c r="F27" s="5" t="s">
        <v>19</v>
      </c>
      <c r="G27" s="5" t="s">
        <v>19</v>
      </c>
      <c r="H27" s="5" t="s">
        <v>19</v>
      </c>
      <c r="I27" s="5" t="s">
        <v>19</v>
      </c>
      <c r="J27" s="5" t="s">
        <v>19</v>
      </c>
      <c r="K27" s="5" t="s">
        <v>20</v>
      </c>
      <c r="L27" s="5" t="s">
        <v>20</v>
      </c>
      <c r="M27" s="5" t="s">
        <v>19</v>
      </c>
      <c r="N27" s="5" t="s">
        <v>20</v>
      </c>
      <c r="O27" s="5" t="s">
        <v>20</v>
      </c>
      <c r="P27" s="5" t="s">
        <v>20</v>
      </c>
      <c r="Q27" s="5" t="s">
        <v>20</v>
      </c>
      <c r="R27" s="5" t="s">
        <v>20</v>
      </c>
      <c r="S27" s="5" t="s">
        <v>19</v>
      </c>
      <c r="T27" s="5" t="s">
        <v>20</v>
      </c>
      <c r="U27" s="5" t="s">
        <v>20</v>
      </c>
      <c r="V27" s="5" t="s">
        <v>19</v>
      </c>
      <c r="W27" s="5" t="s">
        <v>20</v>
      </c>
      <c r="X27" s="5" t="s">
        <v>20</v>
      </c>
      <c r="Y27" s="5" t="s">
        <v>20</v>
      </c>
      <c r="Z27" s="5" t="s">
        <v>20</v>
      </c>
      <c r="AA27" s="20"/>
      <c r="AB27" s="5" t="s">
        <v>19</v>
      </c>
      <c r="AC27" s="5" t="s">
        <v>19</v>
      </c>
      <c r="AD27" s="5" t="s">
        <v>20</v>
      </c>
      <c r="AE27" s="5" t="s">
        <v>19</v>
      </c>
      <c r="AF27" s="5" t="s">
        <v>19</v>
      </c>
      <c r="AG27" s="5" t="s">
        <v>20</v>
      </c>
      <c r="AH27" s="5" t="s">
        <v>20</v>
      </c>
      <c r="AI27" s="5" t="s">
        <v>19</v>
      </c>
      <c r="AJ27" s="5" t="s">
        <v>19</v>
      </c>
      <c r="AK27" s="5" t="s">
        <v>19</v>
      </c>
      <c r="AL27" s="5" t="s">
        <v>20</v>
      </c>
      <c r="AM27" s="5" t="s">
        <v>20</v>
      </c>
      <c r="AN27" s="5" t="s">
        <v>20</v>
      </c>
      <c r="AO27" s="5" t="s">
        <v>19</v>
      </c>
      <c r="AP27" s="5" t="s">
        <v>20</v>
      </c>
      <c r="AQ27" s="5" t="s">
        <v>19</v>
      </c>
      <c r="AR27" s="5" t="s">
        <v>20</v>
      </c>
      <c r="AS27" s="5"/>
      <c r="AT27" s="5"/>
      <c r="AU27" s="24">
        <f t="shared" si="0"/>
        <v>21</v>
      </c>
      <c r="AV27" s="24">
        <f t="shared" si="1"/>
        <v>19</v>
      </c>
      <c r="AW27" s="24">
        <f t="shared" si="2"/>
        <v>40</v>
      </c>
      <c r="AX27" s="28">
        <f t="shared" si="3"/>
        <v>52.5</v>
      </c>
      <c r="AY27" s="3"/>
      <c r="AZ27" s="3"/>
      <c r="BA27" s="3"/>
    </row>
    <row r="28" spans="1:53">
      <c r="A28" s="14">
        <v>19</v>
      </c>
      <c r="B28" s="12" t="s">
        <v>56</v>
      </c>
      <c r="C28" s="13" t="s">
        <v>57</v>
      </c>
      <c r="D28" s="5" t="s">
        <v>19</v>
      </c>
      <c r="E28" s="5" t="s">
        <v>19</v>
      </c>
      <c r="F28" s="5" t="s">
        <v>19</v>
      </c>
      <c r="G28" s="5" t="s">
        <v>19</v>
      </c>
      <c r="H28" s="5" t="s">
        <v>20</v>
      </c>
      <c r="I28" s="5" t="s">
        <v>20</v>
      </c>
      <c r="J28" s="5" t="s">
        <v>19</v>
      </c>
      <c r="K28" s="5" t="s">
        <v>20</v>
      </c>
      <c r="L28" s="5" t="s">
        <v>19</v>
      </c>
      <c r="M28" s="5" t="s">
        <v>19</v>
      </c>
      <c r="N28" s="5" t="s">
        <v>20</v>
      </c>
      <c r="O28" s="5" t="s">
        <v>20</v>
      </c>
      <c r="P28" s="5" t="s">
        <v>20</v>
      </c>
      <c r="Q28" s="5" t="s">
        <v>20</v>
      </c>
      <c r="R28" s="5" t="s">
        <v>20</v>
      </c>
      <c r="S28" s="5" t="s">
        <v>19</v>
      </c>
      <c r="T28" s="5" t="s">
        <v>20</v>
      </c>
      <c r="U28" s="5" t="s">
        <v>20</v>
      </c>
      <c r="V28" s="5" t="s">
        <v>20</v>
      </c>
      <c r="W28" s="5" t="s">
        <v>20</v>
      </c>
      <c r="X28" s="5" t="s">
        <v>20</v>
      </c>
      <c r="Y28" s="5" t="s">
        <v>19</v>
      </c>
      <c r="Z28" s="5" t="s">
        <v>20</v>
      </c>
      <c r="AA28" s="20"/>
      <c r="AB28" s="5" t="s">
        <v>19</v>
      </c>
      <c r="AC28" s="5" t="s">
        <v>19</v>
      </c>
      <c r="AD28" s="5" t="s">
        <v>20</v>
      </c>
      <c r="AE28" s="5" t="s">
        <v>20</v>
      </c>
      <c r="AF28" s="5" t="s">
        <v>19</v>
      </c>
      <c r="AG28" s="5" t="s">
        <v>19</v>
      </c>
      <c r="AH28" s="5" t="s">
        <v>20</v>
      </c>
      <c r="AI28" s="5" t="s">
        <v>20</v>
      </c>
      <c r="AJ28" s="5" t="s">
        <v>20</v>
      </c>
      <c r="AK28" s="5" t="s">
        <v>19</v>
      </c>
      <c r="AL28" s="5" t="s">
        <v>20</v>
      </c>
      <c r="AM28" s="5" t="s">
        <v>19</v>
      </c>
      <c r="AN28" s="5" t="s">
        <v>20</v>
      </c>
      <c r="AO28" s="5" t="s">
        <v>19</v>
      </c>
      <c r="AP28" s="5" t="s">
        <v>19</v>
      </c>
      <c r="AQ28" s="5" t="s">
        <v>19</v>
      </c>
      <c r="AR28" s="5" t="s">
        <v>20</v>
      </c>
      <c r="AS28" s="5"/>
      <c r="AT28" s="5"/>
      <c r="AU28" s="24">
        <f t="shared" si="0"/>
        <v>22</v>
      </c>
      <c r="AV28" s="24">
        <f t="shared" si="1"/>
        <v>18</v>
      </c>
      <c r="AW28" s="24">
        <f t="shared" si="2"/>
        <v>40</v>
      </c>
      <c r="AX28" s="28">
        <f t="shared" si="3"/>
        <v>55</v>
      </c>
      <c r="AY28" s="3"/>
      <c r="AZ28" s="3"/>
      <c r="BA28" s="3"/>
    </row>
    <row r="29" spans="1:53">
      <c r="A29" s="14">
        <v>20</v>
      </c>
      <c r="B29" s="12" t="s">
        <v>58</v>
      </c>
      <c r="C29" s="13" t="s">
        <v>59</v>
      </c>
      <c r="D29" s="5" t="s">
        <v>19</v>
      </c>
      <c r="E29" s="5" t="s">
        <v>19</v>
      </c>
      <c r="F29" s="5" t="s">
        <v>19</v>
      </c>
      <c r="G29" s="5" t="s">
        <v>20</v>
      </c>
      <c r="H29" s="5" t="s">
        <v>20</v>
      </c>
      <c r="I29" s="5" t="s">
        <v>20</v>
      </c>
      <c r="J29" s="5" t="s">
        <v>20</v>
      </c>
      <c r="K29" s="5" t="s">
        <v>20</v>
      </c>
      <c r="L29" s="5" t="s">
        <v>20</v>
      </c>
      <c r="M29" s="5" t="s">
        <v>20</v>
      </c>
      <c r="N29" s="5" t="s">
        <v>20</v>
      </c>
      <c r="O29" s="5" t="s">
        <v>20</v>
      </c>
      <c r="P29" s="5" t="s">
        <v>20</v>
      </c>
      <c r="Q29" s="5" t="s">
        <v>20</v>
      </c>
      <c r="R29" s="5" t="s">
        <v>20</v>
      </c>
      <c r="S29" s="5" t="s">
        <v>19</v>
      </c>
      <c r="T29" s="5" t="s">
        <v>20</v>
      </c>
      <c r="U29" s="5" t="s">
        <v>20</v>
      </c>
      <c r="V29" s="5" t="s">
        <v>20</v>
      </c>
      <c r="W29" s="5" t="s">
        <v>20</v>
      </c>
      <c r="X29" s="5" t="s">
        <v>20</v>
      </c>
      <c r="Y29" s="5" t="s">
        <v>19</v>
      </c>
      <c r="Z29" s="5" t="s">
        <v>20</v>
      </c>
      <c r="AA29" s="20"/>
      <c r="AB29" s="5" t="s">
        <v>20</v>
      </c>
      <c r="AC29" s="5" t="s">
        <v>19</v>
      </c>
      <c r="AD29" s="5" t="s">
        <v>20</v>
      </c>
      <c r="AE29" s="5" t="s">
        <v>19</v>
      </c>
      <c r="AF29" s="5" t="s">
        <v>20</v>
      </c>
      <c r="AG29" s="5" t="s">
        <v>19</v>
      </c>
      <c r="AH29" s="5" t="s">
        <v>20</v>
      </c>
      <c r="AI29" s="5" t="s">
        <v>20</v>
      </c>
      <c r="AJ29" s="5" t="s">
        <v>20</v>
      </c>
      <c r="AK29" s="5" t="s">
        <v>20</v>
      </c>
      <c r="AL29" s="5" t="s">
        <v>20</v>
      </c>
      <c r="AM29" s="5" t="s">
        <v>20</v>
      </c>
      <c r="AN29" s="5" t="s">
        <v>20</v>
      </c>
      <c r="AO29" s="5" t="s">
        <v>20</v>
      </c>
      <c r="AP29" s="5" t="s">
        <v>20</v>
      </c>
      <c r="AQ29" s="5" t="s">
        <v>20</v>
      </c>
      <c r="AR29" s="5" t="s">
        <v>20</v>
      </c>
      <c r="AS29" s="5"/>
      <c r="AT29" s="5"/>
      <c r="AU29" s="24">
        <f t="shared" si="0"/>
        <v>32</v>
      </c>
      <c r="AV29" s="24">
        <f t="shared" si="1"/>
        <v>8</v>
      </c>
      <c r="AW29" s="24">
        <f t="shared" si="2"/>
        <v>40</v>
      </c>
      <c r="AX29" s="28">
        <f t="shared" si="3"/>
        <v>80</v>
      </c>
      <c r="AY29" s="3"/>
      <c r="AZ29" s="3"/>
      <c r="BA29" s="3"/>
    </row>
    <row r="30" spans="1:53">
      <c r="A30" s="11">
        <v>21</v>
      </c>
      <c r="B30" s="12" t="s">
        <v>60</v>
      </c>
      <c r="C30" s="13" t="s">
        <v>61</v>
      </c>
      <c r="D30" s="5" t="s">
        <v>19</v>
      </c>
      <c r="E30" s="5" t="s">
        <v>19</v>
      </c>
      <c r="F30" s="5" t="s">
        <v>19</v>
      </c>
      <c r="G30" s="5" t="s">
        <v>19</v>
      </c>
      <c r="H30" s="5" t="s">
        <v>19</v>
      </c>
      <c r="I30" s="5" t="s">
        <v>19</v>
      </c>
      <c r="J30" s="5" t="s">
        <v>19</v>
      </c>
      <c r="K30" s="5" t="s">
        <v>20</v>
      </c>
      <c r="L30" s="5" t="s">
        <v>20</v>
      </c>
      <c r="M30" s="5" t="s">
        <v>20</v>
      </c>
      <c r="N30" s="5" t="s">
        <v>19</v>
      </c>
      <c r="O30" s="5" t="s">
        <v>19</v>
      </c>
      <c r="P30" s="5" t="s">
        <v>20</v>
      </c>
      <c r="Q30" s="5" t="s">
        <v>20</v>
      </c>
      <c r="R30" s="5" t="s">
        <v>20</v>
      </c>
      <c r="S30" s="5" t="s">
        <v>20</v>
      </c>
      <c r="T30" s="5" t="s">
        <v>20</v>
      </c>
      <c r="U30" s="5" t="s">
        <v>20</v>
      </c>
      <c r="V30" s="5" t="s">
        <v>20</v>
      </c>
      <c r="W30" s="5" t="s">
        <v>20</v>
      </c>
      <c r="X30" s="5" t="s">
        <v>20</v>
      </c>
      <c r="Y30" s="5" t="s">
        <v>20</v>
      </c>
      <c r="Z30" s="5" t="s">
        <v>20</v>
      </c>
      <c r="AA30" s="20"/>
      <c r="AB30" s="5" t="s">
        <v>19</v>
      </c>
      <c r="AC30" s="5" t="s">
        <v>20</v>
      </c>
      <c r="AD30" s="5" t="s">
        <v>20</v>
      </c>
      <c r="AE30" s="5" t="s">
        <v>19</v>
      </c>
      <c r="AF30" s="5" t="s">
        <v>19</v>
      </c>
      <c r="AG30" s="5" t="s">
        <v>19</v>
      </c>
      <c r="AH30" s="5" t="s">
        <v>20</v>
      </c>
      <c r="AI30" s="5" t="s">
        <v>20</v>
      </c>
      <c r="AJ30" s="5" t="s">
        <v>20</v>
      </c>
      <c r="AK30" s="5" t="s">
        <v>20</v>
      </c>
      <c r="AL30" s="5" t="s">
        <v>20</v>
      </c>
      <c r="AM30" s="5" t="s">
        <v>20</v>
      </c>
      <c r="AN30" s="5" t="s">
        <v>20</v>
      </c>
      <c r="AO30" s="5" t="s">
        <v>19</v>
      </c>
      <c r="AP30" s="5" t="s">
        <v>19</v>
      </c>
      <c r="AQ30" s="5" t="s">
        <v>19</v>
      </c>
      <c r="AR30" s="5" t="s">
        <v>20</v>
      </c>
      <c r="AS30" s="5"/>
      <c r="AT30" s="5"/>
      <c r="AU30" s="24">
        <f t="shared" si="0"/>
        <v>24</v>
      </c>
      <c r="AV30" s="24">
        <f t="shared" si="1"/>
        <v>16</v>
      </c>
      <c r="AW30" s="24">
        <f t="shared" si="2"/>
        <v>40</v>
      </c>
      <c r="AX30" s="28">
        <f t="shared" si="3"/>
        <v>60</v>
      </c>
      <c r="AY30" s="3"/>
      <c r="AZ30" s="3"/>
      <c r="BA30" s="3"/>
    </row>
    <row r="31" spans="1:53">
      <c r="A31" s="14">
        <v>22</v>
      </c>
      <c r="B31" s="12" t="s">
        <v>62</v>
      </c>
      <c r="C31" s="13" t="s">
        <v>63</v>
      </c>
      <c r="D31" s="5" t="s">
        <v>19</v>
      </c>
      <c r="E31" s="5" t="s">
        <v>19</v>
      </c>
      <c r="F31" s="5" t="s">
        <v>19</v>
      </c>
      <c r="G31" s="5" t="s">
        <v>19</v>
      </c>
      <c r="H31" s="5" t="s">
        <v>20</v>
      </c>
      <c r="I31" s="5" t="s">
        <v>20</v>
      </c>
      <c r="J31" s="5" t="s">
        <v>19</v>
      </c>
      <c r="K31" s="5" t="s">
        <v>20</v>
      </c>
      <c r="L31" s="5" t="s">
        <v>20</v>
      </c>
      <c r="M31" s="5" t="s">
        <v>19</v>
      </c>
      <c r="N31" s="5" t="s">
        <v>19</v>
      </c>
      <c r="O31" s="5" t="s">
        <v>20</v>
      </c>
      <c r="P31" s="5" t="s">
        <v>19</v>
      </c>
      <c r="Q31" s="5" t="s">
        <v>20</v>
      </c>
      <c r="R31" s="5" t="s">
        <v>20</v>
      </c>
      <c r="S31" s="5" t="s">
        <v>19</v>
      </c>
      <c r="T31" s="5" t="s">
        <v>20</v>
      </c>
      <c r="U31" s="5" t="s">
        <v>19</v>
      </c>
      <c r="V31" s="5" t="s">
        <v>20</v>
      </c>
      <c r="W31" s="5" t="s">
        <v>20</v>
      </c>
      <c r="X31" s="5" t="s">
        <v>20</v>
      </c>
      <c r="Y31" s="5" t="s">
        <v>20</v>
      </c>
      <c r="Z31" s="5" t="s">
        <v>20</v>
      </c>
      <c r="AA31" s="20"/>
      <c r="AB31" s="5" t="s">
        <v>20</v>
      </c>
      <c r="AC31" s="5" t="s">
        <v>20</v>
      </c>
      <c r="AD31" s="5" t="s">
        <v>19</v>
      </c>
      <c r="AE31" s="5" t="s">
        <v>19</v>
      </c>
      <c r="AF31" s="5" t="s">
        <v>19</v>
      </c>
      <c r="AG31" s="5" t="s">
        <v>20</v>
      </c>
      <c r="AH31" s="5" t="s">
        <v>20</v>
      </c>
      <c r="AI31" s="5" t="s">
        <v>20</v>
      </c>
      <c r="AJ31" s="5" t="s">
        <v>19</v>
      </c>
      <c r="AK31" s="5" t="s">
        <v>20</v>
      </c>
      <c r="AL31" s="5" t="s">
        <v>20</v>
      </c>
      <c r="AM31" s="5" t="s">
        <v>20</v>
      </c>
      <c r="AN31" s="5" t="s">
        <v>20</v>
      </c>
      <c r="AO31" s="5" t="s">
        <v>20</v>
      </c>
      <c r="AP31" s="5" t="s">
        <v>19</v>
      </c>
      <c r="AQ31" s="5" t="s">
        <v>20</v>
      </c>
      <c r="AR31" s="5" t="s">
        <v>20</v>
      </c>
      <c r="AS31" s="5"/>
      <c r="AT31" s="5"/>
      <c r="AU31" s="24">
        <f t="shared" si="0"/>
        <v>25</v>
      </c>
      <c r="AV31" s="24">
        <f t="shared" si="1"/>
        <v>15</v>
      </c>
      <c r="AW31" s="24">
        <f t="shared" si="2"/>
        <v>40</v>
      </c>
      <c r="AX31" s="28">
        <f t="shared" si="3"/>
        <v>62.5</v>
      </c>
      <c r="AY31" s="3"/>
      <c r="AZ31" s="3"/>
      <c r="BA31" s="3"/>
    </row>
    <row r="32" spans="1:53">
      <c r="A32" s="14">
        <v>23</v>
      </c>
      <c r="B32" s="12" t="s">
        <v>64</v>
      </c>
      <c r="C32" s="13" t="s">
        <v>65</v>
      </c>
      <c r="D32" s="5" t="s">
        <v>20</v>
      </c>
      <c r="E32" s="5" t="s">
        <v>20</v>
      </c>
      <c r="F32" s="5" t="s">
        <v>19</v>
      </c>
      <c r="G32" s="5" t="s">
        <v>19</v>
      </c>
      <c r="H32" s="5" t="s">
        <v>20</v>
      </c>
      <c r="I32" s="5" t="s">
        <v>20</v>
      </c>
      <c r="J32" s="5" t="s">
        <v>20</v>
      </c>
      <c r="K32" s="5" t="s">
        <v>20</v>
      </c>
      <c r="L32" s="5" t="s">
        <v>20</v>
      </c>
      <c r="M32" s="5" t="s">
        <v>20</v>
      </c>
      <c r="N32" s="5" t="s">
        <v>20</v>
      </c>
      <c r="O32" s="5" t="s">
        <v>20</v>
      </c>
      <c r="P32" s="5" t="s">
        <v>20</v>
      </c>
      <c r="Q32" s="5" t="s">
        <v>20</v>
      </c>
      <c r="R32" s="5" t="s">
        <v>20</v>
      </c>
      <c r="S32" s="5" t="s">
        <v>20</v>
      </c>
      <c r="T32" s="5" t="s">
        <v>19</v>
      </c>
      <c r="U32" s="5" t="s">
        <v>20</v>
      </c>
      <c r="V32" s="5" t="s">
        <v>20</v>
      </c>
      <c r="W32" s="5" t="s">
        <v>20</v>
      </c>
      <c r="X32" s="5" t="s">
        <v>20</v>
      </c>
      <c r="Y32" s="5" t="s">
        <v>20</v>
      </c>
      <c r="Z32" s="5" t="s">
        <v>20</v>
      </c>
      <c r="AA32" s="20"/>
      <c r="AB32" s="5" t="s">
        <v>20</v>
      </c>
      <c r="AC32" s="5" t="s">
        <v>20</v>
      </c>
      <c r="AD32" s="5" t="s">
        <v>19</v>
      </c>
      <c r="AE32" s="5" t="s">
        <v>20</v>
      </c>
      <c r="AF32" s="5" t="s">
        <v>19</v>
      </c>
      <c r="AG32" s="5" t="s">
        <v>20</v>
      </c>
      <c r="AH32" s="5" t="s">
        <v>20</v>
      </c>
      <c r="AI32" s="5" t="s">
        <v>20</v>
      </c>
      <c r="AJ32" s="5" t="s">
        <v>20</v>
      </c>
      <c r="AK32" s="5" t="s">
        <v>20</v>
      </c>
      <c r="AL32" s="5" t="s">
        <v>20</v>
      </c>
      <c r="AM32" s="5" t="s">
        <v>19</v>
      </c>
      <c r="AN32" s="5" t="s">
        <v>20</v>
      </c>
      <c r="AO32" s="5" t="s">
        <v>19</v>
      </c>
      <c r="AP32" s="5" t="s">
        <v>20</v>
      </c>
      <c r="AQ32" s="5" t="s">
        <v>20</v>
      </c>
      <c r="AR32" s="5" t="s">
        <v>20</v>
      </c>
      <c r="AS32" s="5"/>
      <c r="AT32" s="5"/>
      <c r="AU32" s="24">
        <f t="shared" si="0"/>
        <v>33</v>
      </c>
      <c r="AV32" s="24">
        <f t="shared" si="1"/>
        <v>7</v>
      </c>
      <c r="AW32" s="24">
        <f t="shared" si="2"/>
        <v>40</v>
      </c>
      <c r="AX32" s="28">
        <f t="shared" si="3"/>
        <v>82.5</v>
      </c>
      <c r="AY32" s="3"/>
      <c r="AZ32" s="3"/>
      <c r="BA32" s="3"/>
    </row>
    <row r="33" spans="1:53">
      <c r="A33" s="14">
        <v>24</v>
      </c>
      <c r="B33" s="12" t="s">
        <v>66</v>
      </c>
      <c r="C33" s="13" t="s">
        <v>67</v>
      </c>
      <c r="D33" s="5" t="s">
        <v>20</v>
      </c>
      <c r="E33" s="5" t="s">
        <v>20</v>
      </c>
      <c r="F33" s="5" t="s">
        <v>19</v>
      </c>
      <c r="G33" s="5" t="s">
        <v>19</v>
      </c>
      <c r="H33" s="5" t="s">
        <v>20</v>
      </c>
      <c r="I33" s="5" t="s">
        <v>20</v>
      </c>
      <c r="J33" s="5" t="s">
        <v>20</v>
      </c>
      <c r="K33" s="5" t="s">
        <v>20</v>
      </c>
      <c r="L33" s="5" t="s">
        <v>20</v>
      </c>
      <c r="M33" s="5" t="s">
        <v>20</v>
      </c>
      <c r="N33" s="5" t="s">
        <v>20</v>
      </c>
      <c r="O33" s="5" t="s">
        <v>20</v>
      </c>
      <c r="P33" s="5" t="s">
        <v>20</v>
      </c>
      <c r="Q33" s="5" t="s">
        <v>20</v>
      </c>
      <c r="R33" s="5" t="s">
        <v>20</v>
      </c>
      <c r="S33" s="5" t="s">
        <v>20</v>
      </c>
      <c r="T33" s="5" t="s">
        <v>20</v>
      </c>
      <c r="U33" s="5" t="s">
        <v>20</v>
      </c>
      <c r="V33" s="5" t="s">
        <v>20</v>
      </c>
      <c r="W33" s="5" t="s">
        <v>20</v>
      </c>
      <c r="X33" s="5" t="s">
        <v>20</v>
      </c>
      <c r="Y33" s="5" t="s">
        <v>20</v>
      </c>
      <c r="Z33" s="5" t="s">
        <v>20</v>
      </c>
      <c r="AA33" s="20"/>
      <c r="AB33" s="5" t="s">
        <v>20</v>
      </c>
      <c r="AC33" s="5" t="s">
        <v>20</v>
      </c>
      <c r="AD33" s="5" t="s">
        <v>19</v>
      </c>
      <c r="AE33" s="5" t="s">
        <v>20</v>
      </c>
      <c r="AF33" s="5" t="s">
        <v>19</v>
      </c>
      <c r="AG33" s="5" t="s">
        <v>20</v>
      </c>
      <c r="AH33" s="5" t="s">
        <v>20</v>
      </c>
      <c r="AI33" s="5" t="s">
        <v>20</v>
      </c>
      <c r="AJ33" s="5" t="s">
        <v>19</v>
      </c>
      <c r="AK33" s="5" t="s">
        <v>20</v>
      </c>
      <c r="AL33" s="5" t="s">
        <v>20</v>
      </c>
      <c r="AM33" s="5" t="s">
        <v>19</v>
      </c>
      <c r="AN33" s="5" t="s">
        <v>20</v>
      </c>
      <c r="AO33" s="5" t="s">
        <v>19</v>
      </c>
      <c r="AP33" s="5" t="s">
        <v>20</v>
      </c>
      <c r="AQ33" s="5" t="s">
        <v>20</v>
      </c>
      <c r="AR33" s="5" t="s">
        <v>20</v>
      </c>
      <c r="AS33" s="5"/>
      <c r="AT33" s="5"/>
      <c r="AU33" s="24">
        <f t="shared" si="0"/>
        <v>33</v>
      </c>
      <c r="AV33" s="24">
        <f t="shared" si="1"/>
        <v>7</v>
      </c>
      <c r="AW33" s="24">
        <f t="shared" si="2"/>
        <v>40</v>
      </c>
      <c r="AX33" s="28">
        <f t="shared" si="3"/>
        <v>82.5</v>
      </c>
      <c r="AY33" s="3"/>
      <c r="AZ33" s="3"/>
      <c r="BA33" s="3"/>
    </row>
    <row r="34" spans="1:53">
      <c r="A34" s="11">
        <v>25</v>
      </c>
      <c r="B34" s="12" t="s">
        <v>68</v>
      </c>
      <c r="C34" s="13" t="s">
        <v>69</v>
      </c>
      <c r="D34" s="5" t="s">
        <v>19</v>
      </c>
      <c r="E34" s="5" t="s">
        <v>19</v>
      </c>
      <c r="F34" s="5" t="s">
        <v>19</v>
      </c>
      <c r="G34" s="5" t="s">
        <v>20</v>
      </c>
      <c r="H34" s="5" t="s">
        <v>20</v>
      </c>
      <c r="I34" s="5" t="s">
        <v>20</v>
      </c>
      <c r="J34" s="5" t="s">
        <v>19</v>
      </c>
      <c r="K34" s="5" t="s">
        <v>20</v>
      </c>
      <c r="L34" s="5" t="s">
        <v>19</v>
      </c>
      <c r="M34" s="5" t="s">
        <v>19</v>
      </c>
      <c r="N34" s="5" t="s">
        <v>20</v>
      </c>
      <c r="O34" s="5" t="s">
        <v>19</v>
      </c>
      <c r="P34" s="5" t="s">
        <v>20</v>
      </c>
      <c r="Q34" s="5" t="s">
        <v>20</v>
      </c>
      <c r="R34" s="5" t="s">
        <v>20</v>
      </c>
      <c r="S34" s="5" t="s">
        <v>19</v>
      </c>
      <c r="T34" s="5" t="s">
        <v>20</v>
      </c>
      <c r="U34" s="5" t="s">
        <v>20</v>
      </c>
      <c r="V34" s="5" t="s">
        <v>19</v>
      </c>
      <c r="W34" s="5" t="s">
        <v>20</v>
      </c>
      <c r="X34" s="5" t="s">
        <v>20</v>
      </c>
      <c r="Y34" s="5" t="s">
        <v>20</v>
      </c>
      <c r="Z34" s="5" t="s">
        <v>20</v>
      </c>
      <c r="AA34" s="20"/>
      <c r="AB34" s="5" t="s">
        <v>19</v>
      </c>
      <c r="AC34" s="5" t="s">
        <v>20</v>
      </c>
      <c r="AD34" s="5" t="s">
        <v>19</v>
      </c>
      <c r="AE34" s="5" t="s">
        <v>20</v>
      </c>
      <c r="AF34" s="5" t="s">
        <v>20</v>
      </c>
      <c r="AG34" s="5" t="s">
        <v>20</v>
      </c>
      <c r="AH34" s="5" t="s">
        <v>20</v>
      </c>
      <c r="AI34" s="5" t="s">
        <v>20</v>
      </c>
      <c r="AJ34" s="5" t="s">
        <v>19</v>
      </c>
      <c r="AK34" s="5" t="s">
        <v>19</v>
      </c>
      <c r="AL34" s="5" t="s">
        <v>20</v>
      </c>
      <c r="AM34" s="5" t="s">
        <v>20</v>
      </c>
      <c r="AN34" s="5" t="s">
        <v>20</v>
      </c>
      <c r="AO34" s="5" t="s">
        <v>19</v>
      </c>
      <c r="AP34" s="5" t="s">
        <v>19</v>
      </c>
      <c r="AQ34" s="5" t="s">
        <v>19</v>
      </c>
      <c r="AR34" s="5" t="s">
        <v>20</v>
      </c>
      <c r="AS34" s="5"/>
      <c r="AT34" s="5"/>
      <c r="AU34" s="24">
        <f t="shared" si="0"/>
        <v>24</v>
      </c>
      <c r="AV34" s="24">
        <f t="shared" si="1"/>
        <v>16</v>
      </c>
      <c r="AW34" s="24">
        <f t="shared" si="2"/>
        <v>40</v>
      </c>
      <c r="AX34" s="28">
        <f t="shared" si="3"/>
        <v>60</v>
      </c>
      <c r="AY34" s="3"/>
      <c r="AZ34" s="3"/>
      <c r="BA34" s="3"/>
    </row>
    <row r="35" spans="1:53">
      <c r="A35" s="14">
        <v>26</v>
      </c>
      <c r="B35" s="12" t="s">
        <v>70</v>
      </c>
      <c r="C35" s="13" t="s">
        <v>71</v>
      </c>
      <c r="D35" s="5" t="s">
        <v>19</v>
      </c>
      <c r="E35" s="5" t="s">
        <v>19</v>
      </c>
      <c r="F35" s="5" t="s">
        <v>19</v>
      </c>
      <c r="G35" s="5" t="s">
        <v>20</v>
      </c>
      <c r="H35" s="5" t="s">
        <v>20</v>
      </c>
      <c r="I35" s="5" t="s">
        <v>20</v>
      </c>
      <c r="J35" s="5" t="s">
        <v>19</v>
      </c>
      <c r="K35" s="5" t="s">
        <v>19</v>
      </c>
      <c r="L35" s="5" t="s">
        <v>19</v>
      </c>
      <c r="M35" s="5" t="s">
        <v>20</v>
      </c>
      <c r="N35" s="5" t="s">
        <v>20</v>
      </c>
      <c r="O35" s="5" t="s">
        <v>20</v>
      </c>
      <c r="P35" s="5" t="s">
        <v>20</v>
      </c>
      <c r="Q35" s="5" t="s">
        <v>20</v>
      </c>
      <c r="R35" s="5" t="s">
        <v>20</v>
      </c>
      <c r="S35" s="5" t="s">
        <v>20</v>
      </c>
      <c r="T35" s="5" t="s">
        <v>20</v>
      </c>
      <c r="U35" s="5" t="s">
        <v>20</v>
      </c>
      <c r="V35" s="5" t="s">
        <v>20</v>
      </c>
      <c r="W35" s="5" t="s">
        <v>20</v>
      </c>
      <c r="X35" s="5" t="s">
        <v>20</v>
      </c>
      <c r="Y35" s="5" t="s">
        <v>20</v>
      </c>
      <c r="Z35" s="5" t="s">
        <v>20</v>
      </c>
      <c r="AA35" s="20"/>
      <c r="AB35" s="5" t="s">
        <v>20</v>
      </c>
      <c r="AC35" s="5" t="s">
        <v>19</v>
      </c>
      <c r="AD35" s="5" t="s">
        <v>19</v>
      </c>
      <c r="AE35" s="5" t="s">
        <v>19</v>
      </c>
      <c r="AF35" s="5" t="s">
        <v>19</v>
      </c>
      <c r="AG35" s="5" t="s">
        <v>19</v>
      </c>
      <c r="AH35" s="5" t="s">
        <v>20</v>
      </c>
      <c r="AI35" s="5" t="s">
        <v>20</v>
      </c>
      <c r="AJ35" s="5" t="s">
        <v>20</v>
      </c>
      <c r="AK35" s="5" t="s">
        <v>19</v>
      </c>
      <c r="AL35" s="5" t="s">
        <v>20</v>
      </c>
      <c r="AM35" s="5" t="s">
        <v>19</v>
      </c>
      <c r="AN35" s="5" t="s">
        <v>20</v>
      </c>
      <c r="AO35" s="5" t="s">
        <v>19</v>
      </c>
      <c r="AP35" s="5" t="s">
        <v>20</v>
      </c>
      <c r="AQ35" s="5" t="s">
        <v>20</v>
      </c>
      <c r="AR35" s="5" t="s">
        <v>20</v>
      </c>
      <c r="AS35" s="5"/>
      <c r="AT35" s="5"/>
      <c r="AU35" s="24">
        <f t="shared" si="0"/>
        <v>26</v>
      </c>
      <c r="AV35" s="24">
        <f t="shared" si="1"/>
        <v>14</v>
      </c>
      <c r="AW35" s="24">
        <f t="shared" si="2"/>
        <v>40</v>
      </c>
      <c r="AX35" s="28">
        <f t="shared" si="3"/>
        <v>65</v>
      </c>
      <c r="AY35" s="3"/>
      <c r="AZ35" s="3"/>
      <c r="BA35" s="3"/>
    </row>
    <row r="36" spans="1:53">
      <c r="A36" s="14">
        <v>27</v>
      </c>
      <c r="B36" s="12" t="s">
        <v>72</v>
      </c>
      <c r="C36" s="13" t="s">
        <v>73</v>
      </c>
      <c r="D36" s="5" t="s">
        <v>19</v>
      </c>
      <c r="E36" s="5" t="s">
        <v>19</v>
      </c>
      <c r="F36" s="5" t="s">
        <v>19</v>
      </c>
      <c r="G36" s="5" t="s">
        <v>20</v>
      </c>
      <c r="H36" s="5" t="s">
        <v>20</v>
      </c>
      <c r="I36" s="5" t="s">
        <v>19</v>
      </c>
      <c r="J36" s="5" t="s">
        <v>19</v>
      </c>
      <c r="K36" s="5" t="s">
        <v>19</v>
      </c>
      <c r="L36" s="5" t="s">
        <v>19</v>
      </c>
      <c r="M36" s="5" t="s">
        <v>20</v>
      </c>
      <c r="N36" s="5" t="s">
        <v>19</v>
      </c>
      <c r="O36" s="5" t="s">
        <v>19</v>
      </c>
      <c r="P36" s="5" t="s">
        <v>19</v>
      </c>
      <c r="Q36" s="5" t="s">
        <v>19</v>
      </c>
      <c r="R36" s="5" t="s">
        <v>20</v>
      </c>
      <c r="S36" s="5" t="s">
        <v>20</v>
      </c>
      <c r="T36" s="5" t="s">
        <v>20</v>
      </c>
      <c r="U36" s="5" t="s">
        <v>20</v>
      </c>
      <c r="V36" s="5" t="s">
        <v>19</v>
      </c>
      <c r="W36" s="5" t="s">
        <v>20</v>
      </c>
      <c r="X36" s="5" t="s">
        <v>20</v>
      </c>
      <c r="Y36" s="5" t="s">
        <v>19</v>
      </c>
      <c r="Z36" s="5" t="s">
        <v>20</v>
      </c>
      <c r="AA36" s="20"/>
      <c r="AB36" s="5" t="s">
        <v>19</v>
      </c>
      <c r="AC36" s="5" t="s">
        <v>20</v>
      </c>
      <c r="AD36" s="5" t="s">
        <v>19</v>
      </c>
      <c r="AE36" s="5" t="s">
        <v>20</v>
      </c>
      <c r="AF36" s="5" t="s">
        <v>19</v>
      </c>
      <c r="AG36" s="5" t="s">
        <v>19</v>
      </c>
      <c r="AH36" s="5" t="s">
        <v>20</v>
      </c>
      <c r="AI36" s="5" t="s">
        <v>20</v>
      </c>
      <c r="AJ36" s="5" t="s">
        <v>20</v>
      </c>
      <c r="AK36" s="5" t="s">
        <v>20</v>
      </c>
      <c r="AL36" s="5" t="s">
        <v>20</v>
      </c>
      <c r="AM36" s="5" t="s">
        <v>20</v>
      </c>
      <c r="AN36" s="5" t="s">
        <v>19</v>
      </c>
      <c r="AO36" s="5" t="s">
        <v>20</v>
      </c>
      <c r="AP36" s="5" t="s">
        <v>20</v>
      </c>
      <c r="AQ36" s="5" t="s">
        <v>19</v>
      </c>
      <c r="AR36" s="5" t="s">
        <v>20</v>
      </c>
      <c r="AS36" s="5"/>
      <c r="AT36" s="5"/>
      <c r="AU36" s="24">
        <f t="shared" si="0"/>
        <v>21</v>
      </c>
      <c r="AV36" s="24">
        <f t="shared" si="1"/>
        <v>19</v>
      </c>
      <c r="AW36" s="24">
        <f t="shared" si="2"/>
        <v>40</v>
      </c>
      <c r="AX36" s="28">
        <f t="shared" si="3"/>
        <v>52.5</v>
      </c>
      <c r="AY36" s="3"/>
      <c r="AZ36" s="3"/>
      <c r="BA36" s="3"/>
    </row>
    <row r="37" spans="1:53">
      <c r="A37" s="14">
        <v>28</v>
      </c>
      <c r="B37" s="12" t="s">
        <v>74</v>
      </c>
      <c r="C37" s="13" t="s">
        <v>75</v>
      </c>
      <c r="D37" s="5" t="s">
        <v>19</v>
      </c>
      <c r="E37" s="5" t="s">
        <v>19</v>
      </c>
      <c r="F37" s="5" t="s">
        <v>19</v>
      </c>
      <c r="G37" s="5" t="s">
        <v>19</v>
      </c>
      <c r="H37" s="5" t="s">
        <v>19</v>
      </c>
      <c r="I37" s="5" t="s">
        <v>19</v>
      </c>
      <c r="J37" s="5" t="s">
        <v>20</v>
      </c>
      <c r="K37" s="5" t="s">
        <v>20</v>
      </c>
      <c r="L37" s="5" t="s">
        <v>20</v>
      </c>
      <c r="M37" s="5" t="s">
        <v>19</v>
      </c>
      <c r="N37" s="5" t="s">
        <v>20</v>
      </c>
      <c r="O37" s="5" t="s">
        <v>20</v>
      </c>
      <c r="P37" s="5" t="s">
        <v>20</v>
      </c>
      <c r="Q37" s="5" t="s">
        <v>20</v>
      </c>
      <c r="R37" s="5" t="s">
        <v>20</v>
      </c>
      <c r="S37" s="5" t="s">
        <v>20</v>
      </c>
      <c r="T37" s="5" t="s">
        <v>20</v>
      </c>
      <c r="U37" s="5" t="s">
        <v>20</v>
      </c>
      <c r="V37" s="5" t="s">
        <v>19</v>
      </c>
      <c r="W37" s="5" t="s">
        <v>19</v>
      </c>
      <c r="X37" s="5" t="s">
        <v>20</v>
      </c>
      <c r="Y37" s="5" t="s">
        <v>20</v>
      </c>
      <c r="Z37" s="5" t="s">
        <v>20</v>
      </c>
      <c r="AA37" s="20"/>
      <c r="AB37" s="5" t="s">
        <v>20</v>
      </c>
      <c r="AC37" s="5" t="s">
        <v>19</v>
      </c>
      <c r="AD37" s="5" t="s">
        <v>20</v>
      </c>
      <c r="AE37" s="5" t="s">
        <v>19</v>
      </c>
      <c r="AF37" s="5" t="s">
        <v>20</v>
      </c>
      <c r="AG37" s="5" t="s">
        <v>19</v>
      </c>
      <c r="AH37" s="5" t="s">
        <v>20</v>
      </c>
      <c r="AI37" s="5" t="s">
        <v>20</v>
      </c>
      <c r="AJ37" s="5" t="s">
        <v>20</v>
      </c>
      <c r="AK37" s="5" t="s">
        <v>20</v>
      </c>
      <c r="AL37" s="5" t="s">
        <v>20</v>
      </c>
      <c r="AM37" s="5" t="s">
        <v>20</v>
      </c>
      <c r="AN37" s="5" t="s">
        <v>20</v>
      </c>
      <c r="AO37" s="5" t="s">
        <v>19</v>
      </c>
      <c r="AP37" s="5" t="s">
        <v>20</v>
      </c>
      <c r="AQ37" s="5" t="s">
        <v>19</v>
      </c>
      <c r="AR37" s="5" t="s">
        <v>20</v>
      </c>
      <c r="AS37" s="5"/>
      <c r="AT37" s="5"/>
      <c r="AU37" s="24">
        <f t="shared" si="0"/>
        <v>26</v>
      </c>
      <c r="AV37" s="24">
        <f t="shared" si="1"/>
        <v>14</v>
      </c>
      <c r="AW37" s="24">
        <f t="shared" si="2"/>
        <v>40</v>
      </c>
      <c r="AX37" s="28">
        <f t="shared" si="3"/>
        <v>65</v>
      </c>
      <c r="AY37" s="3"/>
      <c r="AZ37" s="3"/>
      <c r="BA37" s="3"/>
    </row>
    <row r="38" spans="1:53">
      <c r="A38" s="11">
        <v>29</v>
      </c>
      <c r="B38" s="12" t="s">
        <v>76</v>
      </c>
      <c r="C38" s="13" t="s">
        <v>77</v>
      </c>
      <c r="D38" s="5" t="s">
        <v>19</v>
      </c>
      <c r="E38" s="5" t="s">
        <v>19</v>
      </c>
      <c r="F38" s="5" t="s">
        <v>19</v>
      </c>
      <c r="G38" s="5" t="s">
        <v>19</v>
      </c>
      <c r="H38" s="5" t="s">
        <v>19</v>
      </c>
      <c r="I38" s="5" t="s">
        <v>19</v>
      </c>
      <c r="J38" s="5" t="s">
        <v>19</v>
      </c>
      <c r="K38" s="5" t="s">
        <v>19</v>
      </c>
      <c r="L38" s="5" t="s">
        <v>19</v>
      </c>
      <c r="M38" s="5" t="s">
        <v>19</v>
      </c>
      <c r="N38" s="5" t="s">
        <v>20</v>
      </c>
      <c r="O38" s="5" t="s">
        <v>20</v>
      </c>
      <c r="P38" s="5" t="s">
        <v>19</v>
      </c>
      <c r="Q38" s="5" t="s">
        <v>20</v>
      </c>
      <c r="R38" s="5" t="s">
        <v>20</v>
      </c>
      <c r="S38" s="5" t="s">
        <v>19</v>
      </c>
      <c r="T38" s="5" t="s">
        <v>20</v>
      </c>
      <c r="U38" s="5" t="s">
        <v>20</v>
      </c>
      <c r="V38" s="5" t="s">
        <v>20</v>
      </c>
      <c r="W38" s="5" t="s">
        <v>20</v>
      </c>
      <c r="X38" s="5" t="s">
        <v>20</v>
      </c>
      <c r="Y38" s="5" t="s">
        <v>20</v>
      </c>
      <c r="Z38" s="5" t="s">
        <v>20</v>
      </c>
      <c r="AA38" s="20"/>
      <c r="AB38" s="5" t="s">
        <v>19</v>
      </c>
      <c r="AC38" s="5" t="s">
        <v>20</v>
      </c>
      <c r="AD38" s="5" t="s">
        <v>20</v>
      </c>
      <c r="AE38" s="5" t="s">
        <v>19</v>
      </c>
      <c r="AF38" s="5" t="s">
        <v>19</v>
      </c>
      <c r="AG38" s="5" t="s">
        <v>19</v>
      </c>
      <c r="AH38" s="5" t="s">
        <v>20</v>
      </c>
      <c r="AI38" s="5" t="s">
        <v>19</v>
      </c>
      <c r="AJ38" s="5" t="s">
        <v>20</v>
      </c>
      <c r="AK38" s="5" t="s">
        <v>20</v>
      </c>
      <c r="AL38" s="5" t="s">
        <v>20</v>
      </c>
      <c r="AM38" s="5" t="s">
        <v>19</v>
      </c>
      <c r="AN38" s="5" t="s">
        <v>20</v>
      </c>
      <c r="AO38" s="5" t="s">
        <v>20</v>
      </c>
      <c r="AP38" s="5" t="s">
        <v>19</v>
      </c>
      <c r="AQ38" s="5" t="s">
        <v>19</v>
      </c>
      <c r="AR38" s="5" t="s">
        <v>20</v>
      </c>
      <c r="AS38" s="5"/>
      <c r="AT38" s="5"/>
      <c r="AU38" s="24">
        <f t="shared" si="0"/>
        <v>20</v>
      </c>
      <c r="AV38" s="24">
        <f t="shared" si="1"/>
        <v>20</v>
      </c>
      <c r="AW38" s="24">
        <f t="shared" si="2"/>
        <v>40</v>
      </c>
      <c r="AX38" s="28">
        <f t="shared" si="3"/>
        <v>50</v>
      </c>
      <c r="AY38" s="3"/>
      <c r="AZ38" s="3"/>
      <c r="BA38" s="3"/>
    </row>
    <row r="39" spans="1:53">
      <c r="A39" s="14">
        <v>30</v>
      </c>
      <c r="B39" s="12" t="s">
        <v>78</v>
      </c>
      <c r="C39" s="13" t="s">
        <v>79</v>
      </c>
      <c r="D39" s="5" t="s">
        <v>19</v>
      </c>
      <c r="E39" s="5" t="s">
        <v>19</v>
      </c>
      <c r="F39" s="5" t="s">
        <v>19</v>
      </c>
      <c r="G39" s="5" t="s">
        <v>19</v>
      </c>
      <c r="H39" s="5" t="s">
        <v>20</v>
      </c>
      <c r="I39" s="5" t="s">
        <v>20</v>
      </c>
      <c r="J39" s="5" t="s">
        <v>19</v>
      </c>
      <c r="K39" s="5" t="s">
        <v>20</v>
      </c>
      <c r="L39" s="5" t="s">
        <v>19</v>
      </c>
      <c r="M39" s="5" t="s">
        <v>19</v>
      </c>
      <c r="N39" s="5" t="s">
        <v>20</v>
      </c>
      <c r="O39" s="5" t="s">
        <v>19</v>
      </c>
      <c r="P39" s="5" t="s">
        <v>20</v>
      </c>
      <c r="Q39" s="5" t="s">
        <v>20</v>
      </c>
      <c r="R39" s="5" t="s">
        <v>20</v>
      </c>
      <c r="S39" s="5" t="s">
        <v>20</v>
      </c>
      <c r="T39" s="5" t="s">
        <v>20</v>
      </c>
      <c r="U39" s="5" t="s">
        <v>20</v>
      </c>
      <c r="V39" s="5" t="s">
        <v>20</v>
      </c>
      <c r="W39" s="5" t="s">
        <v>20</v>
      </c>
      <c r="X39" s="5" t="s">
        <v>20</v>
      </c>
      <c r="Y39" s="5" t="s">
        <v>20</v>
      </c>
      <c r="Z39" s="5" t="s">
        <v>20</v>
      </c>
      <c r="AA39" s="20"/>
      <c r="AB39" s="5" t="s">
        <v>20</v>
      </c>
      <c r="AC39" s="5" t="s">
        <v>19</v>
      </c>
      <c r="AD39" s="5" t="s">
        <v>20</v>
      </c>
      <c r="AE39" s="5" t="s">
        <v>20</v>
      </c>
      <c r="AF39" s="5" t="s">
        <v>20</v>
      </c>
      <c r="AG39" s="5" t="s">
        <v>19</v>
      </c>
      <c r="AH39" s="5" t="s">
        <v>20</v>
      </c>
      <c r="AI39" s="5" t="s">
        <v>20</v>
      </c>
      <c r="AJ39" s="5" t="s">
        <v>19</v>
      </c>
      <c r="AK39" s="5" t="s">
        <v>20</v>
      </c>
      <c r="AL39" s="5" t="s">
        <v>20</v>
      </c>
      <c r="AM39" s="5" t="s">
        <v>19</v>
      </c>
      <c r="AN39" s="5" t="s">
        <v>20</v>
      </c>
      <c r="AO39" s="5" t="s">
        <v>19</v>
      </c>
      <c r="AP39" s="5" t="s">
        <v>20</v>
      </c>
      <c r="AQ39" s="5" t="s">
        <v>20</v>
      </c>
      <c r="AR39" s="5" t="s">
        <v>20</v>
      </c>
      <c r="AS39" s="5"/>
      <c r="AT39" s="5"/>
      <c r="AU39" s="24">
        <f t="shared" si="0"/>
        <v>27</v>
      </c>
      <c r="AV39" s="24">
        <f t="shared" si="1"/>
        <v>13</v>
      </c>
      <c r="AW39" s="24">
        <f t="shared" si="2"/>
        <v>40</v>
      </c>
      <c r="AX39" s="28">
        <f t="shared" si="3"/>
        <v>67.5</v>
      </c>
      <c r="AY39" s="3"/>
      <c r="AZ39" s="3"/>
      <c r="BA39" s="3"/>
    </row>
    <row r="40" spans="1:53">
      <c r="A40" s="14">
        <v>31</v>
      </c>
      <c r="B40" s="12" t="s">
        <v>80</v>
      </c>
      <c r="C40" s="13" t="s">
        <v>81</v>
      </c>
      <c r="D40" s="5" t="s">
        <v>20</v>
      </c>
      <c r="E40" s="5" t="s">
        <v>20</v>
      </c>
      <c r="F40" s="5" t="s">
        <v>19</v>
      </c>
      <c r="G40" s="5" t="s">
        <v>20</v>
      </c>
      <c r="H40" s="5" t="s">
        <v>20</v>
      </c>
      <c r="I40" s="5" t="s">
        <v>20</v>
      </c>
      <c r="J40" s="5" t="s">
        <v>20</v>
      </c>
      <c r="K40" s="5" t="s">
        <v>20</v>
      </c>
      <c r="L40" s="5" t="s">
        <v>20</v>
      </c>
      <c r="M40" s="5" t="s">
        <v>19</v>
      </c>
      <c r="N40" s="5" t="s">
        <v>20</v>
      </c>
      <c r="O40" s="5" t="s">
        <v>20</v>
      </c>
      <c r="P40" s="5" t="s">
        <v>19</v>
      </c>
      <c r="Q40" s="5" t="s">
        <v>20</v>
      </c>
      <c r="R40" s="5" t="s">
        <v>19</v>
      </c>
      <c r="S40" s="5" t="s">
        <v>20</v>
      </c>
      <c r="T40" s="5" t="s">
        <v>19</v>
      </c>
      <c r="U40" s="5" t="s">
        <v>20</v>
      </c>
      <c r="V40" s="5" t="s">
        <v>20</v>
      </c>
      <c r="W40" s="5" t="s">
        <v>20</v>
      </c>
      <c r="X40" s="5" t="s">
        <v>20</v>
      </c>
      <c r="Y40" s="5" t="s">
        <v>20</v>
      </c>
      <c r="Z40" s="5" t="s">
        <v>20</v>
      </c>
      <c r="AA40" s="20"/>
      <c r="AB40" s="5" t="s">
        <v>19</v>
      </c>
      <c r="AC40" s="5" t="s">
        <v>19</v>
      </c>
      <c r="AD40" s="5" t="s">
        <v>19</v>
      </c>
      <c r="AE40" s="5" t="s">
        <v>19</v>
      </c>
      <c r="AF40" s="5" t="s">
        <v>19</v>
      </c>
      <c r="AG40" s="5" t="s">
        <v>20</v>
      </c>
      <c r="AH40" s="5" t="s">
        <v>20</v>
      </c>
      <c r="AI40" s="5" t="s">
        <v>20</v>
      </c>
      <c r="AJ40" s="5" t="s">
        <v>20</v>
      </c>
      <c r="AK40" s="5" t="s">
        <v>20</v>
      </c>
      <c r="AL40" s="5" t="s">
        <v>20</v>
      </c>
      <c r="AM40" s="5" t="s">
        <v>19</v>
      </c>
      <c r="AN40" s="5" t="s">
        <v>20</v>
      </c>
      <c r="AO40" s="5" t="s">
        <v>20</v>
      </c>
      <c r="AP40" s="5" t="s">
        <v>20</v>
      </c>
      <c r="AQ40" s="5" t="s">
        <v>20</v>
      </c>
      <c r="AR40" s="5" t="s">
        <v>20</v>
      </c>
      <c r="AS40" s="5"/>
      <c r="AT40" s="5"/>
      <c r="AU40" s="24">
        <f t="shared" si="0"/>
        <v>29</v>
      </c>
      <c r="AV40" s="24">
        <f t="shared" si="1"/>
        <v>11</v>
      </c>
      <c r="AW40" s="24">
        <f t="shared" si="2"/>
        <v>40</v>
      </c>
      <c r="AX40" s="28">
        <f t="shared" si="3"/>
        <v>72.5</v>
      </c>
      <c r="AY40" s="3"/>
      <c r="AZ40" s="3"/>
      <c r="BA40" s="3"/>
    </row>
    <row r="41" spans="1:53">
      <c r="A41" s="14">
        <v>32</v>
      </c>
      <c r="B41" s="12" t="s">
        <v>82</v>
      </c>
      <c r="C41" s="13" t="s">
        <v>83</v>
      </c>
      <c r="D41" s="5" t="s">
        <v>19</v>
      </c>
      <c r="E41" s="5" t="s">
        <v>19</v>
      </c>
      <c r="F41" s="5" t="s">
        <v>19</v>
      </c>
      <c r="G41" s="5" t="s">
        <v>20</v>
      </c>
      <c r="H41" s="5" t="s">
        <v>20</v>
      </c>
      <c r="I41" s="5" t="s">
        <v>20</v>
      </c>
      <c r="J41" s="5" t="s">
        <v>20</v>
      </c>
      <c r="K41" s="5" t="s">
        <v>20</v>
      </c>
      <c r="L41" s="5" t="s">
        <v>20</v>
      </c>
      <c r="M41" s="5" t="s">
        <v>19</v>
      </c>
      <c r="N41" s="5" t="s">
        <v>20</v>
      </c>
      <c r="O41" s="5" t="s">
        <v>19</v>
      </c>
      <c r="P41" s="5" t="s">
        <v>20</v>
      </c>
      <c r="Q41" s="5" t="s">
        <v>20</v>
      </c>
      <c r="R41" s="5" t="s">
        <v>20</v>
      </c>
      <c r="S41" s="5" t="s">
        <v>20</v>
      </c>
      <c r="T41" s="5" t="s">
        <v>19</v>
      </c>
      <c r="U41" s="5" t="s">
        <v>20</v>
      </c>
      <c r="V41" s="5" t="s">
        <v>20</v>
      </c>
      <c r="W41" s="5" t="s">
        <v>20</v>
      </c>
      <c r="X41" s="5" t="s">
        <v>20</v>
      </c>
      <c r="Y41" s="5" t="s">
        <v>20</v>
      </c>
      <c r="Z41" s="5" t="s">
        <v>20</v>
      </c>
      <c r="AA41" s="20"/>
      <c r="AB41" s="5" t="s">
        <v>19</v>
      </c>
      <c r="AC41" s="5" t="s">
        <v>19</v>
      </c>
      <c r="AD41" s="5" t="s">
        <v>19</v>
      </c>
      <c r="AE41" s="5" t="s">
        <v>19</v>
      </c>
      <c r="AF41" s="5" t="s">
        <v>20</v>
      </c>
      <c r="AG41" s="5" t="s">
        <v>19</v>
      </c>
      <c r="AH41" s="5" t="s">
        <v>20</v>
      </c>
      <c r="AI41" s="5" t="s">
        <v>20</v>
      </c>
      <c r="AJ41" s="5" t="s">
        <v>20</v>
      </c>
      <c r="AK41" s="5" t="s">
        <v>20</v>
      </c>
      <c r="AL41" s="5" t="s">
        <v>20</v>
      </c>
      <c r="AM41" s="5" t="s">
        <v>20</v>
      </c>
      <c r="AN41" s="5" t="s">
        <v>20</v>
      </c>
      <c r="AO41" s="5" t="s">
        <v>19</v>
      </c>
      <c r="AP41" s="5" t="s">
        <v>20</v>
      </c>
      <c r="AQ41" s="5" t="s">
        <v>20</v>
      </c>
      <c r="AR41" s="5" t="s">
        <v>20</v>
      </c>
      <c r="AS41" s="16"/>
      <c r="AT41" s="16"/>
      <c r="AU41" s="24">
        <f t="shared" si="0"/>
        <v>28</v>
      </c>
      <c r="AV41" s="24">
        <f t="shared" si="1"/>
        <v>12</v>
      </c>
      <c r="AW41" s="24">
        <f t="shared" si="2"/>
        <v>40</v>
      </c>
      <c r="AX41" s="28">
        <f t="shared" si="3"/>
        <v>70</v>
      </c>
      <c r="AY41" s="3"/>
      <c r="AZ41" s="3"/>
      <c r="BA41" s="3"/>
    </row>
    <row r="42" spans="1:53">
      <c r="A42" s="14">
        <v>33</v>
      </c>
      <c r="B42" s="12" t="s">
        <v>84</v>
      </c>
      <c r="C42" s="13" t="s">
        <v>85</v>
      </c>
      <c r="D42" s="5" t="s">
        <v>19</v>
      </c>
      <c r="E42" s="5" t="s">
        <v>19</v>
      </c>
      <c r="F42" s="5" t="s">
        <v>19</v>
      </c>
      <c r="G42" s="5" t="s">
        <v>20</v>
      </c>
      <c r="H42" s="5" t="s">
        <v>20</v>
      </c>
      <c r="I42" s="5" t="s">
        <v>20</v>
      </c>
      <c r="J42" s="5" t="s">
        <v>20</v>
      </c>
      <c r="K42" s="5" t="s">
        <v>19</v>
      </c>
      <c r="L42" s="5" t="s">
        <v>19</v>
      </c>
      <c r="M42" s="5" t="s">
        <v>19</v>
      </c>
      <c r="N42" s="5" t="s">
        <v>20</v>
      </c>
      <c r="O42" s="5" t="s">
        <v>19</v>
      </c>
      <c r="P42" s="5" t="s">
        <v>20</v>
      </c>
      <c r="Q42" s="5" t="s">
        <v>20</v>
      </c>
      <c r="R42" s="5" t="s">
        <v>20</v>
      </c>
      <c r="S42" s="5" t="s">
        <v>20</v>
      </c>
      <c r="T42" s="5" t="s">
        <v>20</v>
      </c>
      <c r="U42" s="5" t="s">
        <v>19</v>
      </c>
      <c r="V42" s="5" t="s">
        <v>20</v>
      </c>
      <c r="W42" s="5" t="s">
        <v>19</v>
      </c>
      <c r="X42" s="5" t="s">
        <v>20</v>
      </c>
      <c r="Y42" s="5" t="s">
        <v>20</v>
      </c>
      <c r="Z42" s="5" t="s">
        <v>20</v>
      </c>
      <c r="AA42" s="20"/>
      <c r="AB42" s="5" t="s">
        <v>19</v>
      </c>
      <c r="AC42" s="5" t="s">
        <v>19</v>
      </c>
      <c r="AD42" s="5" t="s">
        <v>20</v>
      </c>
      <c r="AE42" s="5" t="s">
        <v>20</v>
      </c>
      <c r="AF42" s="5" t="s">
        <v>20</v>
      </c>
      <c r="AG42" s="5" t="s">
        <v>19</v>
      </c>
      <c r="AH42" s="5" t="s">
        <v>19</v>
      </c>
      <c r="AI42" s="5" t="s">
        <v>19</v>
      </c>
      <c r="AJ42" s="5" t="s">
        <v>19</v>
      </c>
      <c r="AK42" s="5" t="s">
        <v>20</v>
      </c>
      <c r="AL42" s="5" t="s">
        <v>20</v>
      </c>
      <c r="AM42" s="5" t="s">
        <v>20</v>
      </c>
      <c r="AN42" s="5" t="s">
        <v>20</v>
      </c>
      <c r="AO42" s="5" t="s">
        <v>20</v>
      </c>
      <c r="AP42" s="5" t="s">
        <v>19</v>
      </c>
      <c r="AQ42" s="5" t="s">
        <v>20</v>
      </c>
      <c r="AR42" s="5" t="s">
        <v>20</v>
      </c>
      <c r="AS42" s="16"/>
      <c r="AT42" s="16"/>
      <c r="AU42" s="24">
        <f t="shared" si="0"/>
        <v>24</v>
      </c>
      <c r="AV42" s="24">
        <f t="shared" si="1"/>
        <v>16</v>
      </c>
      <c r="AW42" s="24">
        <f t="shared" si="2"/>
        <v>40</v>
      </c>
      <c r="AX42" s="28">
        <f t="shared" si="3"/>
        <v>60</v>
      </c>
      <c r="AY42" s="3"/>
      <c r="AZ42" s="3"/>
      <c r="BA42" s="3"/>
    </row>
    <row r="43" spans="1:53">
      <c r="A43" s="11">
        <v>34</v>
      </c>
      <c r="B43" s="12" t="s">
        <v>86</v>
      </c>
      <c r="C43" s="13" t="s">
        <v>87</v>
      </c>
      <c r="D43" s="5" t="s">
        <v>20</v>
      </c>
      <c r="E43" s="5" t="s">
        <v>20</v>
      </c>
      <c r="F43" s="5" t="s">
        <v>19</v>
      </c>
      <c r="G43" s="5" t="s">
        <v>19</v>
      </c>
      <c r="H43" s="5" t="s">
        <v>20</v>
      </c>
      <c r="I43" s="5" t="s">
        <v>19</v>
      </c>
      <c r="J43" s="5" t="s">
        <v>20</v>
      </c>
      <c r="K43" s="5" t="s">
        <v>19</v>
      </c>
      <c r="L43" s="5" t="s">
        <v>20</v>
      </c>
      <c r="M43" s="5" t="s">
        <v>20</v>
      </c>
      <c r="N43" s="5" t="s">
        <v>20</v>
      </c>
      <c r="O43" s="5" t="s">
        <v>19</v>
      </c>
      <c r="P43" s="5" t="s">
        <v>19</v>
      </c>
      <c r="Q43" s="5" t="s">
        <v>19</v>
      </c>
      <c r="R43" s="5" t="s">
        <v>20</v>
      </c>
      <c r="S43" s="5" t="s">
        <v>20</v>
      </c>
      <c r="T43" s="5" t="s">
        <v>20</v>
      </c>
      <c r="U43" s="5" t="s">
        <v>20</v>
      </c>
      <c r="V43" s="5" t="s">
        <v>19</v>
      </c>
      <c r="W43" s="5" t="s">
        <v>19</v>
      </c>
      <c r="X43" s="5" t="s">
        <v>20</v>
      </c>
      <c r="Y43" s="5" t="s">
        <v>19</v>
      </c>
      <c r="Z43" s="5" t="s">
        <v>20</v>
      </c>
      <c r="AA43" s="20"/>
      <c r="AB43" s="5" t="s">
        <v>19</v>
      </c>
      <c r="AC43" s="5" t="s">
        <v>20</v>
      </c>
      <c r="AD43" s="5" t="s">
        <v>20</v>
      </c>
      <c r="AE43" s="5" t="s">
        <v>20</v>
      </c>
      <c r="AF43" s="5" t="s">
        <v>20</v>
      </c>
      <c r="AG43" s="5" t="s">
        <v>19</v>
      </c>
      <c r="AH43" s="5" t="s">
        <v>19</v>
      </c>
      <c r="AI43" s="5" t="s">
        <v>19</v>
      </c>
      <c r="AJ43" s="5" t="s">
        <v>19</v>
      </c>
      <c r="AK43" s="5" t="s">
        <v>20</v>
      </c>
      <c r="AL43" s="5" t="s">
        <v>20</v>
      </c>
      <c r="AM43" s="5" t="s">
        <v>20</v>
      </c>
      <c r="AN43" s="5" t="s">
        <v>20</v>
      </c>
      <c r="AO43" s="5" t="s">
        <v>20</v>
      </c>
      <c r="AP43" s="5" t="s">
        <v>19</v>
      </c>
      <c r="AQ43" s="5" t="s">
        <v>19</v>
      </c>
      <c r="AR43" s="5" t="s">
        <v>20</v>
      </c>
      <c r="AS43" s="16"/>
      <c r="AT43" s="16"/>
      <c r="AU43" s="24">
        <f t="shared" si="0"/>
        <v>23</v>
      </c>
      <c r="AV43" s="24">
        <f t="shared" si="1"/>
        <v>17</v>
      </c>
      <c r="AW43" s="24">
        <f t="shared" si="2"/>
        <v>40</v>
      </c>
      <c r="AX43" s="28">
        <f t="shared" si="3"/>
        <v>57.5</v>
      </c>
      <c r="AY43" s="3"/>
      <c r="AZ43" s="3"/>
      <c r="BA43" s="3"/>
    </row>
    <row r="44" spans="1:53">
      <c r="A44" s="14">
        <v>35</v>
      </c>
      <c r="B44" s="12" t="s">
        <v>88</v>
      </c>
      <c r="C44" s="13" t="s">
        <v>89</v>
      </c>
      <c r="D44" s="5" t="s">
        <v>20</v>
      </c>
      <c r="E44" s="5" t="s">
        <v>20</v>
      </c>
      <c r="F44" s="5" t="s">
        <v>19</v>
      </c>
      <c r="G44" s="5" t="s">
        <v>19</v>
      </c>
      <c r="H44" s="5" t="s">
        <v>20</v>
      </c>
      <c r="I44" s="5" t="s">
        <v>20</v>
      </c>
      <c r="J44" s="5" t="s">
        <v>19</v>
      </c>
      <c r="K44" s="5" t="s">
        <v>20</v>
      </c>
      <c r="L44" s="5" t="s">
        <v>20</v>
      </c>
      <c r="M44" s="5" t="s">
        <v>20</v>
      </c>
      <c r="N44" s="5" t="s">
        <v>20</v>
      </c>
      <c r="O44" s="5" t="s">
        <v>20</v>
      </c>
      <c r="P44" s="5" t="s">
        <v>19</v>
      </c>
      <c r="Q44" s="5" t="s">
        <v>20</v>
      </c>
      <c r="R44" s="5" t="s">
        <v>20</v>
      </c>
      <c r="S44" s="5" t="s">
        <v>20</v>
      </c>
      <c r="T44" s="5" t="s">
        <v>20</v>
      </c>
      <c r="U44" s="5" t="s">
        <v>20</v>
      </c>
      <c r="V44" s="5" t="s">
        <v>20</v>
      </c>
      <c r="W44" s="5" t="s">
        <v>20</v>
      </c>
      <c r="X44" s="5" t="s">
        <v>20</v>
      </c>
      <c r="Y44" s="5" t="s">
        <v>20</v>
      </c>
      <c r="Z44" s="5" t="s">
        <v>20</v>
      </c>
      <c r="AA44" s="20"/>
      <c r="AB44" s="5" t="s">
        <v>19</v>
      </c>
      <c r="AC44" s="5" t="s">
        <v>20</v>
      </c>
      <c r="AD44" s="5" t="s">
        <v>20</v>
      </c>
      <c r="AE44" s="5" t="s">
        <v>19</v>
      </c>
      <c r="AF44" s="5" t="s">
        <v>20</v>
      </c>
      <c r="AG44" s="5" t="s">
        <v>20</v>
      </c>
      <c r="AH44" s="5" t="s">
        <v>19</v>
      </c>
      <c r="AI44" s="5" t="s">
        <v>20</v>
      </c>
      <c r="AJ44" s="5" t="s">
        <v>20</v>
      </c>
      <c r="AK44" s="5" t="s">
        <v>20</v>
      </c>
      <c r="AL44" s="5" t="s">
        <v>20</v>
      </c>
      <c r="AM44" s="5" t="s">
        <v>20</v>
      </c>
      <c r="AN44" s="5" t="s">
        <v>20</v>
      </c>
      <c r="AO44" s="5" t="s">
        <v>19</v>
      </c>
      <c r="AP44" s="5" t="s">
        <v>20</v>
      </c>
      <c r="AQ44" s="5" t="s">
        <v>19</v>
      </c>
      <c r="AR44" s="5" t="s">
        <v>20</v>
      </c>
      <c r="AS44" s="16"/>
      <c r="AT44" s="16"/>
      <c r="AU44" s="24">
        <f t="shared" si="0"/>
        <v>31</v>
      </c>
      <c r="AV44" s="24">
        <f t="shared" si="1"/>
        <v>9</v>
      </c>
      <c r="AW44" s="24">
        <f t="shared" si="2"/>
        <v>40</v>
      </c>
      <c r="AX44" s="28">
        <f t="shared" si="3"/>
        <v>77.5</v>
      </c>
      <c r="AY44" s="3"/>
      <c r="AZ44" s="3"/>
      <c r="BA44" s="3"/>
    </row>
    <row r="45" spans="1:53">
      <c r="A45" s="14">
        <v>36</v>
      </c>
      <c r="B45" s="12" t="s">
        <v>90</v>
      </c>
      <c r="C45" s="13" t="s">
        <v>91</v>
      </c>
      <c r="D45" s="5" t="s">
        <v>20</v>
      </c>
      <c r="E45" s="5" t="s">
        <v>20</v>
      </c>
      <c r="F45" s="5" t="s">
        <v>19</v>
      </c>
      <c r="G45" s="5" t="s">
        <v>19</v>
      </c>
      <c r="H45" s="5" t="s">
        <v>20</v>
      </c>
      <c r="I45" s="5" t="s">
        <v>20</v>
      </c>
      <c r="J45" s="5" t="s">
        <v>20</v>
      </c>
      <c r="K45" s="5" t="s">
        <v>20</v>
      </c>
      <c r="L45" s="5" t="s">
        <v>20</v>
      </c>
      <c r="M45" s="5" t="s">
        <v>19</v>
      </c>
      <c r="N45" s="5" t="s">
        <v>20</v>
      </c>
      <c r="O45" s="5" t="s">
        <v>20</v>
      </c>
      <c r="P45" s="5" t="s">
        <v>20</v>
      </c>
      <c r="Q45" s="5" t="s">
        <v>20</v>
      </c>
      <c r="R45" s="5" t="s">
        <v>20</v>
      </c>
      <c r="S45" s="5" t="s">
        <v>20</v>
      </c>
      <c r="T45" s="5" t="s">
        <v>20</v>
      </c>
      <c r="U45" s="5" t="s">
        <v>20</v>
      </c>
      <c r="V45" s="5" t="s">
        <v>20</v>
      </c>
      <c r="W45" s="5" t="s">
        <v>20</v>
      </c>
      <c r="X45" s="5" t="s">
        <v>20</v>
      </c>
      <c r="Y45" s="5" t="s">
        <v>20</v>
      </c>
      <c r="Z45" s="5" t="s">
        <v>20</v>
      </c>
      <c r="AA45" s="20"/>
      <c r="AB45" s="5" t="s">
        <v>20</v>
      </c>
      <c r="AC45" s="5" t="s">
        <v>20</v>
      </c>
      <c r="AD45" s="5" t="s">
        <v>19</v>
      </c>
      <c r="AE45" s="5" t="s">
        <v>20</v>
      </c>
      <c r="AF45" s="5" t="s">
        <v>19</v>
      </c>
      <c r="AG45" s="5" t="s">
        <v>19</v>
      </c>
      <c r="AH45" s="5" t="s">
        <v>20</v>
      </c>
      <c r="AI45" s="5" t="s">
        <v>20</v>
      </c>
      <c r="AJ45" s="5" t="s">
        <v>20</v>
      </c>
      <c r="AK45" s="5" t="s">
        <v>20</v>
      </c>
      <c r="AL45" s="5" t="s">
        <v>20</v>
      </c>
      <c r="AM45" s="5" t="s">
        <v>20</v>
      </c>
      <c r="AN45" s="5" t="s">
        <v>20</v>
      </c>
      <c r="AO45" s="5" t="s">
        <v>20</v>
      </c>
      <c r="AP45" s="5" t="s">
        <v>20</v>
      </c>
      <c r="AQ45" s="5" t="s">
        <v>20</v>
      </c>
      <c r="AR45" s="5" t="s">
        <v>20</v>
      </c>
      <c r="AS45" s="16"/>
      <c r="AT45" s="16"/>
      <c r="AU45" s="24">
        <f t="shared" si="0"/>
        <v>34</v>
      </c>
      <c r="AV45" s="24">
        <f t="shared" si="1"/>
        <v>6</v>
      </c>
      <c r="AW45" s="24">
        <f t="shared" si="2"/>
        <v>40</v>
      </c>
      <c r="AX45" s="28">
        <f t="shared" si="3"/>
        <v>85</v>
      </c>
      <c r="AY45" s="3"/>
      <c r="AZ45" s="3"/>
      <c r="BA45" s="3"/>
    </row>
    <row r="46" spans="1:53">
      <c r="A46" s="14">
        <v>37</v>
      </c>
      <c r="B46" s="12" t="s">
        <v>92</v>
      </c>
      <c r="C46" s="13" t="s">
        <v>93</v>
      </c>
      <c r="D46" s="5" t="s">
        <v>19</v>
      </c>
      <c r="E46" s="5" t="s">
        <v>19</v>
      </c>
      <c r="F46" s="5" t="s">
        <v>19</v>
      </c>
      <c r="G46" s="5" t="s">
        <v>19</v>
      </c>
      <c r="H46" s="5" t="s">
        <v>20</v>
      </c>
      <c r="I46" s="5" t="s">
        <v>20</v>
      </c>
      <c r="J46" s="5" t="s">
        <v>19</v>
      </c>
      <c r="K46" s="5" t="s">
        <v>20</v>
      </c>
      <c r="L46" s="5" t="s">
        <v>20</v>
      </c>
      <c r="M46" s="5" t="s">
        <v>20</v>
      </c>
      <c r="N46" s="5" t="s">
        <v>20</v>
      </c>
      <c r="O46" s="5" t="s">
        <v>19</v>
      </c>
      <c r="P46" s="5" t="s">
        <v>20</v>
      </c>
      <c r="Q46" s="5" t="s">
        <v>20</v>
      </c>
      <c r="R46" s="5" t="s">
        <v>20</v>
      </c>
      <c r="S46" s="5" t="s">
        <v>19</v>
      </c>
      <c r="T46" s="5" t="s">
        <v>20</v>
      </c>
      <c r="U46" s="5" t="s">
        <v>20</v>
      </c>
      <c r="V46" s="5" t="s">
        <v>20</v>
      </c>
      <c r="W46" s="5" t="s">
        <v>20</v>
      </c>
      <c r="X46" s="5" t="s">
        <v>20</v>
      </c>
      <c r="Y46" s="5" t="s">
        <v>20</v>
      </c>
      <c r="Z46" s="5" t="s">
        <v>20</v>
      </c>
      <c r="AA46" s="20"/>
      <c r="AB46" s="5" t="s">
        <v>20</v>
      </c>
      <c r="AC46" s="5" t="s">
        <v>20</v>
      </c>
      <c r="AD46" s="5" t="s">
        <v>20</v>
      </c>
      <c r="AE46" s="5" t="s">
        <v>20</v>
      </c>
      <c r="AF46" s="5" t="s">
        <v>19</v>
      </c>
      <c r="AG46" s="5" t="s">
        <v>19</v>
      </c>
      <c r="AH46" s="5" t="s">
        <v>19</v>
      </c>
      <c r="AI46" s="5" t="s">
        <v>20</v>
      </c>
      <c r="AJ46" s="5" t="s">
        <v>19</v>
      </c>
      <c r="AK46" s="5" t="s">
        <v>19</v>
      </c>
      <c r="AL46" s="5" t="s">
        <v>20</v>
      </c>
      <c r="AM46" s="5" t="s">
        <v>20</v>
      </c>
      <c r="AN46" s="5" t="s">
        <v>20</v>
      </c>
      <c r="AO46" s="5" t="s">
        <v>19</v>
      </c>
      <c r="AP46" s="5" t="s">
        <v>20</v>
      </c>
      <c r="AQ46" s="5" t="s">
        <v>19</v>
      </c>
      <c r="AR46" s="5" t="s">
        <v>20</v>
      </c>
      <c r="AS46" s="16"/>
      <c r="AT46" s="16"/>
      <c r="AU46" s="24">
        <f t="shared" si="0"/>
        <v>26</v>
      </c>
      <c r="AV46" s="24">
        <f t="shared" si="1"/>
        <v>14</v>
      </c>
      <c r="AW46" s="24">
        <f t="shared" si="2"/>
        <v>40</v>
      </c>
      <c r="AX46" s="28">
        <f t="shared" si="3"/>
        <v>65</v>
      </c>
      <c r="AY46" s="3"/>
      <c r="AZ46" s="3"/>
      <c r="BA46" s="3"/>
    </row>
    <row r="47" spans="1:53">
      <c r="A47" s="14">
        <v>38</v>
      </c>
      <c r="B47" s="12" t="s">
        <v>94</v>
      </c>
      <c r="C47" s="13" t="s">
        <v>95</v>
      </c>
      <c r="D47" s="5" t="s">
        <v>20</v>
      </c>
      <c r="E47" s="5" t="s">
        <v>20</v>
      </c>
      <c r="F47" s="5" t="s">
        <v>19</v>
      </c>
      <c r="G47" s="5" t="s">
        <v>20</v>
      </c>
      <c r="H47" s="5" t="s">
        <v>19</v>
      </c>
      <c r="I47" s="5" t="s">
        <v>19</v>
      </c>
      <c r="J47" s="5" t="s">
        <v>20</v>
      </c>
      <c r="K47" s="5" t="s">
        <v>20</v>
      </c>
      <c r="L47" s="5" t="s">
        <v>20</v>
      </c>
      <c r="M47" s="5" t="s">
        <v>20</v>
      </c>
      <c r="N47" s="5" t="s">
        <v>20</v>
      </c>
      <c r="O47" s="5" t="s">
        <v>20</v>
      </c>
      <c r="P47" s="5" t="s">
        <v>20</v>
      </c>
      <c r="Q47" s="5" t="s">
        <v>20</v>
      </c>
      <c r="R47" s="5" t="s">
        <v>20</v>
      </c>
      <c r="S47" s="5" t="s">
        <v>19</v>
      </c>
      <c r="T47" s="5" t="s">
        <v>20</v>
      </c>
      <c r="U47" s="5" t="s">
        <v>20</v>
      </c>
      <c r="V47" s="5" t="s">
        <v>20</v>
      </c>
      <c r="W47" s="5" t="s">
        <v>20</v>
      </c>
      <c r="X47" s="5" t="s">
        <v>20</v>
      </c>
      <c r="Y47" s="5" t="s">
        <v>19</v>
      </c>
      <c r="Z47" s="5" t="s">
        <v>20</v>
      </c>
      <c r="AA47" s="20"/>
      <c r="AB47" s="5" t="s">
        <v>20</v>
      </c>
      <c r="AC47" s="5" t="s">
        <v>20</v>
      </c>
      <c r="AD47" s="5" t="s">
        <v>20</v>
      </c>
      <c r="AE47" s="5" t="s">
        <v>20</v>
      </c>
      <c r="AF47" s="5" t="s">
        <v>19</v>
      </c>
      <c r="AG47" s="5" t="s">
        <v>19</v>
      </c>
      <c r="AH47" s="5" t="s">
        <v>20</v>
      </c>
      <c r="AI47" s="5" t="s">
        <v>20</v>
      </c>
      <c r="AJ47" s="5" t="s">
        <v>20</v>
      </c>
      <c r="AK47" s="5" t="s">
        <v>20</v>
      </c>
      <c r="AL47" s="5" t="s">
        <v>20</v>
      </c>
      <c r="AM47" s="5" t="s">
        <v>19</v>
      </c>
      <c r="AN47" s="5" t="s">
        <v>20</v>
      </c>
      <c r="AO47" s="5" t="s">
        <v>19</v>
      </c>
      <c r="AP47" s="5" t="s">
        <v>19</v>
      </c>
      <c r="AQ47" s="5" t="s">
        <v>20</v>
      </c>
      <c r="AR47" s="5" t="s">
        <v>20</v>
      </c>
      <c r="AS47" s="16"/>
      <c r="AT47" s="16"/>
      <c r="AU47" s="24">
        <f t="shared" si="0"/>
        <v>30</v>
      </c>
      <c r="AV47" s="24">
        <f t="shared" si="1"/>
        <v>10</v>
      </c>
      <c r="AW47" s="24">
        <f t="shared" si="2"/>
        <v>40</v>
      </c>
      <c r="AX47" s="28">
        <f t="shared" si="3"/>
        <v>75</v>
      </c>
      <c r="AY47" s="3"/>
      <c r="AZ47" s="3"/>
      <c r="BA47" s="3"/>
    </row>
    <row r="48" spans="1:53">
      <c r="A48" s="11">
        <v>39</v>
      </c>
      <c r="B48" s="12" t="s">
        <v>96</v>
      </c>
      <c r="C48" s="13" t="s">
        <v>97</v>
      </c>
      <c r="D48" s="5" t="s">
        <v>19</v>
      </c>
      <c r="E48" s="5" t="s">
        <v>19</v>
      </c>
      <c r="F48" s="5" t="s">
        <v>19</v>
      </c>
      <c r="G48" s="5" t="s">
        <v>20</v>
      </c>
      <c r="H48" s="5" t="s">
        <v>20</v>
      </c>
      <c r="I48" s="5" t="s">
        <v>20</v>
      </c>
      <c r="J48" s="5" t="s">
        <v>19</v>
      </c>
      <c r="K48" s="5" t="s">
        <v>20</v>
      </c>
      <c r="L48" s="5" t="s">
        <v>20</v>
      </c>
      <c r="M48" s="5" t="s">
        <v>19</v>
      </c>
      <c r="N48" s="5" t="s">
        <v>19</v>
      </c>
      <c r="O48" s="5" t="s">
        <v>20</v>
      </c>
      <c r="P48" s="5" t="s">
        <v>20</v>
      </c>
      <c r="Q48" s="5" t="s">
        <v>20</v>
      </c>
      <c r="R48" s="5" t="s">
        <v>20</v>
      </c>
      <c r="S48" s="5" t="s">
        <v>19</v>
      </c>
      <c r="T48" s="5" t="s">
        <v>20</v>
      </c>
      <c r="U48" s="5" t="s">
        <v>20</v>
      </c>
      <c r="V48" s="5" t="s">
        <v>19</v>
      </c>
      <c r="W48" s="5" t="s">
        <v>19</v>
      </c>
      <c r="X48" s="5" t="s">
        <v>20</v>
      </c>
      <c r="Y48" s="5" t="s">
        <v>20</v>
      </c>
      <c r="Z48" s="5" t="s">
        <v>20</v>
      </c>
      <c r="AA48" s="20"/>
      <c r="AB48" s="5" t="s">
        <v>19</v>
      </c>
      <c r="AC48" s="5" t="s">
        <v>20</v>
      </c>
      <c r="AD48" s="5" t="s">
        <v>20</v>
      </c>
      <c r="AE48" s="5" t="s">
        <v>20</v>
      </c>
      <c r="AF48" s="5" t="s">
        <v>19</v>
      </c>
      <c r="AG48" s="5" t="s">
        <v>19</v>
      </c>
      <c r="AH48" s="5" t="s">
        <v>20</v>
      </c>
      <c r="AI48" s="5" t="s">
        <v>20</v>
      </c>
      <c r="AJ48" s="5" t="s">
        <v>20</v>
      </c>
      <c r="AK48" s="5" t="s">
        <v>20</v>
      </c>
      <c r="AL48" s="5" t="s">
        <v>20</v>
      </c>
      <c r="AM48" s="5" t="s">
        <v>20</v>
      </c>
      <c r="AN48" s="5" t="s">
        <v>20</v>
      </c>
      <c r="AO48" s="5" t="s">
        <v>20</v>
      </c>
      <c r="AP48" s="5" t="s">
        <v>20</v>
      </c>
      <c r="AQ48" s="5" t="s">
        <v>19</v>
      </c>
      <c r="AR48" s="5" t="s">
        <v>20</v>
      </c>
      <c r="AS48" s="16"/>
      <c r="AT48" s="16"/>
      <c r="AU48" s="24">
        <f t="shared" si="0"/>
        <v>27</v>
      </c>
      <c r="AV48" s="24">
        <f t="shared" si="1"/>
        <v>13</v>
      </c>
      <c r="AW48" s="24">
        <f t="shared" si="2"/>
        <v>40</v>
      </c>
      <c r="AX48" s="28">
        <f t="shared" si="3"/>
        <v>67.5</v>
      </c>
      <c r="AY48" s="3"/>
      <c r="AZ48" s="3"/>
      <c r="BA48" s="3"/>
    </row>
    <row r="49" spans="1:53">
      <c r="A49" s="14">
        <v>40</v>
      </c>
      <c r="B49" s="12" t="s">
        <v>98</v>
      </c>
      <c r="C49" s="13" t="s">
        <v>99</v>
      </c>
      <c r="D49" s="5" t="s">
        <v>19</v>
      </c>
      <c r="E49" s="5" t="s">
        <v>19</v>
      </c>
      <c r="F49" s="5" t="s">
        <v>19</v>
      </c>
      <c r="G49" s="5" t="s">
        <v>20</v>
      </c>
      <c r="H49" s="5" t="s">
        <v>20</v>
      </c>
      <c r="I49" s="5" t="s">
        <v>20</v>
      </c>
      <c r="J49" s="5" t="s">
        <v>19</v>
      </c>
      <c r="K49" s="5" t="s">
        <v>20</v>
      </c>
      <c r="L49" s="5" t="s">
        <v>20</v>
      </c>
      <c r="M49" s="5" t="s">
        <v>19</v>
      </c>
      <c r="N49" s="5" t="s">
        <v>19</v>
      </c>
      <c r="O49" s="5" t="s">
        <v>20</v>
      </c>
      <c r="P49" s="5" t="s">
        <v>20</v>
      </c>
      <c r="Q49" s="5" t="s">
        <v>20</v>
      </c>
      <c r="R49" s="5" t="s">
        <v>20</v>
      </c>
      <c r="S49" s="5" t="s">
        <v>19</v>
      </c>
      <c r="T49" s="5" t="s">
        <v>20</v>
      </c>
      <c r="U49" s="5" t="s">
        <v>19</v>
      </c>
      <c r="V49" s="5" t="s">
        <v>20</v>
      </c>
      <c r="W49" s="5" t="s">
        <v>19</v>
      </c>
      <c r="X49" s="5" t="s">
        <v>20</v>
      </c>
      <c r="Y49" s="5" t="s">
        <v>19</v>
      </c>
      <c r="Z49" s="5" t="s">
        <v>20</v>
      </c>
      <c r="AA49" s="20"/>
      <c r="AB49" s="5" t="s">
        <v>20</v>
      </c>
      <c r="AC49" s="5" t="s">
        <v>20</v>
      </c>
      <c r="AD49" s="5" t="s">
        <v>20</v>
      </c>
      <c r="AE49" s="5" t="s">
        <v>20</v>
      </c>
      <c r="AF49" s="5" t="s">
        <v>19</v>
      </c>
      <c r="AG49" s="5" t="s">
        <v>19</v>
      </c>
      <c r="AH49" s="5" t="s">
        <v>20</v>
      </c>
      <c r="AI49" s="5" t="s">
        <v>20</v>
      </c>
      <c r="AJ49" s="5" t="s">
        <v>20</v>
      </c>
      <c r="AK49" s="5" t="s">
        <v>20</v>
      </c>
      <c r="AL49" s="5" t="s">
        <v>20</v>
      </c>
      <c r="AM49" s="5" t="s">
        <v>20</v>
      </c>
      <c r="AN49" s="5" t="s">
        <v>20</v>
      </c>
      <c r="AO49" s="5" t="s">
        <v>20</v>
      </c>
      <c r="AP49" s="5" t="s">
        <v>20</v>
      </c>
      <c r="AQ49" s="5" t="s">
        <v>19</v>
      </c>
      <c r="AR49" s="5" t="s">
        <v>20</v>
      </c>
      <c r="AS49" s="16"/>
      <c r="AT49" s="16"/>
      <c r="AU49" s="24">
        <f t="shared" si="0"/>
        <v>27</v>
      </c>
      <c r="AV49" s="24">
        <f t="shared" si="1"/>
        <v>13</v>
      </c>
      <c r="AW49" s="24">
        <f t="shared" si="2"/>
        <v>40</v>
      </c>
      <c r="AX49" s="28">
        <f t="shared" si="3"/>
        <v>67.5</v>
      </c>
      <c r="AY49" s="3"/>
      <c r="AZ49" s="3"/>
      <c r="BA49" s="3"/>
    </row>
    <row r="50" spans="1:53">
      <c r="A50" s="14">
        <v>41</v>
      </c>
      <c r="B50" s="12" t="s">
        <v>100</v>
      </c>
      <c r="C50" s="13" t="s">
        <v>101</v>
      </c>
      <c r="D50" s="5" t="s">
        <v>19</v>
      </c>
      <c r="E50" s="5" t="s">
        <v>19</v>
      </c>
      <c r="F50" s="5" t="s">
        <v>19</v>
      </c>
      <c r="G50" s="5" t="s">
        <v>19</v>
      </c>
      <c r="H50" s="5" t="s">
        <v>20</v>
      </c>
      <c r="I50" s="5" t="s">
        <v>20</v>
      </c>
      <c r="J50" s="5" t="s">
        <v>19</v>
      </c>
      <c r="K50" s="5" t="s">
        <v>20</v>
      </c>
      <c r="L50" s="5" t="s">
        <v>20</v>
      </c>
      <c r="M50" s="5" t="s">
        <v>19</v>
      </c>
      <c r="N50" s="5" t="s">
        <v>20</v>
      </c>
      <c r="O50" s="5" t="s">
        <v>20</v>
      </c>
      <c r="P50" s="5" t="s">
        <v>20</v>
      </c>
      <c r="Q50" s="5" t="s">
        <v>20</v>
      </c>
      <c r="R50" s="5" t="s">
        <v>20</v>
      </c>
      <c r="S50" s="5" t="s">
        <v>19</v>
      </c>
      <c r="T50" s="5" t="s">
        <v>20</v>
      </c>
      <c r="U50" s="5" t="s">
        <v>20</v>
      </c>
      <c r="V50" s="5" t="s">
        <v>19</v>
      </c>
      <c r="W50" s="5" t="s">
        <v>20</v>
      </c>
      <c r="X50" s="5" t="s">
        <v>20</v>
      </c>
      <c r="Y50" s="5" t="s">
        <v>19</v>
      </c>
      <c r="Z50" s="5" t="s">
        <v>19</v>
      </c>
      <c r="AA50" s="20"/>
      <c r="AB50" s="5" t="s">
        <v>20</v>
      </c>
      <c r="AC50" s="5" t="s">
        <v>20</v>
      </c>
      <c r="AD50" s="5" t="s">
        <v>20</v>
      </c>
      <c r="AE50" s="5" t="s">
        <v>19</v>
      </c>
      <c r="AF50" s="5" t="s">
        <v>20</v>
      </c>
      <c r="AG50" s="5" t="s">
        <v>19</v>
      </c>
      <c r="AH50" s="5" t="s">
        <v>20</v>
      </c>
      <c r="AI50" s="5" t="s">
        <v>20</v>
      </c>
      <c r="AJ50" s="5" t="s">
        <v>20</v>
      </c>
      <c r="AK50" s="5" t="s">
        <v>20</v>
      </c>
      <c r="AL50" s="5" t="s">
        <v>20</v>
      </c>
      <c r="AM50" s="5" t="s">
        <v>20</v>
      </c>
      <c r="AN50" s="5" t="s">
        <v>19</v>
      </c>
      <c r="AO50" s="5" t="s">
        <v>20</v>
      </c>
      <c r="AP50" s="5" t="s">
        <v>19</v>
      </c>
      <c r="AQ50" s="5" t="s">
        <v>19</v>
      </c>
      <c r="AR50" s="5" t="s">
        <v>20</v>
      </c>
      <c r="AS50" s="16"/>
      <c r="AT50" s="16"/>
      <c r="AU50" s="24">
        <f t="shared" si="0"/>
        <v>25</v>
      </c>
      <c r="AV50" s="24">
        <f t="shared" si="1"/>
        <v>15</v>
      </c>
      <c r="AW50" s="24">
        <f t="shared" si="2"/>
        <v>40</v>
      </c>
      <c r="AX50" s="28">
        <f t="shared" si="3"/>
        <v>62.5</v>
      </c>
      <c r="AY50" s="3"/>
      <c r="AZ50" s="3"/>
      <c r="BA50" s="3"/>
    </row>
    <row r="51" spans="1:53">
      <c r="A51" s="14">
        <v>42</v>
      </c>
      <c r="B51" s="12" t="s">
        <v>102</v>
      </c>
      <c r="C51" s="13" t="s">
        <v>103</v>
      </c>
      <c r="D51" s="5" t="s">
        <v>19</v>
      </c>
      <c r="E51" s="5" t="s">
        <v>19</v>
      </c>
      <c r="F51" s="5" t="s">
        <v>19</v>
      </c>
      <c r="G51" s="5" t="s">
        <v>19</v>
      </c>
      <c r="H51" s="5" t="s">
        <v>20</v>
      </c>
      <c r="I51" s="5" t="s">
        <v>20</v>
      </c>
      <c r="J51" s="5" t="s">
        <v>20</v>
      </c>
      <c r="K51" s="5" t="s">
        <v>19</v>
      </c>
      <c r="L51" s="5" t="s">
        <v>19</v>
      </c>
      <c r="M51" s="5" t="s">
        <v>19</v>
      </c>
      <c r="N51" s="5" t="s">
        <v>20</v>
      </c>
      <c r="O51" s="5" t="s">
        <v>20</v>
      </c>
      <c r="P51" s="5" t="s">
        <v>19</v>
      </c>
      <c r="Q51" s="5" t="s">
        <v>19</v>
      </c>
      <c r="R51" s="5" t="s">
        <v>19</v>
      </c>
      <c r="S51" s="5" t="s">
        <v>19</v>
      </c>
      <c r="T51" s="5" t="s">
        <v>19</v>
      </c>
      <c r="U51" s="5" t="s">
        <v>20</v>
      </c>
      <c r="V51" s="5" t="s">
        <v>20</v>
      </c>
      <c r="W51" s="5" t="s">
        <v>20</v>
      </c>
      <c r="X51" s="5" t="s">
        <v>20</v>
      </c>
      <c r="Y51" s="5" t="s">
        <v>19</v>
      </c>
      <c r="Z51" s="5" t="s">
        <v>20</v>
      </c>
      <c r="AA51" s="20"/>
      <c r="AB51" s="5" t="s">
        <v>19</v>
      </c>
      <c r="AC51" s="5" t="s">
        <v>20</v>
      </c>
      <c r="AD51" s="5" t="s">
        <v>20</v>
      </c>
      <c r="AE51" s="5" t="s">
        <v>19</v>
      </c>
      <c r="AF51" s="5" t="s">
        <v>19</v>
      </c>
      <c r="AG51" s="5" t="s">
        <v>20</v>
      </c>
      <c r="AH51" s="5" t="s">
        <v>20</v>
      </c>
      <c r="AI51" s="5" t="s">
        <v>19</v>
      </c>
      <c r="AJ51" s="5" t="s">
        <v>19</v>
      </c>
      <c r="AK51" s="5" t="s">
        <v>20</v>
      </c>
      <c r="AL51" s="5" t="s">
        <v>20</v>
      </c>
      <c r="AM51" s="5" t="s">
        <v>20</v>
      </c>
      <c r="AN51" s="5" t="s">
        <v>20</v>
      </c>
      <c r="AO51" s="5" t="s">
        <v>19</v>
      </c>
      <c r="AP51" s="5" t="s">
        <v>20</v>
      </c>
      <c r="AQ51" s="5" t="s">
        <v>20</v>
      </c>
      <c r="AR51" s="5" t="s">
        <v>20</v>
      </c>
      <c r="AS51" s="16"/>
      <c r="AT51" s="16"/>
      <c r="AU51" s="24">
        <f t="shared" si="0"/>
        <v>21</v>
      </c>
      <c r="AV51" s="24">
        <f t="shared" si="1"/>
        <v>19</v>
      </c>
      <c r="AW51" s="24">
        <f t="shared" si="2"/>
        <v>40</v>
      </c>
      <c r="AX51" s="28">
        <f t="shared" si="3"/>
        <v>52.5</v>
      </c>
      <c r="AY51" s="3"/>
      <c r="AZ51" s="3"/>
      <c r="BA51" s="3"/>
    </row>
    <row r="52" spans="1:53">
      <c r="A52" s="14">
        <v>43</v>
      </c>
      <c r="B52" s="12" t="s">
        <v>104</v>
      </c>
      <c r="C52" s="13" t="s">
        <v>105</v>
      </c>
      <c r="D52" s="5" t="s">
        <v>20</v>
      </c>
      <c r="E52" s="5" t="s">
        <v>20</v>
      </c>
      <c r="F52" s="5" t="s">
        <v>19</v>
      </c>
      <c r="G52" s="5" t="s">
        <v>19</v>
      </c>
      <c r="H52" s="5" t="s">
        <v>20</v>
      </c>
      <c r="I52" s="5" t="s">
        <v>20</v>
      </c>
      <c r="J52" s="5" t="s">
        <v>19</v>
      </c>
      <c r="K52" s="5" t="s">
        <v>20</v>
      </c>
      <c r="L52" s="5" t="s">
        <v>20</v>
      </c>
      <c r="M52" s="5" t="s">
        <v>20</v>
      </c>
      <c r="N52" s="5" t="s">
        <v>20</v>
      </c>
      <c r="O52" s="5" t="s">
        <v>20</v>
      </c>
      <c r="P52" s="5" t="s">
        <v>20</v>
      </c>
      <c r="Q52" s="5" t="s">
        <v>19</v>
      </c>
      <c r="R52" s="5" t="s">
        <v>20</v>
      </c>
      <c r="S52" s="5" t="s">
        <v>20</v>
      </c>
      <c r="T52" s="5" t="s">
        <v>20</v>
      </c>
      <c r="U52" s="5" t="s">
        <v>20</v>
      </c>
      <c r="V52" s="5" t="s">
        <v>20</v>
      </c>
      <c r="W52" s="5" t="s">
        <v>20</v>
      </c>
      <c r="X52" s="5" t="s">
        <v>20</v>
      </c>
      <c r="Y52" s="5" t="s">
        <v>20</v>
      </c>
      <c r="Z52" s="5" t="s">
        <v>20</v>
      </c>
      <c r="AA52" s="20"/>
      <c r="AB52" s="5" t="s">
        <v>20</v>
      </c>
      <c r="AC52" s="5" t="s">
        <v>19</v>
      </c>
      <c r="AD52" s="5" t="s">
        <v>20</v>
      </c>
      <c r="AE52" s="5" t="s">
        <v>19</v>
      </c>
      <c r="AF52" s="5" t="s">
        <v>19</v>
      </c>
      <c r="AG52" s="5" t="s">
        <v>19</v>
      </c>
      <c r="AH52" s="5" t="s">
        <v>20</v>
      </c>
      <c r="AI52" s="5" t="s">
        <v>20</v>
      </c>
      <c r="AJ52" s="5" t="s">
        <v>20</v>
      </c>
      <c r="AK52" s="5" t="s">
        <v>20</v>
      </c>
      <c r="AL52" s="5" t="s">
        <v>20</v>
      </c>
      <c r="AM52" s="5" t="s">
        <v>20</v>
      </c>
      <c r="AN52" s="5" t="s">
        <v>19</v>
      </c>
      <c r="AO52" s="5" t="s">
        <v>20</v>
      </c>
      <c r="AP52" s="5" t="s">
        <v>19</v>
      </c>
      <c r="AQ52" s="5" t="s">
        <v>20</v>
      </c>
      <c r="AR52" s="5" t="s">
        <v>20</v>
      </c>
      <c r="AS52" s="16"/>
      <c r="AT52" s="16"/>
      <c r="AU52" s="24">
        <f t="shared" si="0"/>
        <v>30</v>
      </c>
      <c r="AV52" s="24">
        <f t="shared" si="1"/>
        <v>10</v>
      </c>
      <c r="AW52" s="24">
        <f t="shared" si="2"/>
        <v>40</v>
      </c>
      <c r="AX52" s="28">
        <f t="shared" si="3"/>
        <v>75</v>
      </c>
      <c r="AY52" s="3"/>
      <c r="AZ52" s="3"/>
      <c r="BA52" s="3"/>
    </row>
    <row r="53" spans="1:53">
      <c r="A53" s="11">
        <v>44</v>
      </c>
      <c r="B53" s="12" t="s">
        <v>106</v>
      </c>
      <c r="C53" s="13" t="s">
        <v>107</v>
      </c>
      <c r="D53" s="5" t="s">
        <v>19</v>
      </c>
      <c r="E53" s="5" t="s">
        <v>19</v>
      </c>
      <c r="F53" s="5" t="s">
        <v>19</v>
      </c>
      <c r="G53" s="5" t="s">
        <v>20</v>
      </c>
      <c r="H53" s="5" t="s">
        <v>19</v>
      </c>
      <c r="I53" s="5" t="s">
        <v>19</v>
      </c>
      <c r="J53" s="5" t="s">
        <v>19</v>
      </c>
      <c r="K53" s="5" t="s">
        <v>20</v>
      </c>
      <c r="L53" s="5" t="s">
        <v>20</v>
      </c>
      <c r="M53" s="5" t="s">
        <v>19</v>
      </c>
      <c r="N53" s="5" t="s">
        <v>19</v>
      </c>
      <c r="O53" s="5" t="s">
        <v>20</v>
      </c>
      <c r="P53" s="5" t="s">
        <v>20</v>
      </c>
      <c r="Q53" s="5" t="s">
        <v>20</v>
      </c>
      <c r="R53" s="5" t="s">
        <v>20</v>
      </c>
      <c r="S53" s="5" t="s">
        <v>20</v>
      </c>
      <c r="T53" s="5" t="s">
        <v>20</v>
      </c>
      <c r="U53" s="5" t="s">
        <v>20</v>
      </c>
      <c r="V53" s="5" t="s">
        <v>20</v>
      </c>
      <c r="W53" s="5" t="s">
        <v>19</v>
      </c>
      <c r="X53" s="5" t="s">
        <v>20</v>
      </c>
      <c r="Y53" s="5" t="s">
        <v>20</v>
      </c>
      <c r="Z53" s="5" t="s">
        <v>20</v>
      </c>
      <c r="AA53" s="20"/>
      <c r="AB53" s="5" t="s">
        <v>20</v>
      </c>
      <c r="AC53" s="5" t="s">
        <v>20</v>
      </c>
      <c r="AD53" s="5" t="s">
        <v>20</v>
      </c>
      <c r="AE53" s="5" t="s">
        <v>20</v>
      </c>
      <c r="AF53" s="5" t="s">
        <v>19</v>
      </c>
      <c r="AG53" s="5" t="s">
        <v>19</v>
      </c>
      <c r="AH53" s="5" t="s">
        <v>20</v>
      </c>
      <c r="AI53" s="5" t="s">
        <v>20</v>
      </c>
      <c r="AJ53" s="5" t="s">
        <v>20</v>
      </c>
      <c r="AK53" s="5" t="s">
        <v>20</v>
      </c>
      <c r="AL53" s="5" t="s">
        <v>20</v>
      </c>
      <c r="AM53" s="5" t="s">
        <v>20</v>
      </c>
      <c r="AN53" s="5" t="s">
        <v>20</v>
      </c>
      <c r="AO53" s="5" t="s">
        <v>20</v>
      </c>
      <c r="AP53" s="5" t="s">
        <v>20</v>
      </c>
      <c r="AQ53" s="5" t="s">
        <v>20</v>
      </c>
      <c r="AR53" s="5" t="s">
        <v>20</v>
      </c>
      <c r="AS53" s="16"/>
      <c r="AT53" s="16"/>
      <c r="AU53" s="24">
        <f t="shared" si="0"/>
        <v>29</v>
      </c>
      <c r="AV53" s="24">
        <f t="shared" si="1"/>
        <v>11</v>
      </c>
      <c r="AW53" s="24">
        <f t="shared" si="2"/>
        <v>40</v>
      </c>
      <c r="AX53" s="28">
        <f t="shared" si="3"/>
        <v>72.5</v>
      </c>
      <c r="AY53" s="3"/>
      <c r="AZ53" s="3"/>
      <c r="BA53" s="3"/>
    </row>
    <row r="54" spans="1:53">
      <c r="A54" s="14">
        <v>45</v>
      </c>
      <c r="B54" s="12" t="s">
        <v>108</v>
      </c>
      <c r="C54" s="13" t="s">
        <v>109</v>
      </c>
      <c r="D54" s="5" t="s">
        <v>19</v>
      </c>
      <c r="E54" s="5" t="s">
        <v>19</v>
      </c>
      <c r="F54" s="5" t="s">
        <v>19</v>
      </c>
      <c r="G54" s="5" t="s">
        <v>19</v>
      </c>
      <c r="H54" s="5" t="s">
        <v>20</v>
      </c>
      <c r="I54" s="5" t="s">
        <v>20</v>
      </c>
      <c r="J54" s="5" t="s">
        <v>19</v>
      </c>
      <c r="K54" s="5" t="s">
        <v>20</v>
      </c>
      <c r="L54" s="5" t="s">
        <v>19</v>
      </c>
      <c r="M54" s="5" t="s">
        <v>19</v>
      </c>
      <c r="N54" s="5" t="s">
        <v>19</v>
      </c>
      <c r="O54" s="5" t="s">
        <v>20</v>
      </c>
      <c r="P54" s="5" t="s">
        <v>19</v>
      </c>
      <c r="Q54" s="5" t="s">
        <v>19</v>
      </c>
      <c r="R54" s="5" t="s">
        <v>19</v>
      </c>
      <c r="S54" s="5" t="s">
        <v>19</v>
      </c>
      <c r="T54" s="5" t="s">
        <v>19</v>
      </c>
      <c r="U54" s="5" t="s">
        <v>20</v>
      </c>
      <c r="V54" s="5" t="s">
        <v>19</v>
      </c>
      <c r="W54" s="5" t="s">
        <v>20</v>
      </c>
      <c r="X54" s="5" t="s">
        <v>20</v>
      </c>
      <c r="Y54" s="5" t="s">
        <v>19</v>
      </c>
      <c r="Z54" s="5" t="s">
        <v>20</v>
      </c>
      <c r="AA54" s="20"/>
      <c r="AB54" s="5" t="s">
        <v>19</v>
      </c>
      <c r="AC54" s="5" t="s">
        <v>19</v>
      </c>
      <c r="AD54" s="5" t="s">
        <v>20</v>
      </c>
      <c r="AE54" s="5" t="s">
        <v>19</v>
      </c>
      <c r="AF54" s="5" t="s">
        <v>19</v>
      </c>
      <c r="AG54" s="5" t="s">
        <v>20</v>
      </c>
      <c r="AH54" s="5" t="s">
        <v>20</v>
      </c>
      <c r="AI54" s="5" t="s">
        <v>20</v>
      </c>
      <c r="AJ54" s="5" t="s">
        <v>20</v>
      </c>
      <c r="AK54" s="5" t="s">
        <v>20</v>
      </c>
      <c r="AL54" s="5" t="s">
        <v>20</v>
      </c>
      <c r="AM54" s="5" t="s">
        <v>20</v>
      </c>
      <c r="AN54" s="5" t="s">
        <v>20</v>
      </c>
      <c r="AO54" s="5" t="s">
        <v>20</v>
      </c>
      <c r="AP54" s="5" t="s">
        <v>20</v>
      </c>
      <c r="AQ54" s="5" t="s">
        <v>20</v>
      </c>
      <c r="AR54" s="5" t="s">
        <v>20</v>
      </c>
      <c r="AS54" s="16"/>
      <c r="AT54" s="16"/>
      <c r="AU54" s="24">
        <f t="shared" si="0"/>
        <v>21</v>
      </c>
      <c r="AV54" s="24">
        <f t="shared" si="1"/>
        <v>19</v>
      </c>
      <c r="AW54" s="24">
        <f t="shared" si="2"/>
        <v>40</v>
      </c>
      <c r="AX54" s="28">
        <f t="shared" si="3"/>
        <v>52.5</v>
      </c>
      <c r="AY54" s="3"/>
      <c r="AZ54" s="3"/>
      <c r="BA54" s="3"/>
    </row>
    <row r="55" spans="1:53">
      <c r="A55" s="14">
        <v>46</v>
      </c>
      <c r="B55" s="12" t="s">
        <v>110</v>
      </c>
      <c r="C55" s="13" t="s">
        <v>111</v>
      </c>
      <c r="D55" s="5" t="s">
        <v>19</v>
      </c>
      <c r="E55" s="5" t="s">
        <v>19</v>
      </c>
      <c r="F55" s="5" t="s">
        <v>19</v>
      </c>
      <c r="G55" s="5" t="s">
        <v>20</v>
      </c>
      <c r="H55" s="5" t="s">
        <v>19</v>
      </c>
      <c r="I55" s="5" t="s">
        <v>19</v>
      </c>
      <c r="J55" s="5" t="s">
        <v>19</v>
      </c>
      <c r="K55" s="5" t="s">
        <v>20</v>
      </c>
      <c r="L55" s="5" t="s">
        <v>20</v>
      </c>
      <c r="M55" s="5" t="s">
        <v>19</v>
      </c>
      <c r="N55" s="5" t="s">
        <v>19</v>
      </c>
      <c r="O55" s="5" t="s">
        <v>20</v>
      </c>
      <c r="P55" s="5" t="s">
        <v>20</v>
      </c>
      <c r="Q55" s="5" t="s">
        <v>19</v>
      </c>
      <c r="R55" s="5" t="s">
        <v>20</v>
      </c>
      <c r="S55" s="5" t="s">
        <v>19</v>
      </c>
      <c r="T55" s="5" t="s">
        <v>20</v>
      </c>
      <c r="U55" s="5" t="s">
        <v>20</v>
      </c>
      <c r="V55" s="5" t="s">
        <v>20</v>
      </c>
      <c r="W55" s="5" t="s">
        <v>19</v>
      </c>
      <c r="X55" s="5" t="s">
        <v>20</v>
      </c>
      <c r="Y55" s="5" t="s">
        <v>20</v>
      </c>
      <c r="Z55" s="5" t="s">
        <v>20</v>
      </c>
      <c r="AA55" s="20"/>
      <c r="AB55" s="5" t="s">
        <v>20</v>
      </c>
      <c r="AC55" s="5" t="s">
        <v>19</v>
      </c>
      <c r="AD55" s="5" t="s">
        <v>20</v>
      </c>
      <c r="AE55" s="5" t="s">
        <v>20</v>
      </c>
      <c r="AF55" s="5" t="s">
        <v>19</v>
      </c>
      <c r="AG55" s="5" t="s">
        <v>20</v>
      </c>
      <c r="AH55" s="5" t="s">
        <v>20</v>
      </c>
      <c r="AI55" s="5" t="s">
        <v>20</v>
      </c>
      <c r="AJ55" s="5" t="s">
        <v>20</v>
      </c>
      <c r="AK55" s="5" t="s">
        <v>20</v>
      </c>
      <c r="AL55" s="5" t="s">
        <v>20</v>
      </c>
      <c r="AM55" s="5" t="s">
        <v>20</v>
      </c>
      <c r="AN55" s="5" t="s">
        <v>20</v>
      </c>
      <c r="AO55" s="5" t="s">
        <v>20</v>
      </c>
      <c r="AP55" s="5" t="s">
        <v>20</v>
      </c>
      <c r="AQ55" s="5" t="s">
        <v>19</v>
      </c>
      <c r="AR55" s="5" t="s">
        <v>20</v>
      </c>
      <c r="AS55" s="16"/>
      <c r="AT55" s="16"/>
      <c r="AU55" s="24">
        <f t="shared" si="0"/>
        <v>26</v>
      </c>
      <c r="AV55" s="24">
        <f t="shared" si="1"/>
        <v>14</v>
      </c>
      <c r="AW55" s="24">
        <f t="shared" si="2"/>
        <v>40</v>
      </c>
      <c r="AX55" s="28">
        <f t="shared" si="3"/>
        <v>65</v>
      </c>
      <c r="AY55" s="3"/>
      <c r="AZ55" s="3"/>
      <c r="BA55" s="3"/>
    </row>
    <row r="56" spans="1:53">
      <c r="A56" s="14">
        <v>47</v>
      </c>
      <c r="B56" s="12" t="s">
        <v>112</v>
      </c>
      <c r="C56" s="13" t="s">
        <v>113</v>
      </c>
      <c r="D56" s="5" t="s">
        <v>19</v>
      </c>
      <c r="E56" s="5" t="s">
        <v>19</v>
      </c>
      <c r="F56" s="5" t="s">
        <v>19</v>
      </c>
      <c r="G56" s="5" t="s">
        <v>19</v>
      </c>
      <c r="H56" s="5" t="s">
        <v>20</v>
      </c>
      <c r="I56" s="5" t="s">
        <v>20</v>
      </c>
      <c r="J56" s="5" t="s">
        <v>19</v>
      </c>
      <c r="K56" s="5" t="s">
        <v>20</v>
      </c>
      <c r="L56" s="5" t="s">
        <v>20</v>
      </c>
      <c r="M56" s="5" t="s">
        <v>20</v>
      </c>
      <c r="N56" s="5" t="s">
        <v>20</v>
      </c>
      <c r="O56" s="5" t="s">
        <v>20</v>
      </c>
      <c r="P56" s="5" t="s">
        <v>20</v>
      </c>
      <c r="Q56" s="5" t="s">
        <v>20</v>
      </c>
      <c r="R56" s="5" t="s">
        <v>20</v>
      </c>
      <c r="S56" s="5" t="s">
        <v>19</v>
      </c>
      <c r="T56" s="5" t="s">
        <v>20</v>
      </c>
      <c r="U56" s="5" t="s">
        <v>20</v>
      </c>
      <c r="V56" s="5" t="s">
        <v>19</v>
      </c>
      <c r="W56" s="5" t="s">
        <v>20</v>
      </c>
      <c r="X56" s="5" t="s">
        <v>20</v>
      </c>
      <c r="Y56" s="5" t="s">
        <v>20</v>
      </c>
      <c r="Z56" s="5" t="s">
        <v>20</v>
      </c>
      <c r="AA56" s="20"/>
      <c r="AB56" s="5" t="s">
        <v>20</v>
      </c>
      <c r="AC56" s="5" t="s">
        <v>20</v>
      </c>
      <c r="AD56" s="5" t="s">
        <v>19</v>
      </c>
      <c r="AE56" s="5" t="s">
        <v>19</v>
      </c>
      <c r="AF56" s="5" t="s">
        <v>19</v>
      </c>
      <c r="AG56" s="5" t="s">
        <v>20</v>
      </c>
      <c r="AH56" s="5" t="s">
        <v>20</v>
      </c>
      <c r="AI56" s="5" t="s">
        <v>20</v>
      </c>
      <c r="AJ56" s="5" t="s">
        <v>20</v>
      </c>
      <c r="AK56" s="5" t="s">
        <v>20</v>
      </c>
      <c r="AL56" s="5" t="s">
        <v>20</v>
      </c>
      <c r="AM56" s="5" t="s">
        <v>19</v>
      </c>
      <c r="AN56" s="5" t="s">
        <v>19</v>
      </c>
      <c r="AO56" s="5" t="s">
        <v>19</v>
      </c>
      <c r="AP56" s="5" t="s">
        <v>19</v>
      </c>
      <c r="AQ56" s="5" t="s">
        <v>19</v>
      </c>
      <c r="AR56" s="5" t="s">
        <v>20</v>
      </c>
      <c r="AS56" s="16"/>
      <c r="AT56" s="16"/>
      <c r="AU56" s="24">
        <f t="shared" si="0"/>
        <v>25</v>
      </c>
      <c r="AV56" s="24">
        <f t="shared" si="1"/>
        <v>15</v>
      </c>
      <c r="AW56" s="24">
        <f t="shared" si="2"/>
        <v>40</v>
      </c>
      <c r="AX56" s="28">
        <f t="shared" si="3"/>
        <v>62.5</v>
      </c>
      <c r="AY56" s="3"/>
      <c r="AZ56" s="3"/>
      <c r="BA56" s="3"/>
    </row>
    <row r="57" spans="1:53">
      <c r="A57" s="14">
        <v>48</v>
      </c>
      <c r="B57" s="12" t="s">
        <v>114</v>
      </c>
      <c r="C57" s="13" t="s">
        <v>115</v>
      </c>
      <c r="D57" s="5" t="s">
        <v>19</v>
      </c>
      <c r="E57" s="5" t="s">
        <v>19</v>
      </c>
      <c r="F57" s="5" t="s">
        <v>19</v>
      </c>
      <c r="G57" s="5" t="s">
        <v>19</v>
      </c>
      <c r="H57" s="5" t="s">
        <v>20</v>
      </c>
      <c r="I57" s="5" t="s">
        <v>20</v>
      </c>
      <c r="J57" s="5" t="s">
        <v>20</v>
      </c>
      <c r="K57" s="5" t="s">
        <v>20</v>
      </c>
      <c r="L57" s="5" t="s">
        <v>19</v>
      </c>
      <c r="M57" s="5" t="s">
        <v>19</v>
      </c>
      <c r="N57" s="5" t="s">
        <v>20</v>
      </c>
      <c r="O57" s="5" t="s">
        <v>19</v>
      </c>
      <c r="P57" s="5" t="s">
        <v>20</v>
      </c>
      <c r="Q57" s="5" t="s">
        <v>20</v>
      </c>
      <c r="R57" s="5" t="s">
        <v>20</v>
      </c>
      <c r="S57" s="5" t="s">
        <v>19</v>
      </c>
      <c r="T57" s="5" t="s">
        <v>19</v>
      </c>
      <c r="U57" s="5" t="s">
        <v>20</v>
      </c>
      <c r="V57" s="5" t="s">
        <v>20</v>
      </c>
      <c r="W57" s="5" t="s">
        <v>20</v>
      </c>
      <c r="X57" s="5" t="s">
        <v>20</v>
      </c>
      <c r="Y57" s="5" t="s">
        <v>20</v>
      </c>
      <c r="Z57" s="5" t="s">
        <v>20</v>
      </c>
      <c r="AA57" s="20"/>
      <c r="AB57" s="5" t="s">
        <v>20</v>
      </c>
      <c r="AC57" s="5" t="s">
        <v>20</v>
      </c>
      <c r="AD57" s="5" t="s">
        <v>19</v>
      </c>
      <c r="AE57" s="5" t="s">
        <v>20</v>
      </c>
      <c r="AF57" s="5" t="s">
        <v>19</v>
      </c>
      <c r="AG57" s="5" t="s">
        <v>19</v>
      </c>
      <c r="AH57" s="5" t="s">
        <v>20</v>
      </c>
      <c r="AI57" s="5" t="s">
        <v>20</v>
      </c>
      <c r="AJ57" s="5" t="s">
        <v>19</v>
      </c>
      <c r="AK57" s="5" t="s">
        <v>20</v>
      </c>
      <c r="AL57" s="5" t="s">
        <v>20</v>
      </c>
      <c r="AM57" s="5" t="s">
        <v>19</v>
      </c>
      <c r="AN57" s="5" t="s">
        <v>20</v>
      </c>
      <c r="AO57" s="5" t="s">
        <v>20</v>
      </c>
      <c r="AP57" s="5" t="s">
        <v>20</v>
      </c>
      <c r="AQ57" s="5" t="s">
        <v>20</v>
      </c>
      <c r="AR57" s="5" t="s">
        <v>20</v>
      </c>
      <c r="AS57" s="16"/>
      <c r="AT57" s="16"/>
      <c r="AU57" s="24">
        <f t="shared" si="0"/>
        <v>26</v>
      </c>
      <c r="AV57" s="24">
        <f t="shared" si="1"/>
        <v>14</v>
      </c>
      <c r="AW57" s="24">
        <f t="shared" si="2"/>
        <v>40</v>
      </c>
      <c r="AX57" s="28">
        <f t="shared" si="3"/>
        <v>65</v>
      </c>
      <c r="AY57" s="3"/>
      <c r="AZ57" s="3"/>
      <c r="BA57" s="3"/>
    </row>
    <row r="58" spans="1:53">
      <c r="A58" s="11">
        <v>49</v>
      </c>
      <c r="B58" s="12" t="s">
        <v>116</v>
      </c>
      <c r="C58" s="13" t="s">
        <v>117</v>
      </c>
      <c r="D58" s="5" t="s">
        <v>19</v>
      </c>
      <c r="E58" s="5" t="s">
        <v>19</v>
      </c>
      <c r="F58" s="5" t="s">
        <v>19</v>
      </c>
      <c r="G58" s="5" t="s">
        <v>19</v>
      </c>
      <c r="H58" s="5" t="s">
        <v>20</v>
      </c>
      <c r="I58" s="5" t="s">
        <v>20</v>
      </c>
      <c r="J58" s="5" t="s">
        <v>19</v>
      </c>
      <c r="K58" s="5" t="s">
        <v>20</v>
      </c>
      <c r="L58" s="5" t="s">
        <v>20</v>
      </c>
      <c r="M58" s="5" t="s">
        <v>19</v>
      </c>
      <c r="N58" s="5" t="s">
        <v>20</v>
      </c>
      <c r="O58" s="5" t="s">
        <v>19</v>
      </c>
      <c r="P58" s="5" t="s">
        <v>20</v>
      </c>
      <c r="Q58" s="5" t="s">
        <v>20</v>
      </c>
      <c r="R58" s="5" t="s">
        <v>19</v>
      </c>
      <c r="S58" s="5" t="s">
        <v>20</v>
      </c>
      <c r="T58" s="5" t="s">
        <v>19</v>
      </c>
      <c r="U58" s="5" t="s">
        <v>20</v>
      </c>
      <c r="V58" s="5" t="s">
        <v>20</v>
      </c>
      <c r="W58" s="5" t="s">
        <v>20</v>
      </c>
      <c r="X58" s="5" t="s">
        <v>20</v>
      </c>
      <c r="Y58" s="5" t="s">
        <v>20</v>
      </c>
      <c r="Z58" s="5" t="s">
        <v>20</v>
      </c>
      <c r="AA58" s="20"/>
      <c r="AB58" s="5" t="s">
        <v>19</v>
      </c>
      <c r="AC58" s="5" t="s">
        <v>20</v>
      </c>
      <c r="AD58" s="5" t="s">
        <v>20</v>
      </c>
      <c r="AE58" s="5" t="s">
        <v>20</v>
      </c>
      <c r="AF58" s="5" t="s">
        <v>20</v>
      </c>
      <c r="AG58" s="5" t="s">
        <v>19</v>
      </c>
      <c r="AH58" s="5" t="s">
        <v>20</v>
      </c>
      <c r="AI58" s="5" t="s">
        <v>20</v>
      </c>
      <c r="AJ58" s="5" t="s">
        <v>20</v>
      </c>
      <c r="AK58" s="5" t="s">
        <v>20</v>
      </c>
      <c r="AL58" s="5" t="s">
        <v>20</v>
      </c>
      <c r="AM58" s="5" t="s">
        <v>19</v>
      </c>
      <c r="AN58" s="5" t="s">
        <v>20</v>
      </c>
      <c r="AO58" s="5" t="s">
        <v>19</v>
      </c>
      <c r="AP58" s="5" t="s">
        <v>20</v>
      </c>
      <c r="AQ58" s="5" t="s">
        <v>20</v>
      </c>
      <c r="AR58" s="5" t="s">
        <v>20</v>
      </c>
      <c r="AS58" s="16"/>
      <c r="AT58" s="16"/>
      <c r="AU58" s="24">
        <f t="shared" si="0"/>
        <v>27</v>
      </c>
      <c r="AV58" s="24">
        <f t="shared" si="1"/>
        <v>13</v>
      </c>
      <c r="AW58" s="24">
        <f t="shared" si="2"/>
        <v>40</v>
      </c>
      <c r="AX58" s="28">
        <f t="shared" si="3"/>
        <v>67.5</v>
      </c>
      <c r="AY58" s="3"/>
      <c r="AZ58" s="3"/>
      <c r="BA58" s="3"/>
    </row>
    <row r="59" spans="1:53">
      <c r="A59" s="14">
        <v>50</v>
      </c>
      <c r="B59" s="12" t="s">
        <v>118</v>
      </c>
      <c r="C59" s="13" t="s">
        <v>119</v>
      </c>
      <c r="D59" s="5" t="s">
        <v>19</v>
      </c>
      <c r="E59" s="5" t="s">
        <v>19</v>
      </c>
      <c r="F59" s="5" t="s">
        <v>19</v>
      </c>
      <c r="G59" s="5" t="s">
        <v>20</v>
      </c>
      <c r="H59" s="5" t="s">
        <v>20</v>
      </c>
      <c r="I59" s="5" t="s">
        <v>20</v>
      </c>
      <c r="J59" s="5" t="s">
        <v>19</v>
      </c>
      <c r="K59" s="5" t="s">
        <v>19</v>
      </c>
      <c r="L59" s="5" t="s">
        <v>19</v>
      </c>
      <c r="M59" s="5" t="s">
        <v>20</v>
      </c>
      <c r="N59" s="5" t="s">
        <v>19</v>
      </c>
      <c r="O59" s="5" t="s">
        <v>20</v>
      </c>
      <c r="P59" s="5" t="s">
        <v>20</v>
      </c>
      <c r="Q59" s="5" t="s">
        <v>20</v>
      </c>
      <c r="R59" s="5" t="s">
        <v>20</v>
      </c>
      <c r="S59" s="5" t="s">
        <v>19</v>
      </c>
      <c r="T59" s="5" t="s">
        <v>19</v>
      </c>
      <c r="U59" s="5" t="s">
        <v>20</v>
      </c>
      <c r="V59" s="5" t="s">
        <v>20</v>
      </c>
      <c r="W59" s="5" t="s">
        <v>20</v>
      </c>
      <c r="X59" s="5" t="s">
        <v>20</v>
      </c>
      <c r="Y59" s="5" t="s">
        <v>19</v>
      </c>
      <c r="Z59" s="5" t="s">
        <v>20</v>
      </c>
      <c r="AA59" s="20"/>
      <c r="AB59" s="5" t="s">
        <v>19</v>
      </c>
      <c r="AC59" s="5" t="s">
        <v>19</v>
      </c>
      <c r="AD59" s="5" t="s">
        <v>20</v>
      </c>
      <c r="AE59" s="5" t="s">
        <v>19</v>
      </c>
      <c r="AF59" s="5" t="s">
        <v>20</v>
      </c>
      <c r="AG59" s="5" t="s">
        <v>19</v>
      </c>
      <c r="AH59" s="5" t="s">
        <v>20</v>
      </c>
      <c r="AI59" s="5" t="s">
        <v>19</v>
      </c>
      <c r="AJ59" s="5" t="s">
        <v>20</v>
      </c>
      <c r="AK59" s="5" t="s">
        <v>20</v>
      </c>
      <c r="AL59" s="5" t="s">
        <v>20</v>
      </c>
      <c r="AM59" s="5" t="s">
        <v>19</v>
      </c>
      <c r="AN59" s="5" t="s">
        <v>20</v>
      </c>
      <c r="AO59" s="5" t="s">
        <v>19</v>
      </c>
      <c r="AP59" s="5" t="s">
        <v>20</v>
      </c>
      <c r="AQ59" s="5" t="s">
        <v>20</v>
      </c>
      <c r="AR59" s="5" t="s">
        <v>20</v>
      </c>
      <c r="AS59" s="16"/>
      <c r="AT59" s="16"/>
      <c r="AU59" s="24">
        <f t="shared" si="0"/>
        <v>23</v>
      </c>
      <c r="AV59" s="24">
        <f t="shared" si="1"/>
        <v>17</v>
      </c>
      <c r="AW59" s="24">
        <f t="shared" si="2"/>
        <v>40</v>
      </c>
      <c r="AX59" s="28">
        <f t="shared" si="3"/>
        <v>57.5</v>
      </c>
      <c r="AY59" s="3"/>
      <c r="AZ59" s="3"/>
      <c r="BA59" s="3"/>
    </row>
    <row r="60" spans="1:53">
      <c r="A60" s="14">
        <v>51</v>
      </c>
      <c r="B60" s="12" t="s">
        <v>120</v>
      </c>
      <c r="C60" s="13" t="s">
        <v>121</v>
      </c>
      <c r="D60" s="5" t="s">
        <v>19</v>
      </c>
      <c r="E60" s="5" t="s">
        <v>19</v>
      </c>
      <c r="F60" s="5" t="s">
        <v>19</v>
      </c>
      <c r="G60" s="5" t="s">
        <v>19</v>
      </c>
      <c r="H60" s="5" t="s">
        <v>20</v>
      </c>
      <c r="I60" s="5" t="s">
        <v>20</v>
      </c>
      <c r="J60" s="5" t="s">
        <v>20</v>
      </c>
      <c r="K60" s="5" t="s">
        <v>20</v>
      </c>
      <c r="L60" s="5" t="s">
        <v>20</v>
      </c>
      <c r="M60" s="5" t="s">
        <v>19</v>
      </c>
      <c r="N60" s="5" t="s">
        <v>20</v>
      </c>
      <c r="O60" s="5" t="s">
        <v>19</v>
      </c>
      <c r="P60" s="5" t="s">
        <v>19</v>
      </c>
      <c r="Q60" s="5" t="s">
        <v>20</v>
      </c>
      <c r="R60" s="5" t="s">
        <v>20</v>
      </c>
      <c r="S60" s="5" t="s">
        <v>19</v>
      </c>
      <c r="T60" s="5" t="s">
        <v>20</v>
      </c>
      <c r="U60" s="5" t="s">
        <v>19</v>
      </c>
      <c r="V60" s="5" t="s">
        <v>20</v>
      </c>
      <c r="W60" s="5" t="s">
        <v>20</v>
      </c>
      <c r="X60" s="5" t="s">
        <v>20</v>
      </c>
      <c r="Y60" s="5" t="s">
        <v>19</v>
      </c>
      <c r="Z60" s="5" t="s">
        <v>20</v>
      </c>
      <c r="AA60" s="20"/>
      <c r="AB60" s="5" t="s">
        <v>19</v>
      </c>
      <c r="AC60" s="5" t="s">
        <v>20</v>
      </c>
      <c r="AD60" s="5" t="s">
        <v>20</v>
      </c>
      <c r="AE60" s="5" t="s">
        <v>20</v>
      </c>
      <c r="AF60" s="5" t="s">
        <v>19</v>
      </c>
      <c r="AG60" s="5" t="s">
        <v>20</v>
      </c>
      <c r="AH60" s="5" t="s">
        <v>19</v>
      </c>
      <c r="AI60" s="5" t="s">
        <v>19</v>
      </c>
      <c r="AJ60" s="5" t="s">
        <v>20</v>
      </c>
      <c r="AK60" s="5" t="s">
        <v>20</v>
      </c>
      <c r="AL60" s="5" t="s">
        <v>20</v>
      </c>
      <c r="AM60" s="5" t="s">
        <v>19</v>
      </c>
      <c r="AN60" s="5" t="s">
        <v>20</v>
      </c>
      <c r="AO60" s="5" t="s">
        <v>20</v>
      </c>
      <c r="AP60" s="5" t="s">
        <v>19</v>
      </c>
      <c r="AQ60" s="5" t="s">
        <v>20</v>
      </c>
      <c r="AR60" s="5" t="s">
        <v>20</v>
      </c>
      <c r="AS60" s="16"/>
      <c r="AT60" s="16"/>
      <c r="AU60" s="24">
        <f t="shared" si="0"/>
        <v>24</v>
      </c>
      <c r="AV60" s="24">
        <f t="shared" si="1"/>
        <v>16</v>
      </c>
      <c r="AW60" s="24">
        <f t="shared" si="2"/>
        <v>40</v>
      </c>
      <c r="AX60" s="28">
        <f t="shared" si="3"/>
        <v>60</v>
      </c>
      <c r="AY60" s="3"/>
      <c r="AZ60" s="3"/>
      <c r="BA60" s="3"/>
    </row>
    <row r="61" spans="1:53">
      <c r="A61" s="14">
        <v>52</v>
      </c>
      <c r="B61" s="12" t="s">
        <v>122</v>
      </c>
      <c r="C61" s="13" t="s">
        <v>123</v>
      </c>
      <c r="D61" s="5" t="s">
        <v>19</v>
      </c>
      <c r="E61" s="5" t="s">
        <v>19</v>
      </c>
      <c r="F61" s="5" t="s">
        <v>19</v>
      </c>
      <c r="G61" s="5" t="s">
        <v>19</v>
      </c>
      <c r="H61" s="5" t="s">
        <v>19</v>
      </c>
      <c r="I61" s="5" t="s">
        <v>19</v>
      </c>
      <c r="J61" s="5" t="s">
        <v>19</v>
      </c>
      <c r="K61" s="5" t="s">
        <v>19</v>
      </c>
      <c r="L61" s="5" t="s">
        <v>19</v>
      </c>
      <c r="M61" s="5" t="s">
        <v>19</v>
      </c>
      <c r="N61" s="5" t="s">
        <v>20</v>
      </c>
      <c r="O61" s="5" t="s">
        <v>20</v>
      </c>
      <c r="P61" s="5" t="s">
        <v>19</v>
      </c>
      <c r="Q61" s="5" t="s">
        <v>20</v>
      </c>
      <c r="R61" s="5" t="s">
        <v>20</v>
      </c>
      <c r="S61" s="5" t="s">
        <v>19</v>
      </c>
      <c r="T61" s="5" t="s">
        <v>20</v>
      </c>
      <c r="U61" s="5" t="s">
        <v>20</v>
      </c>
      <c r="V61" s="5" t="s">
        <v>20</v>
      </c>
      <c r="W61" s="5" t="s">
        <v>20</v>
      </c>
      <c r="X61" s="5" t="s">
        <v>20</v>
      </c>
      <c r="Y61" s="5" t="s">
        <v>19</v>
      </c>
      <c r="Z61" s="5" t="s">
        <v>20</v>
      </c>
      <c r="AA61" s="20"/>
      <c r="AB61" s="5" t="s">
        <v>19</v>
      </c>
      <c r="AC61" s="5" t="s">
        <v>19</v>
      </c>
      <c r="AD61" s="5" t="s">
        <v>20</v>
      </c>
      <c r="AE61" s="5" t="s">
        <v>20</v>
      </c>
      <c r="AF61" s="5" t="s">
        <v>19</v>
      </c>
      <c r="AG61" s="5" t="s">
        <v>19</v>
      </c>
      <c r="AH61" s="5" t="s">
        <v>20</v>
      </c>
      <c r="AI61" s="5" t="s">
        <v>20</v>
      </c>
      <c r="AJ61" s="5" t="s">
        <v>20</v>
      </c>
      <c r="AK61" s="5" t="s">
        <v>20</v>
      </c>
      <c r="AL61" s="5" t="s">
        <v>20</v>
      </c>
      <c r="AM61" s="5" t="s">
        <v>20</v>
      </c>
      <c r="AN61" s="5" t="s">
        <v>19</v>
      </c>
      <c r="AO61" s="5" t="s">
        <v>20</v>
      </c>
      <c r="AP61" s="5" t="s">
        <v>19</v>
      </c>
      <c r="AQ61" s="5" t="s">
        <v>20</v>
      </c>
      <c r="AR61" s="5" t="s">
        <v>20</v>
      </c>
      <c r="AS61" s="16"/>
      <c r="AT61" s="16"/>
      <c r="AU61" s="24">
        <f t="shared" si="0"/>
        <v>21</v>
      </c>
      <c r="AV61" s="24">
        <f t="shared" si="1"/>
        <v>19</v>
      </c>
      <c r="AW61" s="24">
        <f t="shared" si="2"/>
        <v>40</v>
      </c>
      <c r="AX61" s="28">
        <f t="shared" si="3"/>
        <v>52.5</v>
      </c>
      <c r="AY61" s="3"/>
      <c r="AZ61" s="3"/>
      <c r="BA61" s="3"/>
    </row>
    <row r="62" spans="1:53">
      <c r="A62" s="14">
        <v>53</v>
      </c>
      <c r="B62" s="12" t="s">
        <v>124</v>
      </c>
      <c r="C62" s="13" t="s">
        <v>125</v>
      </c>
      <c r="D62" s="5" t="s">
        <v>19</v>
      </c>
      <c r="E62" s="5" t="s">
        <v>19</v>
      </c>
      <c r="F62" s="5" t="s">
        <v>19</v>
      </c>
      <c r="G62" s="5" t="s">
        <v>19</v>
      </c>
      <c r="H62" s="5" t="s">
        <v>20</v>
      </c>
      <c r="I62" s="5" t="s">
        <v>20</v>
      </c>
      <c r="J62" s="5" t="s">
        <v>19</v>
      </c>
      <c r="K62" s="5" t="s">
        <v>20</v>
      </c>
      <c r="L62" s="5" t="s">
        <v>20</v>
      </c>
      <c r="M62" s="5" t="s">
        <v>19</v>
      </c>
      <c r="N62" s="5" t="s">
        <v>20</v>
      </c>
      <c r="O62" s="5" t="s">
        <v>20</v>
      </c>
      <c r="P62" s="5" t="s">
        <v>20</v>
      </c>
      <c r="Q62" s="5" t="s">
        <v>20</v>
      </c>
      <c r="R62" s="5" t="s">
        <v>20</v>
      </c>
      <c r="S62" s="5" t="s">
        <v>20</v>
      </c>
      <c r="T62" s="5" t="s">
        <v>20</v>
      </c>
      <c r="U62" s="5" t="s">
        <v>20</v>
      </c>
      <c r="V62" s="5" t="s">
        <v>20</v>
      </c>
      <c r="W62" s="5" t="s">
        <v>20</v>
      </c>
      <c r="X62" s="5" t="s">
        <v>20</v>
      </c>
      <c r="Y62" s="5" t="s">
        <v>20</v>
      </c>
      <c r="Z62" s="5" t="s">
        <v>20</v>
      </c>
      <c r="AA62" s="20"/>
      <c r="AB62" s="5" t="s">
        <v>20</v>
      </c>
      <c r="AC62" s="5" t="s">
        <v>20</v>
      </c>
      <c r="AD62" s="5" t="s">
        <v>20</v>
      </c>
      <c r="AE62" s="5" t="s">
        <v>19</v>
      </c>
      <c r="AF62" s="5" t="s">
        <v>19</v>
      </c>
      <c r="AG62" s="5" t="s">
        <v>19</v>
      </c>
      <c r="AH62" s="5" t="s">
        <v>19</v>
      </c>
      <c r="AI62" s="5" t="s">
        <v>20</v>
      </c>
      <c r="AJ62" s="5" t="s">
        <v>20</v>
      </c>
      <c r="AK62" s="5" t="s">
        <v>20</v>
      </c>
      <c r="AL62" s="5" t="s">
        <v>20</v>
      </c>
      <c r="AM62" s="5" t="s">
        <v>20</v>
      </c>
      <c r="AN62" s="5" t="s">
        <v>20</v>
      </c>
      <c r="AO62" s="5" t="s">
        <v>20</v>
      </c>
      <c r="AP62" s="5" t="s">
        <v>20</v>
      </c>
      <c r="AQ62" s="5" t="s">
        <v>19</v>
      </c>
      <c r="AR62" s="5" t="s">
        <v>20</v>
      </c>
      <c r="AS62" s="16"/>
      <c r="AT62" s="16"/>
      <c r="AU62" s="24">
        <f t="shared" si="0"/>
        <v>29</v>
      </c>
      <c r="AV62" s="24">
        <f t="shared" si="1"/>
        <v>11</v>
      </c>
      <c r="AW62" s="24">
        <f t="shared" si="2"/>
        <v>40</v>
      </c>
      <c r="AX62" s="28">
        <f t="shared" si="3"/>
        <v>72.5</v>
      </c>
      <c r="AY62" s="3"/>
      <c r="AZ62" s="3"/>
      <c r="BA62" s="3"/>
    </row>
    <row r="63" spans="1:53">
      <c r="A63" s="11">
        <v>54</v>
      </c>
      <c r="B63" s="12" t="s">
        <v>126</v>
      </c>
      <c r="C63" s="13" t="s">
        <v>127</v>
      </c>
      <c r="D63" s="5" t="s">
        <v>19</v>
      </c>
      <c r="E63" s="5" t="s">
        <v>19</v>
      </c>
      <c r="F63" s="5" t="s">
        <v>19</v>
      </c>
      <c r="G63" s="5" t="s">
        <v>19</v>
      </c>
      <c r="H63" s="5" t="s">
        <v>19</v>
      </c>
      <c r="I63" s="5" t="s">
        <v>19</v>
      </c>
      <c r="J63" s="5" t="s">
        <v>19</v>
      </c>
      <c r="K63" s="5" t="s">
        <v>20</v>
      </c>
      <c r="L63" s="5" t="s">
        <v>20</v>
      </c>
      <c r="M63" s="5" t="s">
        <v>19</v>
      </c>
      <c r="N63" s="5" t="s">
        <v>20</v>
      </c>
      <c r="O63" s="5" t="s">
        <v>20</v>
      </c>
      <c r="P63" s="5" t="s">
        <v>19</v>
      </c>
      <c r="Q63" s="5" t="s">
        <v>19</v>
      </c>
      <c r="R63" s="5" t="s">
        <v>19</v>
      </c>
      <c r="S63" s="5" t="s">
        <v>19</v>
      </c>
      <c r="T63" s="5" t="s">
        <v>19</v>
      </c>
      <c r="U63" s="5" t="s">
        <v>20</v>
      </c>
      <c r="V63" s="5" t="s">
        <v>19</v>
      </c>
      <c r="W63" s="5" t="s">
        <v>20</v>
      </c>
      <c r="X63" s="5" t="s">
        <v>20</v>
      </c>
      <c r="Y63" s="5" t="s">
        <v>19</v>
      </c>
      <c r="Z63" s="5" t="s">
        <v>20</v>
      </c>
      <c r="AA63" s="20"/>
      <c r="AB63" s="5" t="s">
        <v>19</v>
      </c>
      <c r="AC63" s="5" t="s">
        <v>19</v>
      </c>
      <c r="AD63" s="5" t="s">
        <v>19</v>
      </c>
      <c r="AE63" s="5" t="s">
        <v>19</v>
      </c>
      <c r="AF63" s="5" t="s">
        <v>20</v>
      </c>
      <c r="AG63" s="5" t="s">
        <v>20</v>
      </c>
      <c r="AH63" s="5" t="s">
        <v>20</v>
      </c>
      <c r="AI63" s="5" t="s">
        <v>20</v>
      </c>
      <c r="AJ63" s="5" t="s">
        <v>20</v>
      </c>
      <c r="AK63" s="5" t="s">
        <v>20</v>
      </c>
      <c r="AL63" s="5" t="s">
        <v>20</v>
      </c>
      <c r="AM63" s="5" t="s">
        <v>20</v>
      </c>
      <c r="AN63" s="5" t="s">
        <v>20</v>
      </c>
      <c r="AO63" s="5" t="s">
        <v>20</v>
      </c>
      <c r="AP63" s="5" t="s">
        <v>20</v>
      </c>
      <c r="AQ63" s="5" t="s">
        <v>20</v>
      </c>
      <c r="AR63" s="5" t="s">
        <v>20</v>
      </c>
      <c r="AS63" s="16"/>
      <c r="AT63" s="16"/>
      <c r="AU63" s="24">
        <f t="shared" si="0"/>
        <v>21</v>
      </c>
      <c r="AV63" s="24">
        <f t="shared" si="1"/>
        <v>19</v>
      </c>
      <c r="AW63" s="24">
        <f t="shared" si="2"/>
        <v>40</v>
      </c>
      <c r="AX63" s="28">
        <f t="shared" si="3"/>
        <v>52.5</v>
      </c>
      <c r="AY63" s="3"/>
      <c r="AZ63" s="3"/>
      <c r="BA63" s="3"/>
    </row>
    <row r="64" spans="1:53">
      <c r="A64" s="14">
        <v>55</v>
      </c>
      <c r="B64" s="12" t="s">
        <v>128</v>
      </c>
      <c r="C64" s="13" t="s">
        <v>129</v>
      </c>
      <c r="D64" s="5" t="s">
        <v>20</v>
      </c>
      <c r="E64" s="5" t="s">
        <v>20</v>
      </c>
      <c r="F64" s="5" t="s">
        <v>19</v>
      </c>
      <c r="G64" s="5" t="s">
        <v>19</v>
      </c>
      <c r="H64" s="5" t="s">
        <v>19</v>
      </c>
      <c r="I64" s="5" t="s">
        <v>19</v>
      </c>
      <c r="J64" s="5" t="s">
        <v>20</v>
      </c>
      <c r="K64" s="5" t="s">
        <v>19</v>
      </c>
      <c r="L64" s="5" t="s">
        <v>19</v>
      </c>
      <c r="M64" s="5" t="s">
        <v>19</v>
      </c>
      <c r="N64" s="5" t="s">
        <v>20</v>
      </c>
      <c r="O64" s="5" t="s">
        <v>19</v>
      </c>
      <c r="P64" s="5" t="s">
        <v>19</v>
      </c>
      <c r="Q64" s="5" t="s">
        <v>20</v>
      </c>
      <c r="R64" s="5" t="s">
        <v>20</v>
      </c>
      <c r="S64" s="5" t="s">
        <v>20</v>
      </c>
      <c r="T64" s="5" t="s">
        <v>20</v>
      </c>
      <c r="U64" s="5" t="s">
        <v>20</v>
      </c>
      <c r="V64" s="5" t="s">
        <v>20</v>
      </c>
      <c r="W64" s="5" t="s">
        <v>20</v>
      </c>
      <c r="X64" s="5" t="s">
        <v>20</v>
      </c>
      <c r="Y64" s="5" t="s">
        <v>20</v>
      </c>
      <c r="Z64" s="5" t="s">
        <v>20</v>
      </c>
      <c r="AA64" s="20"/>
      <c r="AB64" s="5" t="s">
        <v>20</v>
      </c>
      <c r="AC64" s="5" t="s">
        <v>20</v>
      </c>
      <c r="AD64" s="5" t="s">
        <v>20</v>
      </c>
      <c r="AE64" s="5" t="s">
        <v>20</v>
      </c>
      <c r="AF64" s="5" t="s">
        <v>19</v>
      </c>
      <c r="AG64" s="5" t="s">
        <v>20</v>
      </c>
      <c r="AH64" s="5" t="s">
        <v>20</v>
      </c>
      <c r="AI64" s="5" t="s">
        <v>19</v>
      </c>
      <c r="AJ64" s="5" t="s">
        <v>19</v>
      </c>
      <c r="AK64" s="5" t="s">
        <v>20</v>
      </c>
      <c r="AL64" s="5" t="s">
        <v>20</v>
      </c>
      <c r="AM64" s="5" t="s">
        <v>20</v>
      </c>
      <c r="AN64" s="5" t="s">
        <v>20</v>
      </c>
      <c r="AO64" s="5" t="s">
        <v>20</v>
      </c>
      <c r="AP64" s="5" t="s">
        <v>20</v>
      </c>
      <c r="AQ64" s="5" t="s">
        <v>20</v>
      </c>
      <c r="AR64" s="5" t="s">
        <v>20</v>
      </c>
      <c r="AS64" s="16"/>
      <c r="AT64" s="16"/>
      <c r="AU64" s="24">
        <f t="shared" si="0"/>
        <v>28</v>
      </c>
      <c r="AV64" s="24">
        <f t="shared" si="1"/>
        <v>12</v>
      </c>
      <c r="AW64" s="24">
        <f t="shared" si="2"/>
        <v>40</v>
      </c>
      <c r="AX64" s="28">
        <f t="shared" si="3"/>
        <v>70</v>
      </c>
      <c r="AY64" s="3"/>
      <c r="AZ64" s="3"/>
      <c r="BA64" s="3"/>
    </row>
    <row r="65" spans="1:53">
      <c r="A65" s="14">
        <v>56</v>
      </c>
      <c r="B65" s="12" t="s">
        <v>130</v>
      </c>
      <c r="C65" s="13" t="s">
        <v>131</v>
      </c>
      <c r="D65" s="5" t="s">
        <v>19</v>
      </c>
      <c r="E65" s="5" t="s">
        <v>19</v>
      </c>
      <c r="F65" s="5" t="s">
        <v>19</v>
      </c>
      <c r="G65" s="5" t="s">
        <v>19</v>
      </c>
      <c r="H65" s="5" t="s">
        <v>19</v>
      </c>
      <c r="I65" s="5" t="s">
        <v>19</v>
      </c>
      <c r="J65" s="5" t="s">
        <v>19</v>
      </c>
      <c r="K65" s="5" t="s">
        <v>19</v>
      </c>
      <c r="L65" s="5" t="s">
        <v>19</v>
      </c>
      <c r="M65" s="5" t="s">
        <v>19</v>
      </c>
      <c r="N65" s="5" t="s">
        <v>20</v>
      </c>
      <c r="O65" s="5" t="s">
        <v>20</v>
      </c>
      <c r="P65" s="5" t="s">
        <v>20</v>
      </c>
      <c r="Q65" s="5" t="s">
        <v>20</v>
      </c>
      <c r="R65" s="5" t="s">
        <v>20</v>
      </c>
      <c r="S65" s="5" t="s">
        <v>19</v>
      </c>
      <c r="T65" s="5" t="s">
        <v>20</v>
      </c>
      <c r="U65" s="5" t="s">
        <v>20</v>
      </c>
      <c r="V65" s="5" t="s">
        <v>20</v>
      </c>
      <c r="W65" s="5" t="s">
        <v>20</v>
      </c>
      <c r="X65" s="5" t="s">
        <v>20</v>
      </c>
      <c r="Y65" s="5" t="s">
        <v>19</v>
      </c>
      <c r="Z65" s="5" t="s">
        <v>20</v>
      </c>
      <c r="AA65" s="20"/>
      <c r="AB65" s="5" t="s">
        <v>19</v>
      </c>
      <c r="AC65" s="5" t="s">
        <v>19</v>
      </c>
      <c r="AD65" s="5" t="s">
        <v>20</v>
      </c>
      <c r="AE65" s="5" t="s">
        <v>20</v>
      </c>
      <c r="AF65" s="5" t="s">
        <v>20</v>
      </c>
      <c r="AG65" s="5" t="s">
        <v>20</v>
      </c>
      <c r="AH65" s="5" t="s">
        <v>20</v>
      </c>
      <c r="AI65" s="5" t="s">
        <v>20</v>
      </c>
      <c r="AJ65" s="5" t="s">
        <v>20</v>
      </c>
      <c r="AK65" s="5" t="s">
        <v>20</v>
      </c>
      <c r="AL65" s="5" t="s">
        <v>20</v>
      </c>
      <c r="AM65" s="5" t="s">
        <v>20</v>
      </c>
      <c r="AN65" s="5" t="s">
        <v>20</v>
      </c>
      <c r="AO65" s="5" t="s">
        <v>20</v>
      </c>
      <c r="AP65" s="5" t="s">
        <v>20</v>
      </c>
      <c r="AQ65" s="5" t="s">
        <v>20</v>
      </c>
      <c r="AR65" s="5" t="s">
        <v>20</v>
      </c>
      <c r="AS65" s="16"/>
      <c r="AT65" s="16"/>
      <c r="AU65" s="24">
        <f t="shared" si="0"/>
        <v>26</v>
      </c>
      <c r="AV65" s="24">
        <f t="shared" si="1"/>
        <v>14</v>
      </c>
      <c r="AW65" s="24">
        <f t="shared" si="2"/>
        <v>40</v>
      </c>
      <c r="AX65" s="28">
        <f t="shared" si="3"/>
        <v>65</v>
      </c>
      <c r="AY65" s="3"/>
      <c r="AZ65" s="3"/>
      <c r="BA65" s="3"/>
    </row>
    <row r="66" spans="1:53">
      <c r="A66" s="14">
        <v>57</v>
      </c>
      <c r="B66" s="12" t="s">
        <v>132</v>
      </c>
      <c r="C66" s="13" t="s">
        <v>133</v>
      </c>
      <c r="D66" s="5" t="s">
        <v>19</v>
      </c>
      <c r="E66" s="5" t="s">
        <v>19</v>
      </c>
      <c r="F66" s="5" t="s">
        <v>19</v>
      </c>
      <c r="G66" s="5" t="s">
        <v>19</v>
      </c>
      <c r="H66" s="5" t="s">
        <v>20</v>
      </c>
      <c r="I66" s="5" t="s">
        <v>20</v>
      </c>
      <c r="J66" s="5" t="s">
        <v>19</v>
      </c>
      <c r="K66" s="5" t="s">
        <v>20</v>
      </c>
      <c r="L66" s="5" t="s">
        <v>19</v>
      </c>
      <c r="M66" s="5" t="s">
        <v>19</v>
      </c>
      <c r="N66" s="5" t="s">
        <v>20</v>
      </c>
      <c r="O66" s="5" t="s">
        <v>20</v>
      </c>
      <c r="P66" s="5" t="s">
        <v>20</v>
      </c>
      <c r="Q66" s="5" t="s">
        <v>20</v>
      </c>
      <c r="R66" s="5" t="s">
        <v>20</v>
      </c>
      <c r="S66" s="5" t="s">
        <v>19</v>
      </c>
      <c r="T66" s="5" t="s">
        <v>19</v>
      </c>
      <c r="U66" s="5" t="s">
        <v>20</v>
      </c>
      <c r="V66" s="5" t="s">
        <v>20</v>
      </c>
      <c r="W66" s="5" t="s">
        <v>20</v>
      </c>
      <c r="X66" s="5" t="s">
        <v>20</v>
      </c>
      <c r="Y66" s="5" t="s">
        <v>20</v>
      </c>
      <c r="Z66" s="5" t="s">
        <v>20</v>
      </c>
      <c r="AA66" s="20"/>
      <c r="AB66" s="5" t="s">
        <v>19</v>
      </c>
      <c r="AC66" s="5" t="s">
        <v>20</v>
      </c>
      <c r="AD66" s="5" t="s">
        <v>20</v>
      </c>
      <c r="AE66" s="5" t="s">
        <v>19</v>
      </c>
      <c r="AF66" s="5" t="s">
        <v>19</v>
      </c>
      <c r="AG66" s="5" t="s">
        <v>20</v>
      </c>
      <c r="AH66" s="5" t="s">
        <v>20</v>
      </c>
      <c r="AI66" s="5" t="s">
        <v>19</v>
      </c>
      <c r="AJ66" s="5" t="s">
        <v>19</v>
      </c>
      <c r="AK66" s="5" t="s">
        <v>20</v>
      </c>
      <c r="AL66" s="5" t="s">
        <v>20</v>
      </c>
      <c r="AM66" s="5" t="s">
        <v>19</v>
      </c>
      <c r="AN66" s="5" t="s">
        <v>20</v>
      </c>
      <c r="AO66" s="5" t="s">
        <v>19</v>
      </c>
      <c r="AP66" s="5" t="s">
        <v>20</v>
      </c>
      <c r="AQ66" s="5" t="s">
        <v>20</v>
      </c>
      <c r="AR66" s="5" t="s">
        <v>20</v>
      </c>
      <c r="AS66" s="16"/>
      <c r="AT66" s="16"/>
      <c r="AU66" s="24">
        <f t="shared" si="0"/>
        <v>24</v>
      </c>
      <c r="AV66" s="24">
        <f t="shared" si="1"/>
        <v>16</v>
      </c>
      <c r="AW66" s="24">
        <f t="shared" si="2"/>
        <v>40</v>
      </c>
      <c r="AX66" s="28">
        <f t="shared" si="3"/>
        <v>60</v>
      </c>
      <c r="AY66" s="3"/>
      <c r="AZ66" s="3"/>
      <c r="BA66" s="3"/>
    </row>
    <row r="67" spans="1:53">
      <c r="A67" s="14">
        <v>58</v>
      </c>
      <c r="B67" s="12" t="s">
        <v>134</v>
      </c>
      <c r="C67" s="13" t="s">
        <v>135</v>
      </c>
      <c r="D67" s="5" t="s">
        <v>19</v>
      </c>
      <c r="E67" s="5" t="s">
        <v>19</v>
      </c>
      <c r="F67" s="5" t="s">
        <v>19</v>
      </c>
      <c r="G67" s="5" t="s">
        <v>20</v>
      </c>
      <c r="H67" s="5" t="s">
        <v>20</v>
      </c>
      <c r="I67" s="5" t="s">
        <v>20</v>
      </c>
      <c r="J67" s="5" t="s">
        <v>19</v>
      </c>
      <c r="K67" s="5" t="s">
        <v>19</v>
      </c>
      <c r="L67" s="5" t="s">
        <v>19</v>
      </c>
      <c r="M67" s="5" t="s">
        <v>19</v>
      </c>
      <c r="N67" s="5" t="s">
        <v>19</v>
      </c>
      <c r="O67" s="5" t="s">
        <v>19</v>
      </c>
      <c r="P67" s="5" t="s">
        <v>19</v>
      </c>
      <c r="Q67" s="5" t="s">
        <v>20</v>
      </c>
      <c r="R67" s="5" t="s">
        <v>20</v>
      </c>
      <c r="S67" s="5" t="s">
        <v>20</v>
      </c>
      <c r="T67" s="5" t="s">
        <v>20</v>
      </c>
      <c r="U67" s="5" t="s">
        <v>19</v>
      </c>
      <c r="V67" s="5" t="s">
        <v>20</v>
      </c>
      <c r="W67" s="5" t="s">
        <v>19</v>
      </c>
      <c r="X67" s="5" t="s">
        <v>20</v>
      </c>
      <c r="Y67" s="5" t="s">
        <v>20</v>
      </c>
      <c r="Z67" s="5" t="s">
        <v>20</v>
      </c>
      <c r="AA67" s="20"/>
      <c r="AB67" s="5" t="s">
        <v>19</v>
      </c>
      <c r="AC67" s="5" t="s">
        <v>20</v>
      </c>
      <c r="AD67" s="5" t="s">
        <v>19</v>
      </c>
      <c r="AE67" s="5" t="s">
        <v>19</v>
      </c>
      <c r="AF67" s="5" t="s">
        <v>20</v>
      </c>
      <c r="AG67" s="5" t="s">
        <v>20</v>
      </c>
      <c r="AH67" s="5" t="s">
        <v>19</v>
      </c>
      <c r="AI67" s="5" t="s">
        <v>19</v>
      </c>
      <c r="AJ67" s="5" t="s">
        <v>19</v>
      </c>
      <c r="AK67" s="5" t="s">
        <v>20</v>
      </c>
      <c r="AL67" s="5" t="s">
        <v>20</v>
      </c>
      <c r="AM67" s="5" t="s">
        <v>19</v>
      </c>
      <c r="AN67" s="5" t="s">
        <v>20</v>
      </c>
      <c r="AO67" s="5" t="s">
        <v>20</v>
      </c>
      <c r="AP67" s="5" t="s">
        <v>20</v>
      </c>
      <c r="AQ67" s="5" t="s">
        <v>20</v>
      </c>
      <c r="AR67" s="5" t="s">
        <v>20</v>
      </c>
      <c r="AS67" s="16"/>
      <c r="AT67" s="16"/>
      <c r="AU67" s="24">
        <f t="shared" si="0"/>
        <v>21</v>
      </c>
      <c r="AV67" s="24">
        <f t="shared" si="1"/>
        <v>19</v>
      </c>
      <c r="AW67" s="24">
        <f t="shared" si="2"/>
        <v>40</v>
      </c>
      <c r="AX67" s="28">
        <f t="shared" si="3"/>
        <v>52.5</v>
      </c>
      <c r="AY67" s="3"/>
      <c r="AZ67" s="3"/>
      <c r="BA67" s="3"/>
    </row>
    <row r="68" spans="1:53">
      <c r="A68" s="11">
        <v>59</v>
      </c>
      <c r="B68" s="12" t="s">
        <v>136</v>
      </c>
      <c r="C68" s="13" t="s">
        <v>137</v>
      </c>
      <c r="D68" s="5" t="s">
        <v>19</v>
      </c>
      <c r="E68" s="5" t="s">
        <v>19</v>
      </c>
      <c r="F68" s="5" t="s">
        <v>19</v>
      </c>
      <c r="G68" s="5" t="s">
        <v>19</v>
      </c>
      <c r="H68" s="5" t="s">
        <v>20</v>
      </c>
      <c r="I68" s="5" t="s">
        <v>20</v>
      </c>
      <c r="J68" s="5" t="s">
        <v>19</v>
      </c>
      <c r="K68" s="5" t="s">
        <v>19</v>
      </c>
      <c r="L68" s="5" t="s">
        <v>19</v>
      </c>
      <c r="M68" s="5" t="s">
        <v>19</v>
      </c>
      <c r="N68" s="5" t="s">
        <v>19</v>
      </c>
      <c r="O68" s="5" t="s">
        <v>20</v>
      </c>
      <c r="P68" s="5" t="s">
        <v>20</v>
      </c>
      <c r="Q68" s="5" t="s">
        <v>20</v>
      </c>
      <c r="R68" s="5" t="s">
        <v>20</v>
      </c>
      <c r="S68" s="5" t="s">
        <v>19</v>
      </c>
      <c r="T68" s="5" t="s">
        <v>19</v>
      </c>
      <c r="U68" s="5" t="s">
        <v>20</v>
      </c>
      <c r="V68" s="5" t="s">
        <v>20</v>
      </c>
      <c r="W68" s="5" t="s">
        <v>19</v>
      </c>
      <c r="X68" s="5" t="s">
        <v>20</v>
      </c>
      <c r="Y68" s="5" t="s">
        <v>19</v>
      </c>
      <c r="Z68" s="5" t="s">
        <v>20</v>
      </c>
      <c r="AA68" s="20"/>
      <c r="AB68" s="5" t="s">
        <v>20</v>
      </c>
      <c r="AC68" s="5" t="s">
        <v>19</v>
      </c>
      <c r="AD68" s="5" t="s">
        <v>20</v>
      </c>
      <c r="AE68" s="5" t="s">
        <v>20</v>
      </c>
      <c r="AF68" s="5" t="s">
        <v>20</v>
      </c>
      <c r="AG68" s="5" t="s">
        <v>20</v>
      </c>
      <c r="AH68" s="5" t="s">
        <v>20</v>
      </c>
      <c r="AI68" s="5" t="s">
        <v>20</v>
      </c>
      <c r="AJ68" s="5" t="s">
        <v>20</v>
      </c>
      <c r="AK68" s="5" t="s">
        <v>20</v>
      </c>
      <c r="AL68" s="5" t="s">
        <v>20</v>
      </c>
      <c r="AM68" s="5" t="s">
        <v>19</v>
      </c>
      <c r="AN68" s="5" t="s">
        <v>19</v>
      </c>
      <c r="AO68" s="5" t="s">
        <v>20</v>
      </c>
      <c r="AP68" s="5" t="s">
        <v>19</v>
      </c>
      <c r="AQ68" s="5" t="s">
        <v>19</v>
      </c>
      <c r="AR68" s="5" t="s">
        <v>20</v>
      </c>
      <c r="AS68" s="16"/>
      <c r="AT68" s="16"/>
      <c r="AU68" s="24">
        <f t="shared" si="0"/>
        <v>22</v>
      </c>
      <c r="AV68" s="24">
        <f t="shared" si="1"/>
        <v>18</v>
      </c>
      <c r="AW68" s="24">
        <f t="shared" si="2"/>
        <v>40</v>
      </c>
      <c r="AX68" s="28">
        <f t="shared" si="3"/>
        <v>55</v>
      </c>
      <c r="AY68" s="3"/>
      <c r="AZ68" s="3"/>
      <c r="BA68" s="3"/>
    </row>
    <row r="69" spans="1:53">
      <c r="A69" s="14">
        <v>60</v>
      </c>
      <c r="B69" s="12" t="s">
        <v>138</v>
      </c>
      <c r="C69" s="13" t="s">
        <v>139</v>
      </c>
      <c r="D69" s="5" t="s">
        <v>19</v>
      </c>
      <c r="E69" s="5" t="s">
        <v>19</v>
      </c>
      <c r="F69" s="5" t="s">
        <v>19</v>
      </c>
      <c r="G69" s="5" t="s">
        <v>19</v>
      </c>
      <c r="H69" s="5" t="s">
        <v>20</v>
      </c>
      <c r="I69" s="5" t="s">
        <v>20</v>
      </c>
      <c r="J69" s="5" t="s">
        <v>19</v>
      </c>
      <c r="K69" s="5" t="s">
        <v>20</v>
      </c>
      <c r="L69" s="5" t="s">
        <v>19</v>
      </c>
      <c r="M69" s="5" t="s">
        <v>19</v>
      </c>
      <c r="N69" s="5" t="s">
        <v>20</v>
      </c>
      <c r="O69" s="5" t="s">
        <v>20</v>
      </c>
      <c r="P69" s="5" t="s">
        <v>20</v>
      </c>
      <c r="Q69" s="5" t="s">
        <v>19</v>
      </c>
      <c r="R69" s="5" t="s">
        <v>20</v>
      </c>
      <c r="S69" s="5" t="s">
        <v>19</v>
      </c>
      <c r="T69" s="5" t="s">
        <v>19</v>
      </c>
      <c r="U69" s="5" t="s">
        <v>20</v>
      </c>
      <c r="V69" s="5" t="s">
        <v>20</v>
      </c>
      <c r="W69" s="5" t="s">
        <v>19</v>
      </c>
      <c r="X69" s="5" t="s">
        <v>20</v>
      </c>
      <c r="Y69" s="5" t="s">
        <v>20</v>
      </c>
      <c r="Z69" s="5" t="s">
        <v>20</v>
      </c>
      <c r="AA69" s="20"/>
      <c r="AB69" s="5" t="s">
        <v>20</v>
      </c>
      <c r="AC69" s="5" t="s">
        <v>19</v>
      </c>
      <c r="AD69" s="5" t="s">
        <v>20</v>
      </c>
      <c r="AE69" s="5" t="s">
        <v>19</v>
      </c>
      <c r="AF69" s="5" t="s">
        <v>19</v>
      </c>
      <c r="AG69" s="5" t="s">
        <v>20</v>
      </c>
      <c r="AH69" s="5" t="s">
        <v>20</v>
      </c>
      <c r="AI69" s="5" t="s">
        <v>19</v>
      </c>
      <c r="AJ69" s="5" t="s">
        <v>20</v>
      </c>
      <c r="AK69" s="5" t="s">
        <v>20</v>
      </c>
      <c r="AL69" s="5" t="s">
        <v>20</v>
      </c>
      <c r="AM69" s="5" t="s">
        <v>19</v>
      </c>
      <c r="AN69" s="5" t="s">
        <v>19</v>
      </c>
      <c r="AO69" s="5" t="s">
        <v>20</v>
      </c>
      <c r="AP69" s="5" t="s">
        <v>19</v>
      </c>
      <c r="AQ69" s="5" t="s">
        <v>19</v>
      </c>
      <c r="AR69" s="5" t="s">
        <v>20</v>
      </c>
      <c r="AS69" s="16"/>
      <c r="AT69" s="16"/>
      <c r="AU69" s="24">
        <f t="shared" si="0"/>
        <v>21</v>
      </c>
      <c r="AV69" s="24">
        <f t="shared" si="1"/>
        <v>19</v>
      </c>
      <c r="AW69" s="24">
        <f t="shared" si="2"/>
        <v>40</v>
      </c>
      <c r="AX69" s="28">
        <f t="shared" si="3"/>
        <v>52.5</v>
      </c>
      <c r="AY69" s="3"/>
      <c r="AZ69" s="3"/>
      <c r="BA69" s="3"/>
    </row>
    <row r="70" spans="1:53">
      <c r="A70" s="14">
        <v>61</v>
      </c>
      <c r="B70" s="12" t="s">
        <v>140</v>
      </c>
      <c r="C70" s="13" t="s">
        <v>141</v>
      </c>
      <c r="D70" s="5" t="s">
        <v>19</v>
      </c>
      <c r="E70" s="5" t="s">
        <v>19</v>
      </c>
      <c r="F70" s="5" t="s">
        <v>19</v>
      </c>
      <c r="G70" s="5" t="s">
        <v>19</v>
      </c>
      <c r="H70" s="5" t="s">
        <v>19</v>
      </c>
      <c r="I70" s="5" t="s">
        <v>19</v>
      </c>
      <c r="J70" s="5" t="s">
        <v>20</v>
      </c>
      <c r="K70" s="5" t="s">
        <v>20</v>
      </c>
      <c r="L70" s="5" t="s">
        <v>19</v>
      </c>
      <c r="M70" s="5" t="s">
        <v>20</v>
      </c>
      <c r="N70" s="5" t="s">
        <v>20</v>
      </c>
      <c r="O70" s="5" t="s">
        <v>19</v>
      </c>
      <c r="P70" s="5" t="s">
        <v>20</v>
      </c>
      <c r="Q70" s="5" t="s">
        <v>20</v>
      </c>
      <c r="R70" s="5" t="s">
        <v>19</v>
      </c>
      <c r="S70" s="5" t="s">
        <v>19</v>
      </c>
      <c r="T70" s="5" t="s">
        <v>20</v>
      </c>
      <c r="U70" s="5" t="s">
        <v>20</v>
      </c>
      <c r="V70" s="5" t="s">
        <v>20</v>
      </c>
      <c r="W70" s="5" t="s">
        <v>20</v>
      </c>
      <c r="X70" s="5" t="s">
        <v>20</v>
      </c>
      <c r="Y70" s="5" t="s">
        <v>19</v>
      </c>
      <c r="Z70" s="5" t="s">
        <v>20</v>
      </c>
      <c r="AA70" s="20"/>
      <c r="AB70" s="5" t="s">
        <v>19</v>
      </c>
      <c r="AC70" s="5" t="s">
        <v>20</v>
      </c>
      <c r="AD70" s="5" t="s">
        <v>19</v>
      </c>
      <c r="AE70" s="5" t="s">
        <v>20</v>
      </c>
      <c r="AF70" s="5" t="s">
        <v>19</v>
      </c>
      <c r="AG70" s="5" t="s">
        <v>19</v>
      </c>
      <c r="AH70" s="5" t="s">
        <v>20</v>
      </c>
      <c r="AI70" s="5" t="s">
        <v>19</v>
      </c>
      <c r="AJ70" s="5" t="s">
        <v>19</v>
      </c>
      <c r="AK70" s="5" t="s">
        <v>20</v>
      </c>
      <c r="AL70" s="5" t="s">
        <v>20</v>
      </c>
      <c r="AM70" s="5" t="s">
        <v>20</v>
      </c>
      <c r="AN70" s="5" t="s">
        <v>20</v>
      </c>
      <c r="AO70" s="5" t="s">
        <v>20</v>
      </c>
      <c r="AP70" s="5" t="s">
        <v>20</v>
      </c>
      <c r="AQ70" s="5" t="s">
        <v>20</v>
      </c>
      <c r="AR70" s="5" t="s">
        <v>20</v>
      </c>
      <c r="AS70" s="16"/>
      <c r="AT70" s="16"/>
      <c r="AU70" s="24">
        <f t="shared" si="0"/>
        <v>23</v>
      </c>
      <c r="AV70" s="24">
        <f t="shared" si="1"/>
        <v>17</v>
      </c>
      <c r="AW70" s="24">
        <f t="shared" si="2"/>
        <v>40</v>
      </c>
      <c r="AX70" s="28">
        <f t="shared" si="3"/>
        <v>57.5</v>
      </c>
      <c r="AY70" s="3"/>
      <c r="AZ70" s="3"/>
      <c r="BA70" s="3"/>
    </row>
    <row r="71" spans="1:53">
      <c r="A71" s="14">
        <v>62</v>
      </c>
      <c r="B71" s="12" t="s">
        <v>142</v>
      </c>
      <c r="C71" s="13" t="s">
        <v>143</v>
      </c>
      <c r="D71" s="5" t="s">
        <v>19</v>
      </c>
      <c r="E71" s="5" t="s">
        <v>19</v>
      </c>
      <c r="F71" s="5" t="s">
        <v>19</v>
      </c>
      <c r="G71" s="5" t="s">
        <v>19</v>
      </c>
      <c r="H71" s="5" t="s">
        <v>20</v>
      </c>
      <c r="I71" s="5" t="s">
        <v>20</v>
      </c>
      <c r="J71" s="5" t="s">
        <v>19</v>
      </c>
      <c r="K71" s="5" t="s">
        <v>20</v>
      </c>
      <c r="L71" s="5" t="s">
        <v>19</v>
      </c>
      <c r="M71" s="5" t="s">
        <v>19</v>
      </c>
      <c r="N71" s="5" t="s">
        <v>20</v>
      </c>
      <c r="O71" s="5" t="s">
        <v>20</v>
      </c>
      <c r="P71" s="5" t="s">
        <v>20</v>
      </c>
      <c r="Q71" s="5" t="s">
        <v>20</v>
      </c>
      <c r="R71" s="5" t="s">
        <v>20</v>
      </c>
      <c r="S71" s="5" t="s">
        <v>19</v>
      </c>
      <c r="T71" s="5" t="s">
        <v>20</v>
      </c>
      <c r="U71" s="5" t="s">
        <v>20</v>
      </c>
      <c r="V71" s="5" t="s">
        <v>19</v>
      </c>
      <c r="W71" s="5" t="s">
        <v>20</v>
      </c>
      <c r="X71" s="5" t="s">
        <v>20</v>
      </c>
      <c r="Y71" s="5" t="s">
        <v>20</v>
      </c>
      <c r="Z71" s="5" t="s">
        <v>20</v>
      </c>
      <c r="AA71" s="20"/>
      <c r="AB71" s="5" t="s">
        <v>20</v>
      </c>
      <c r="AC71" s="5" t="s">
        <v>20</v>
      </c>
      <c r="AD71" s="5" t="s">
        <v>20</v>
      </c>
      <c r="AE71" s="5" t="s">
        <v>19</v>
      </c>
      <c r="AF71" s="5" t="s">
        <v>19</v>
      </c>
      <c r="AG71" s="5" t="s">
        <v>20</v>
      </c>
      <c r="AH71" s="5" t="s">
        <v>20</v>
      </c>
      <c r="AI71" s="5" t="s">
        <v>20</v>
      </c>
      <c r="AJ71" s="5" t="s">
        <v>20</v>
      </c>
      <c r="AK71" s="5" t="s">
        <v>20</v>
      </c>
      <c r="AL71" s="5" t="s">
        <v>20</v>
      </c>
      <c r="AM71" s="5" t="s">
        <v>19</v>
      </c>
      <c r="AN71" s="5" t="s">
        <v>19</v>
      </c>
      <c r="AO71" s="5" t="s">
        <v>19</v>
      </c>
      <c r="AP71" s="5" t="s">
        <v>19</v>
      </c>
      <c r="AQ71" s="5" t="s">
        <v>20</v>
      </c>
      <c r="AR71" s="5" t="s">
        <v>20</v>
      </c>
      <c r="AS71" s="16"/>
      <c r="AT71" s="16"/>
      <c r="AU71" s="24">
        <f t="shared" si="0"/>
        <v>25</v>
      </c>
      <c r="AV71" s="24">
        <f t="shared" si="1"/>
        <v>15</v>
      </c>
      <c r="AW71" s="24">
        <f t="shared" si="2"/>
        <v>40</v>
      </c>
      <c r="AX71" s="28">
        <f t="shared" si="3"/>
        <v>62.5</v>
      </c>
      <c r="AY71" s="3"/>
      <c r="AZ71" s="3"/>
      <c r="BA71" s="3"/>
    </row>
    <row r="72" spans="1:53">
      <c r="A72" s="14">
        <v>63</v>
      </c>
      <c r="B72" s="12" t="s">
        <v>144</v>
      </c>
      <c r="C72" s="13" t="s">
        <v>145</v>
      </c>
      <c r="D72" s="5" t="s">
        <v>19</v>
      </c>
      <c r="E72" s="5" t="s">
        <v>19</v>
      </c>
      <c r="F72" s="5" t="s">
        <v>19</v>
      </c>
      <c r="G72" s="5" t="s">
        <v>20</v>
      </c>
      <c r="H72" s="5" t="s">
        <v>20</v>
      </c>
      <c r="I72" s="5" t="s">
        <v>20</v>
      </c>
      <c r="J72" s="5" t="s">
        <v>20</v>
      </c>
      <c r="K72" s="5" t="s">
        <v>20</v>
      </c>
      <c r="L72" s="5" t="s">
        <v>20</v>
      </c>
      <c r="M72" s="5" t="s">
        <v>20</v>
      </c>
      <c r="N72" s="5" t="s">
        <v>20</v>
      </c>
      <c r="O72" s="5" t="s">
        <v>20</v>
      </c>
      <c r="P72" s="5" t="s">
        <v>19</v>
      </c>
      <c r="Q72" s="5" t="s">
        <v>20</v>
      </c>
      <c r="R72" s="5" t="s">
        <v>20</v>
      </c>
      <c r="S72" s="5" t="s">
        <v>19</v>
      </c>
      <c r="T72" s="5" t="s">
        <v>20</v>
      </c>
      <c r="U72" s="5" t="s">
        <v>20</v>
      </c>
      <c r="V72" s="5" t="s">
        <v>19</v>
      </c>
      <c r="W72" s="5" t="s">
        <v>20</v>
      </c>
      <c r="X72" s="5" t="s">
        <v>20</v>
      </c>
      <c r="Y72" s="5" t="s">
        <v>20</v>
      </c>
      <c r="Z72" s="5" t="s">
        <v>20</v>
      </c>
      <c r="AA72" s="20"/>
      <c r="AB72" s="5" t="s">
        <v>20</v>
      </c>
      <c r="AC72" s="5" t="s">
        <v>20</v>
      </c>
      <c r="AD72" s="5" t="s">
        <v>20</v>
      </c>
      <c r="AE72" s="5" t="s">
        <v>20</v>
      </c>
      <c r="AF72" s="5" t="s">
        <v>19</v>
      </c>
      <c r="AG72" s="5" t="s">
        <v>20</v>
      </c>
      <c r="AH72" s="5" t="s">
        <v>20</v>
      </c>
      <c r="AI72" s="5" t="s">
        <v>20</v>
      </c>
      <c r="AJ72" s="5" t="s">
        <v>20</v>
      </c>
      <c r="AK72" s="5" t="s">
        <v>20</v>
      </c>
      <c r="AL72" s="5" t="s">
        <v>20</v>
      </c>
      <c r="AM72" s="5" t="s">
        <v>19</v>
      </c>
      <c r="AN72" s="5" t="s">
        <v>20</v>
      </c>
      <c r="AO72" s="5" t="s">
        <v>20</v>
      </c>
      <c r="AP72" s="5" t="s">
        <v>20</v>
      </c>
      <c r="AQ72" s="5" t="s">
        <v>19</v>
      </c>
      <c r="AR72" s="5" t="s">
        <v>20</v>
      </c>
      <c r="AS72" s="16"/>
      <c r="AT72" s="16"/>
      <c r="AU72" s="24">
        <f t="shared" si="0"/>
        <v>31</v>
      </c>
      <c r="AV72" s="24">
        <f t="shared" si="1"/>
        <v>9</v>
      </c>
      <c r="AW72" s="24">
        <f t="shared" si="2"/>
        <v>40</v>
      </c>
      <c r="AX72" s="28">
        <f t="shared" si="3"/>
        <v>77.5</v>
      </c>
      <c r="AY72" s="3"/>
      <c r="AZ72" s="3"/>
      <c r="BA72" s="3"/>
    </row>
    <row r="73" spans="1:53">
      <c r="A73" s="11">
        <v>64</v>
      </c>
      <c r="B73" s="29" t="s">
        <v>146</v>
      </c>
      <c r="C73" s="13" t="s">
        <v>147</v>
      </c>
      <c r="D73" s="5" t="s">
        <v>20</v>
      </c>
      <c r="E73" s="5" t="s">
        <v>20</v>
      </c>
      <c r="F73" s="5" t="s">
        <v>19</v>
      </c>
      <c r="G73" s="5" t="s">
        <v>20</v>
      </c>
      <c r="H73" s="5" t="s">
        <v>19</v>
      </c>
      <c r="I73" s="5" t="s">
        <v>19</v>
      </c>
      <c r="J73" s="5" t="s">
        <v>19</v>
      </c>
      <c r="K73" s="5" t="s">
        <v>20</v>
      </c>
      <c r="L73" s="5" t="s">
        <v>20</v>
      </c>
      <c r="M73" s="5" t="s">
        <v>20</v>
      </c>
      <c r="N73" s="5" t="s">
        <v>19</v>
      </c>
      <c r="O73" s="5" t="s">
        <v>20</v>
      </c>
      <c r="P73" s="5" t="s">
        <v>20</v>
      </c>
      <c r="Q73" s="5" t="s">
        <v>19</v>
      </c>
      <c r="R73" s="5" t="s">
        <v>19</v>
      </c>
      <c r="S73" s="5" t="s">
        <v>19</v>
      </c>
      <c r="T73" s="5" t="s">
        <v>20</v>
      </c>
      <c r="U73" s="5" t="s">
        <v>20</v>
      </c>
      <c r="V73" s="5" t="s">
        <v>20</v>
      </c>
      <c r="W73" s="5" t="s">
        <v>20</v>
      </c>
      <c r="X73" s="5" t="s">
        <v>20</v>
      </c>
      <c r="Y73" s="5" t="s">
        <v>19</v>
      </c>
      <c r="Z73" s="5" t="s">
        <v>20</v>
      </c>
      <c r="AA73" s="20"/>
      <c r="AB73" s="5" t="s">
        <v>20</v>
      </c>
      <c r="AC73" s="5" t="s">
        <v>20</v>
      </c>
      <c r="AD73" s="5" t="s">
        <v>20</v>
      </c>
      <c r="AE73" s="5" t="s">
        <v>20</v>
      </c>
      <c r="AF73" s="5" t="s">
        <v>19</v>
      </c>
      <c r="AG73" s="5" t="s">
        <v>19</v>
      </c>
      <c r="AH73" s="5" t="s">
        <v>19</v>
      </c>
      <c r="AI73" s="5" t="s">
        <v>19</v>
      </c>
      <c r="AJ73" s="5" t="s">
        <v>20</v>
      </c>
      <c r="AK73" s="5" t="s">
        <v>20</v>
      </c>
      <c r="AL73" s="5" t="s">
        <v>20</v>
      </c>
      <c r="AM73" s="5" t="s">
        <v>20</v>
      </c>
      <c r="AN73" s="5" t="s">
        <v>20</v>
      </c>
      <c r="AO73" s="5" t="s">
        <v>19</v>
      </c>
      <c r="AP73" s="5" t="s">
        <v>20</v>
      </c>
      <c r="AQ73" s="5" t="s">
        <v>20</v>
      </c>
      <c r="AR73" s="5" t="s">
        <v>20</v>
      </c>
      <c r="AS73" s="16"/>
      <c r="AT73" s="16"/>
      <c r="AU73" s="24">
        <f t="shared" si="0"/>
        <v>26</v>
      </c>
      <c r="AV73" s="24">
        <f t="shared" si="1"/>
        <v>14</v>
      </c>
      <c r="AW73" s="24">
        <f t="shared" si="2"/>
        <v>40</v>
      </c>
      <c r="AX73" s="28">
        <f t="shared" si="3"/>
        <v>65</v>
      </c>
      <c r="AY73" s="3"/>
      <c r="AZ73" s="3"/>
      <c r="BA73" s="3"/>
    </row>
    <row r="74" spans="1:53">
      <c r="A74" s="14">
        <v>65</v>
      </c>
      <c r="B74" s="29" t="s">
        <v>148</v>
      </c>
      <c r="C74" s="13" t="s">
        <v>149</v>
      </c>
      <c r="D74" s="5" t="s">
        <v>19</v>
      </c>
      <c r="E74" s="5" t="s">
        <v>19</v>
      </c>
      <c r="F74" s="5" t="s">
        <v>19</v>
      </c>
      <c r="G74" s="5" t="s">
        <v>19</v>
      </c>
      <c r="H74" s="5" t="s">
        <v>19</v>
      </c>
      <c r="I74" s="5" t="s">
        <v>19</v>
      </c>
      <c r="J74" s="5" t="s">
        <v>19</v>
      </c>
      <c r="K74" s="5" t="s">
        <v>19</v>
      </c>
      <c r="L74" s="5" t="s">
        <v>19</v>
      </c>
      <c r="M74" s="5" t="s">
        <v>19</v>
      </c>
      <c r="N74" s="5" t="s">
        <v>20</v>
      </c>
      <c r="O74" s="5" t="s">
        <v>20</v>
      </c>
      <c r="P74" s="5" t="s">
        <v>20</v>
      </c>
      <c r="Q74" s="5" t="s">
        <v>20</v>
      </c>
      <c r="R74" s="5" t="s">
        <v>20</v>
      </c>
      <c r="S74" s="5" t="s">
        <v>19</v>
      </c>
      <c r="T74" s="5" t="s">
        <v>20</v>
      </c>
      <c r="U74" s="5" t="s">
        <v>20</v>
      </c>
      <c r="V74" s="5" t="s">
        <v>20</v>
      </c>
      <c r="W74" s="5" t="s">
        <v>20</v>
      </c>
      <c r="X74" s="5" t="s">
        <v>20</v>
      </c>
      <c r="Y74" s="5" t="s">
        <v>19</v>
      </c>
      <c r="Z74" s="5" t="s">
        <v>20</v>
      </c>
      <c r="AA74" s="20"/>
      <c r="AB74" s="5" t="s">
        <v>19</v>
      </c>
      <c r="AC74" s="5" t="s">
        <v>19</v>
      </c>
      <c r="AD74" s="5" t="s">
        <v>19</v>
      </c>
      <c r="AE74" s="5" t="s">
        <v>19</v>
      </c>
      <c r="AF74" s="5" t="s">
        <v>19</v>
      </c>
      <c r="AG74" s="5" t="s">
        <v>19</v>
      </c>
      <c r="AH74" s="5" t="s">
        <v>20</v>
      </c>
      <c r="AI74" s="5" t="s">
        <v>20</v>
      </c>
      <c r="AJ74" s="5" t="s">
        <v>20</v>
      </c>
      <c r="AK74" s="5" t="s">
        <v>20</v>
      </c>
      <c r="AL74" s="5" t="s">
        <v>20</v>
      </c>
      <c r="AM74" s="5" t="s">
        <v>20</v>
      </c>
      <c r="AN74" s="5" t="s">
        <v>20</v>
      </c>
      <c r="AO74" s="5" t="s">
        <v>20</v>
      </c>
      <c r="AP74" s="5" t="s">
        <v>19</v>
      </c>
      <c r="AQ74" s="5" t="s">
        <v>20</v>
      </c>
      <c r="AR74" s="5" t="s">
        <v>20</v>
      </c>
      <c r="AS74" s="16"/>
      <c r="AT74" s="16"/>
      <c r="AU74" s="24">
        <f t="shared" si="0"/>
        <v>21</v>
      </c>
      <c r="AV74" s="24">
        <f t="shared" si="1"/>
        <v>19</v>
      </c>
      <c r="AW74" s="24">
        <f t="shared" si="2"/>
        <v>40</v>
      </c>
      <c r="AX74" s="28">
        <f t="shared" si="3"/>
        <v>52.5</v>
      </c>
      <c r="AY74" s="3"/>
      <c r="AZ74" s="3"/>
      <c r="BA74" s="3"/>
    </row>
    <row r="75" spans="1:53">
      <c r="A75" s="14">
        <v>66</v>
      </c>
      <c r="B75" s="29" t="s">
        <v>150</v>
      </c>
      <c r="C75" s="13" t="s">
        <v>151</v>
      </c>
      <c r="D75" s="5" t="s">
        <v>19</v>
      </c>
      <c r="E75" s="5" t="s">
        <v>19</v>
      </c>
      <c r="F75" s="5" t="s">
        <v>19</v>
      </c>
      <c r="G75" s="5" t="s">
        <v>20</v>
      </c>
      <c r="H75" s="5" t="s">
        <v>20</v>
      </c>
      <c r="I75" s="5" t="s">
        <v>20</v>
      </c>
      <c r="J75" s="5" t="s">
        <v>19</v>
      </c>
      <c r="K75" s="5" t="s">
        <v>20</v>
      </c>
      <c r="L75" s="5" t="s">
        <v>20</v>
      </c>
      <c r="M75" s="5" t="s">
        <v>19</v>
      </c>
      <c r="N75" s="5" t="s">
        <v>19</v>
      </c>
      <c r="O75" s="5" t="s">
        <v>20</v>
      </c>
      <c r="P75" s="5" t="s">
        <v>20</v>
      </c>
      <c r="Q75" s="5" t="s">
        <v>19</v>
      </c>
      <c r="R75" s="5" t="s">
        <v>20</v>
      </c>
      <c r="S75" s="5" t="s">
        <v>20</v>
      </c>
      <c r="T75" s="5" t="s">
        <v>20</v>
      </c>
      <c r="U75" s="5" t="s">
        <v>20</v>
      </c>
      <c r="V75" s="5" t="s">
        <v>20</v>
      </c>
      <c r="W75" s="5" t="s">
        <v>20</v>
      </c>
      <c r="X75" s="5" t="s">
        <v>20</v>
      </c>
      <c r="Y75" s="5" t="s">
        <v>20</v>
      </c>
      <c r="Z75" s="5" t="s">
        <v>20</v>
      </c>
      <c r="AA75" s="20"/>
      <c r="AB75" s="5" t="s">
        <v>20</v>
      </c>
      <c r="AC75" s="5" t="s">
        <v>20</v>
      </c>
      <c r="AD75" s="5" t="s">
        <v>20</v>
      </c>
      <c r="AE75" s="5" t="s">
        <v>20</v>
      </c>
      <c r="AF75" s="5" t="s">
        <v>19</v>
      </c>
      <c r="AG75" s="5" t="s">
        <v>19</v>
      </c>
      <c r="AH75" s="5" t="s">
        <v>19</v>
      </c>
      <c r="AI75" s="5" t="s">
        <v>19</v>
      </c>
      <c r="AJ75" s="5" t="s">
        <v>20</v>
      </c>
      <c r="AK75" s="5" t="s">
        <v>20</v>
      </c>
      <c r="AL75" s="5" t="s">
        <v>20</v>
      </c>
      <c r="AM75" s="5" t="s">
        <v>19</v>
      </c>
      <c r="AN75" s="5" t="s">
        <v>20</v>
      </c>
      <c r="AO75" s="5" t="s">
        <v>20</v>
      </c>
      <c r="AP75" s="5" t="s">
        <v>20</v>
      </c>
      <c r="AQ75" s="5" t="s">
        <v>19</v>
      </c>
      <c r="AR75" s="5" t="s">
        <v>20</v>
      </c>
      <c r="AS75" s="16"/>
      <c r="AT75" s="16"/>
      <c r="AU75" s="24">
        <f t="shared" si="0"/>
        <v>27</v>
      </c>
      <c r="AV75" s="24">
        <f t="shared" si="1"/>
        <v>13</v>
      </c>
      <c r="AW75" s="24">
        <f t="shared" si="2"/>
        <v>40</v>
      </c>
      <c r="AX75" s="28">
        <f t="shared" si="3"/>
        <v>67.5</v>
      </c>
      <c r="AY75" s="3"/>
      <c r="AZ75" s="3"/>
      <c r="BA75" s="3"/>
    </row>
    <row r="76" spans="1:53">
      <c r="A76" s="14">
        <v>67</v>
      </c>
      <c r="B76" s="29" t="s">
        <v>152</v>
      </c>
      <c r="C76" s="13" t="s">
        <v>153</v>
      </c>
      <c r="D76" s="5" t="s">
        <v>20</v>
      </c>
      <c r="E76" s="5" t="s">
        <v>20</v>
      </c>
      <c r="F76" s="5" t="s">
        <v>19</v>
      </c>
      <c r="G76" s="5" t="s">
        <v>20</v>
      </c>
      <c r="H76" s="5" t="s">
        <v>19</v>
      </c>
      <c r="I76" s="5" t="s">
        <v>19</v>
      </c>
      <c r="J76" s="5" t="s">
        <v>20</v>
      </c>
      <c r="K76" s="5" t="s">
        <v>19</v>
      </c>
      <c r="L76" s="5" t="s">
        <v>19</v>
      </c>
      <c r="M76" s="5" t="s">
        <v>19</v>
      </c>
      <c r="N76" s="5" t="s">
        <v>19</v>
      </c>
      <c r="O76" s="5" t="s">
        <v>20</v>
      </c>
      <c r="P76" s="5" t="s">
        <v>19</v>
      </c>
      <c r="Q76" s="5" t="s">
        <v>19</v>
      </c>
      <c r="R76" s="5" t="s">
        <v>19</v>
      </c>
      <c r="S76" s="5" t="s">
        <v>20</v>
      </c>
      <c r="T76" s="5" t="s">
        <v>20</v>
      </c>
      <c r="U76" s="5" t="s">
        <v>20</v>
      </c>
      <c r="V76" s="5" t="s">
        <v>19</v>
      </c>
      <c r="W76" s="5" t="s">
        <v>20</v>
      </c>
      <c r="X76" s="5" t="s">
        <v>20</v>
      </c>
      <c r="Y76" s="5" t="s">
        <v>20</v>
      </c>
      <c r="Z76" s="5" t="s">
        <v>20</v>
      </c>
      <c r="AA76" s="20"/>
      <c r="AB76" s="5" t="s">
        <v>19</v>
      </c>
      <c r="AC76" s="5" t="s">
        <v>19</v>
      </c>
      <c r="AD76" s="5" t="s">
        <v>20</v>
      </c>
      <c r="AE76" s="5" t="s">
        <v>20</v>
      </c>
      <c r="AF76" s="5" t="s">
        <v>20</v>
      </c>
      <c r="AG76" s="5" t="s">
        <v>19</v>
      </c>
      <c r="AH76" s="5" t="s">
        <v>20</v>
      </c>
      <c r="AI76" s="5" t="s">
        <v>20</v>
      </c>
      <c r="AJ76" s="5" t="s">
        <v>19</v>
      </c>
      <c r="AK76" s="5" t="s">
        <v>19</v>
      </c>
      <c r="AL76" s="5" t="s">
        <v>20</v>
      </c>
      <c r="AM76" s="5" t="s">
        <v>19</v>
      </c>
      <c r="AN76" s="5" t="s">
        <v>19</v>
      </c>
      <c r="AO76" s="5" t="s">
        <v>20</v>
      </c>
      <c r="AP76" s="5" t="s">
        <v>20</v>
      </c>
      <c r="AQ76" s="5" t="s">
        <v>20</v>
      </c>
      <c r="AR76" s="5" t="s">
        <v>20</v>
      </c>
      <c r="AS76" s="16"/>
      <c r="AT76" s="16"/>
      <c r="AU76" s="24">
        <f t="shared" si="0"/>
        <v>22</v>
      </c>
      <c r="AV76" s="24">
        <f t="shared" si="1"/>
        <v>18</v>
      </c>
      <c r="AW76" s="24">
        <f t="shared" si="2"/>
        <v>40</v>
      </c>
      <c r="AX76" s="28">
        <f t="shared" si="3"/>
        <v>55</v>
      </c>
      <c r="AY76" s="3"/>
      <c r="AZ76" s="3"/>
      <c r="BA76" s="3"/>
    </row>
    <row r="77" spans="1:53">
      <c r="A77" s="14">
        <v>68</v>
      </c>
      <c r="B77" s="29" t="s">
        <v>154</v>
      </c>
      <c r="C77" s="13" t="s">
        <v>155</v>
      </c>
      <c r="D77" s="5" t="s">
        <v>19</v>
      </c>
      <c r="E77" s="5" t="s">
        <v>19</v>
      </c>
      <c r="F77" s="5" t="s">
        <v>19</v>
      </c>
      <c r="G77" s="5" t="s">
        <v>19</v>
      </c>
      <c r="H77" s="5" t="s">
        <v>20</v>
      </c>
      <c r="I77" s="5" t="s">
        <v>20</v>
      </c>
      <c r="J77" s="5" t="s">
        <v>19</v>
      </c>
      <c r="K77" s="5" t="s">
        <v>20</v>
      </c>
      <c r="L77" s="5" t="s">
        <v>20</v>
      </c>
      <c r="M77" s="5" t="s">
        <v>19</v>
      </c>
      <c r="N77" s="5" t="s">
        <v>20</v>
      </c>
      <c r="O77" s="5" t="s">
        <v>20</v>
      </c>
      <c r="P77" s="5" t="s">
        <v>19</v>
      </c>
      <c r="Q77" s="5" t="s">
        <v>19</v>
      </c>
      <c r="R77" s="5" t="s">
        <v>19</v>
      </c>
      <c r="S77" s="5" t="s">
        <v>19</v>
      </c>
      <c r="T77" s="5" t="s">
        <v>19</v>
      </c>
      <c r="U77" s="5" t="s">
        <v>20</v>
      </c>
      <c r="V77" s="5" t="s">
        <v>20</v>
      </c>
      <c r="W77" s="5" t="s">
        <v>20</v>
      </c>
      <c r="X77" s="5" t="s">
        <v>20</v>
      </c>
      <c r="Y77" s="5" t="s">
        <v>20</v>
      </c>
      <c r="Z77" s="5" t="s">
        <v>20</v>
      </c>
      <c r="AA77" s="20"/>
      <c r="AB77" s="5" t="s">
        <v>20</v>
      </c>
      <c r="AC77" s="5" t="s">
        <v>19</v>
      </c>
      <c r="AD77" s="5" t="s">
        <v>20</v>
      </c>
      <c r="AE77" s="5" t="s">
        <v>19</v>
      </c>
      <c r="AF77" s="5" t="s">
        <v>20</v>
      </c>
      <c r="AG77" s="5" t="s">
        <v>19</v>
      </c>
      <c r="AH77" s="5" t="s">
        <v>20</v>
      </c>
      <c r="AI77" s="5" t="s">
        <v>19</v>
      </c>
      <c r="AJ77" s="5" t="s">
        <v>20</v>
      </c>
      <c r="AK77" s="5" t="s">
        <v>20</v>
      </c>
      <c r="AL77" s="5" t="s">
        <v>20</v>
      </c>
      <c r="AM77" s="5" t="s">
        <v>19</v>
      </c>
      <c r="AN77" s="5" t="s">
        <v>20</v>
      </c>
      <c r="AO77" s="5" t="s">
        <v>20</v>
      </c>
      <c r="AP77" s="5" t="s">
        <v>19</v>
      </c>
      <c r="AQ77" s="5" t="s">
        <v>20</v>
      </c>
      <c r="AR77" s="5" t="s">
        <v>20</v>
      </c>
      <c r="AS77" s="16"/>
      <c r="AT77" s="16"/>
      <c r="AU77" s="24">
        <f t="shared" si="0"/>
        <v>23</v>
      </c>
      <c r="AV77" s="24">
        <f t="shared" si="1"/>
        <v>17</v>
      </c>
      <c r="AW77" s="24">
        <f t="shared" si="2"/>
        <v>40</v>
      </c>
      <c r="AX77" s="28">
        <f t="shared" si="3"/>
        <v>57.5</v>
      </c>
      <c r="AY77" s="3"/>
      <c r="AZ77" s="3"/>
      <c r="BA77" s="3"/>
    </row>
    <row r="78" spans="1:53">
      <c r="A78" s="11">
        <v>69</v>
      </c>
      <c r="B78" s="29" t="s">
        <v>156</v>
      </c>
      <c r="C78" s="13" t="s">
        <v>157</v>
      </c>
      <c r="D78" s="5" t="s">
        <v>19</v>
      </c>
      <c r="E78" s="5" t="s">
        <v>19</v>
      </c>
      <c r="F78" s="5" t="s">
        <v>19</v>
      </c>
      <c r="G78" s="5" t="s">
        <v>19</v>
      </c>
      <c r="H78" s="5" t="s">
        <v>20</v>
      </c>
      <c r="I78" s="5" t="s">
        <v>20</v>
      </c>
      <c r="J78" s="5" t="s">
        <v>19</v>
      </c>
      <c r="K78" s="5" t="s">
        <v>20</v>
      </c>
      <c r="L78" s="5" t="s">
        <v>19</v>
      </c>
      <c r="M78" s="5" t="s">
        <v>19</v>
      </c>
      <c r="N78" s="5" t="s">
        <v>20</v>
      </c>
      <c r="O78" s="5" t="s">
        <v>20</v>
      </c>
      <c r="P78" s="5" t="s">
        <v>20</v>
      </c>
      <c r="Q78" s="5" t="s">
        <v>19</v>
      </c>
      <c r="R78" s="5" t="s">
        <v>20</v>
      </c>
      <c r="S78" s="5" t="s">
        <v>19</v>
      </c>
      <c r="T78" s="5" t="s">
        <v>20</v>
      </c>
      <c r="U78" s="5" t="s">
        <v>20</v>
      </c>
      <c r="V78" s="5" t="s">
        <v>20</v>
      </c>
      <c r="W78" s="5" t="s">
        <v>20</v>
      </c>
      <c r="X78" s="5" t="s">
        <v>20</v>
      </c>
      <c r="Y78" s="5" t="s">
        <v>20</v>
      </c>
      <c r="Z78" s="5" t="s">
        <v>20</v>
      </c>
      <c r="AA78" s="20"/>
      <c r="AB78" s="5" t="s">
        <v>19</v>
      </c>
      <c r="AC78" s="5" t="s">
        <v>20</v>
      </c>
      <c r="AD78" s="5" t="s">
        <v>20</v>
      </c>
      <c r="AE78" s="5" t="s">
        <v>19</v>
      </c>
      <c r="AF78" s="5" t="s">
        <v>20</v>
      </c>
      <c r="AG78" s="5" t="s">
        <v>19</v>
      </c>
      <c r="AH78" s="5" t="s">
        <v>20</v>
      </c>
      <c r="AI78" s="5" t="s">
        <v>20</v>
      </c>
      <c r="AJ78" s="5" t="s">
        <v>20</v>
      </c>
      <c r="AK78" s="5" t="s">
        <v>20</v>
      </c>
      <c r="AL78" s="5" t="s">
        <v>20</v>
      </c>
      <c r="AM78" s="5" t="s">
        <v>20</v>
      </c>
      <c r="AN78" s="5" t="s">
        <v>20</v>
      </c>
      <c r="AO78" s="5" t="s">
        <v>20</v>
      </c>
      <c r="AP78" s="5" t="s">
        <v>20</v>
      </c>
      <c r="AQ78" s="5" t="s">
        <v>20</v>
      </c>
      <c r="AR78" s="5" t="s">
        <v>20</v>
      </c>
      <c r="AS78" s="16"/>
      <c r="AT78" s="16"/>
      <c r="AU78" s="24">
        <f t="shared" si="0"/>
        <v>28</v>
      </c>
      <c r="AV78" s="24">
        <f t="shared" si="1"/>
        <v>12</v>
      </c>
      <c r="AW78" s="24">
        <f t="shared" si="2"/>
        <v>40</v>
      </c>
      <c r="AX78" s="28">
        <f t="shared" si="3"/>
        <v>70</v>
      </c>
      <c r="AY78" s="3"/>
      <c r="AZ78" s="3"/>
      <c r="BA78" s="3"/>
    </row>
    <row r="79" spans="1:53">
      <c r="A79" s="14">
        <v>70</v>
      </c>
      <c r="B79" s="29" t="s">
        <v>158</v>
      </c>
      <c r="C79" s="13" t="s">
        <v>159</v>
      </c>
      <c r="D79" s="5" t="s">
        <v>19</v>
      </c>
      <c r="E79" s="5" t="s">
        <v>19</v>
      </c>
      <c r="F79" s="5" t="s">
        <v>19</v>
      </c>
      <c r="G79" s="5" t="s">
        <v>19</v>
      </c>
      <c r="H79" s="5" t="s">
        <v>19</v>
      </c>
      <c r="I79" s="5" t="s">
        <v>19</v>
      </c>
      <c r="J79" s="5" t="s">
        <v>20</v>
      </c>
      <c r="K79" s="5" t="s">
        <v>20</v>
      </c>
      <c r="L79" s="5" t="s">
        <v>19</v>
      </c>
      <c r="M79" s="5" t="s">
        <v>20</v>
      </c>
      <c r="N79" s="5" t="s">
        <v>20</v>
      </c>
      <c r="O79" s="5" t="s">
        <v>20</v>
      </c>
      <c r="P79" s="5" t="s">
        <v>20</v>
      </c>
      <c r="Q79" s="5" t="s">
        <v>19</v>
      </c>
      <c r="R79" s="5" t="s">
        <v>20</v>
      </c>
      <c r="S79" s="5" t="s">
        <v>19</v>
      </c>
      <c r="T79" s="5" t="s">
        <v>20</v>
      </c>
      <c r="U79" s="5" t="s">
        <v>20</v>
      </c>
      <c r="V79" s="5" t="s">
        <v>20</v>
      </c>
      <c r="W79" s="5" t="s">
        <v>20</v>
      </c>
      <c r="X79" s="5" t="s">
        <v>20</v>
      </c>
      <c r="Y79" s="5" t="s">
        <v>20</v>
      </c>
      <c r="Z79" s="5" t="s">
        <v>20</v>
      </c>
      <c r="AA79" s="20"/>
      <c r="AB79" s="5" t="s">
        <v>19</v>
      </c>
      <c r="AC79" s="5" t="s">
        <v>20</v>
      </c>
      <c r="AD79" s="5" t="s">
        <v>19</v>
      </c>
      <c r="AE79" s="5" t="s">
        <v>20</v>
      </c>
      <c r="AF79" s="5" t="s">
        <v>20</v>
      </c>
      <c r="AG79" s="5" t="s">
        <v>19</v>
      </c>
      <c r="AH79" s="5" t="s">
        <v>20</v>
      </c>
      <c r="AI79" s="5" t="s">
        <v>19</v>
      </c>
      <c r="AJ79" s="5" t="s">
        <v>19</v>
      </c>
      <c r="AK79" s="5" t="s">
        <v>19</v>
      </c>
      <c r="AL79" s="5" t="s">
        <v>20</v>
      </c>
      <c r="AM79" s="5" t="s">
        <v>20</v>
      </c>
      <c r="AN79" s="5" t="s">
        <v>20</v>
      </c>
      <c r="AO79" s="5" t="s">
        <v>20</v>
      </c>
      <c r="AP79" s="5" t="s">
        <v>20</v>
      </c>
      <c r="AQ79" s="5" t="s">
        <v>20</v>
      </c>
      <c r="AR79" s="5" t="s">
        <v>20</v>
      </c>
      <c r="AS79" s="16"/>
      <c r="AT79" s="16"/>
      <c r="AU79" s="24">
        <f t="shared" si="0"/>
        <v>25</v>
      </c>
      <c r="AV79" s="24">
        <f t="shared" si="1"/>
        <v>15</v>
      </c>
      <c r="AW79" s="24">
        <f t="shared" si="2"/>
        <v>40</v>
      </c>
      <c r="AX79" s="28">
        <f t="shared" si="3"/>
        <v>62.5</v>
      </c>
      <c r="AY79" s="3"/>
      <c r="AZ79" s="3"/>
      <c r="BA79" s="3"/>
    </row>
    <row r="80" spans="1:53">
      <c r="A80" s="14">
        <v>71</v>
      </c>
      <c r="B80" s="29" t="s">
        <v>160</v>
      </c>
      <c r="C80" s="13" t="s">
        <v>161</v>
      </c>
      <c r="D80" s="5" t="s">
        <v>20</v>
      </c>
      <c r="E80" s="5" t="s">
        <v>20</v>
      </c>
      <c r="F80" s="5" t="s">
        <v>19</v>
      </c>
      <c r="G80" s="5" t="s">
        <v>19</v>
      </c>
      <c r="H80" s="5" t="s">
        <v>20</v>
      </c>
      <c r="I80" s="5" t="s">
        <v>20</v>
      </c>
      <c r="J80" s="5" t="s">
        <v>19</v>
      </c>
      <c r="K80" s="5" t="s">
        <v>19</v>
      </c>
      <c r="L80" s="5" t="s">
        <v>19</v>
      </c>
      <c r="M80" s="5" t="s">
        <v>19</v>
      </c>
      <c r="N80" s="5" t="s">
        <v>20</v>
      </c>
      <c r="O80" s="5" t="s">
        <v>20</v>
      </c>
      <c r="P80" s="5" t="s">
        <v>20</v>
      </c>
      <c r="Q80" s="5" t="s">
        <v>20</v>
      </c>
      <c r="R80" s="5" t="s">
        <v>20</v>
      </c>
      <c r="S80" s="5" t="s">
        <v>19</v>
      </c>
      <c r="T80" s="5" t="s">
        <v>19</v>
      </c>
      <c r="U80" s="5" t="s">
        <v>20</v>
      </c>
      <c r="V80" s="5" t="s">
        <v>20</v>
      </c>
      <c r="W80" s="5" t="s">
        <v>20</v>
      </c>
      <c r="X80" s="5" t="s">
        <v>20</v>
      </c>
      <c r="Y80" s="5" t="s">
        <v>20</v>
      </c>
      <c r="Z80" s="5" t="s">
        <v>20</v>
      </c>
      <c r="AA80" s="31"/>
      <c r="AB80" s="5" t="s">
        <v>20</v>
      </c>
      <c r="AC80" s="5" t="s">
        <v>20</v>
      </c>
      <c r="AD80" s="5" t="s">
        <v>20</v>
      </c>
      <c r="AE80" s="5" t="s">
        <v>20</v>
      </c>
      <c r="AF80" s="5" t="s">
        <v>19</v>
      </c>
      <c r="AG80" s="5" t="s">
        <v>19</v>
      </c>
      <c r="AH80" s="5" t="s">
        <v>20</v>
      </c>
      <c r="AI80" s="5" t="s">
        <v>20</v>
      </c>
      <c r="AJ80" s="5" t="s">
        <v>20</v>
      </c>
      <c r="AK80" s="5" t="s">
        <v>20</v>
      </c>
      <c r="AL80" s="5" t="s">
        <v>20</v>
      </c>
      <c r="AM80" s="5" t="s">
        <v>19</v>
      </c>
      <c r="AN80" s="5" t="s">
        <v>20</v>
      </c>
      <c r="AO80" s="5" t="s">
        <v>20</v>
      </c>
      <c r="AP80" s="5" t="s">
        <v>19</v>
      </c>
      <c r="AQ80" s="5" t="s">
        <v>19</v>
      </c>
      <c r="AR80" s="5" t="s">
        <v>20</v>
      </c>
      <c r="AS80" s="16"/>
      <c r="AT80" s="16"/>
      <c r="AU80" s="24">
        <f t="shared" si="0"/>
        <v>27</v>
      </c>
      <c r="AV80" s="24">
        <f t="shared" si="1"/>
        <v>13</v>
      </c>
      <c r="AW80" s="24">
        <f t="shared" si="2"/>
        <v>40</v>
      </c>
      <c r="AX80" s="28">
        <f t="shared" si="3"/>
        <v>67.5</v>
      </c>
      <c r="AY80" s="3"/>
      <c r="AZ80" s="3"/>
      <c r="BA80" s="3"/>
    </row>
    <row r="81" spans="1:53">
      <c r="A81" s="14"/>
      <c r="B81" s="29"/>
      <c r="C81" s="1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6"/>
      <c r="P81" s="5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32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24"/>
      <c r="AV81" s="24"/>
      <c r="AW81" s="24"/>
      <c r="AX81" s="28"/>
      <c r="AY81" s="3"/>
      <c r="AZ81" s="3"/>
      <c r="BA81" s="3"/>
    </row>
    <row r="82" spans="1:53">
      <c r="A82" s="3"/>
      <c r="B82" s="3"/>
      <c r="C82" s="3"/>
      <c r="D82" s="30"/>
      <c r="E82" s="30"/>
      <c r="F82" s="30"/>
      <c r="G82" s="30"/>
      <c r="H82" s="30"/>
      <c r="I82" s="30"/>
      <c r="J82" s="3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"/>
      <c r="AV82" s="3"/>
      <c r="AW82" s="3"/>
      <c r="AX82" s="3"/>
      <c r="AY82" s="3"/>
      <c r="AZ82" s="3"/>
      <c r="BA82" s="3"/>
    </row>
    <row r="83" spans="1:53">
      <c r="A83" s="3"/>
      <c r="B83" s="3"/>
      <c r="C83" s="3"/>
      <c r="D83" s="30"/>
      <c r="E83" s="30"/>
      <c r="F83" s="30"/>
      <c r="G83" s="30"/>
      <c r="H83" s="30"/>
      <c r="I83" s="30"/>
      <c r="J83" s="3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"/>
      <c r="AV83" s="3"/>
      <c r="AW83" s="3"/>
      <c r="AX83" s="3"/>
      <c r="AY83" s="3"/>
      <c r="AZ83" s="3"/>
      <c r="BA83" s="3"/>
    </row>
    <row r="84" spans="1:53">
      <c r="A84" s="3"/>
      <c r="B84" s="3"/>
      <c r="C84" s="3"/>
      <c r="D84" s="30"/>
      <c r="E84" s="30"/>
      <c r="F84" s="30"/>
      <c r="G84" s="30"/>
      <c r="H84" s="30"/>
      <c r="I84" s="30"/>
      <c r="J84" s="3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"/>
      <c r="AV84" s="3"/>
      <c r="AW84" s="3"/>
      <c r="AX84" s="3"/>
      <c r="AY84" s="3"/>
      <c r="AZ84" s="3"/>
      <c r="BA84" s="3"/>
    </row>
    <row r="85" spans="1:53">
      <c r="A85" s="3"/>
      <c r="B85" s="3"/>
      <c r="C85" s="3"/>
      <c r="D85" s="30"/>
      <c r="E85" s="30"/>
      <c r="F85" s="30"/>
      <c r="G85" s="30"/>
      <c r="H85" s="30"/>
      <c r="I85" s="30"/>
      <c r="J85" s="3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"/>
      <c r="AV85" s="3"/>
      <c r="AW85" s="3"/>
      <c r="AX85" s="3"/>
      <c r="AY85" s="3"/>
      <c r="AZ85" s="3"/>
      <c r="BA85" s="3"/>
    </row>
    <row r="86" spans="1:53">
      <c r="A86" s="3"/>
      <c r="B86" s="3"/>
      <c r="C86" s="3"/>
      <c r="D86" s="30"/>
      <c r="E86" s="30"/>
      <c r="F86" s="30"/>
      <c r="G86" s="30"/>
      <c r="H86" s="30"/>
      <c r="I86" s="30"/>
      <c r="J86" s="3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"/>
      <c r="AV86" s="3"/>
      <c r="AW86" s="3"/>
      <c r="AX86" s="3"/>
      <c r="AY86" s="3"/>
      <c r="AZ86" s="3"/>
      <c r="BA86" s="3"/>
    </row>
    <row r="87" ht="12.75" spans="1:53">
      <c r="A87" s="3"/>
      <c r="B87" s="3"/>
      <c r="C87" s="3"/>
      <c r="D87" s="30"/>
      <c r="E87" s="30"/>
      <c r="F87" s="30"/>
      <c r="G87" s="30"/>
      <c r="H87" s="30"/>
      <c r="I87" s="30"/>
      <c r="J87" s="3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"/>
      <c r="AV87" s="3"/>
      <c r="AW87" s="3"/>
      <c r="AX87" s="3"/>
      <c r="AY87" s="3"/>
      <c r="AZ87" s="3"/>
      <c r="BA87" s="3"/>
    </row>
    <row r="88" ht="12.75" spans="1:53">
      <c r="A88" s="3"/>
      <c r="B88" s="3"/>
      <c r="C88" s="3"/>
      <c r="D88" s="30"/>
      <c r="E88" s="30"/>
      <c r="F88" s="30"/>
      <c r="G88" s="30"/>
      <c r="H88" s="30"/>
      <c r="I88" s="30"/>
      <c r="J88" s="3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"/>
      <c r="AV88" s="3"/>
      <c r="AW88" s="3"/>
      <c r="AX88" s="3"/>
      <c r="AY88" s="3"/>
      <c r="AZ88" s="3"/>
      <c r="BA88" s="3"/>
    </row>
    <row r="89" ht="12.75" spans="1:53">
      <c r="A89" s="3"/>
      <c r="B89" s="3"/>
      <c r="C89" s="3"/>
      <c r="D89" s="30"/>
      <c r="E89" s="30"/>
      <c r="F89" s="30"/>
      <c r="G89" s="30"/>
      <c r="H89" s="30"/>
      <c r="I89" s="30"/>
      <c r="J89" s="3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"/>
      <c r="AV89" s="3"/>
      <c r="AW89" s="3"/>
      <c r="AX89" s="3"/>
      <c r="AY89" s="3"/>
      <c r="AZ89" s="3"/>
      <c r="BA89" s="3"/>
    </row>
    <row r="90" ht="12.75" spans="1:53">
      <c r="A90" s="3"/>
      <c r="B90" s="3"/>
      <c r="C90" s="3"/>
      <c r="D90" s="30"/>
      <c r="E90" s="30"/>
      <c r="F90" s="30"/>
      <c r="G90" s="30"/>
      <c r="H90" s="30"/>
      <c r="I90" s="30"/>
      <c r="J90" s="3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"/>
      <c r="AV90" s="3"/>
      <c r="AW90" s="3"/>
      <c r="AX90" s="3"/>
      <c r="AY90" s="3"/>
      <c r="AZ90" s="3"/>
      <c r="BA90" s="3"/>
    </row>
    <row r="91" ht="12.75" spans="1:53">
      <c r="A91" s="3"/>
      <c r="B91" s="3"/>
      <c r="C91" s="3"/>
      <c r="D91" s="30"/>
      <c r="E91" s="30"/>
      <c r="F91" s="30"/>
      <c r="G91" s="30"/>
      <c r="H91" s="30"/>
      <c r="I91" s="30"/>
      <c r="J91" s="3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"/>
      <c r="AV91" s="3"/>
      <c r="AW91" s="3"/>
      <c r="AX91" s="3"/>
      <c r="AY91" s="3"/>
      <c r="AZ91" s="3"/>
      <c r="BA91" s="3"/>
    </row>
    <row r="92" ht="12.75" spans="1:53">
      <c r="A92" s="3"/>
      <c r="B92" s="3"/>
      <c r="C92" s="3"/>
      <c r="D92" s="30"/>
      <c r="E92" s="30"/>
      <c r="F92" s="30"/>
      <c r="G92" s="30"/>
      <c r="H92" s="30"/>
      <c r="I92" s="30"/>
      <c r="J92" s="3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"/>
      <c r="AV92" s="3"/>
      <c r="AW92" s="3"/>
      <c r="AX92" s="3"/>
      <c r="AY92" s="3"/>
      <c r="AZ92" s="3"/>
      <c r="BA92" s="3"/>
    </row>
    <row r="93" ht="12.75" spans="1:53">
      <c r="A93" s="3"/>
      <c r="B93" s="3"/>
      <c r="C93" s="3"/>
      <c r="D93" s="30"/>
      <c r="E93" s="30"/>
      <c r="F93" s="30"/>
      <c r="G93" s="30"/>
      <c r="H93" s="30"/>
      <c r="I93" s="30"/>
      <c r="J93" s="3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"/>
      <c r="AV93" s="3"/>
      <c r="AW93" s="3"/>
      <c r="AX93" s="3"/>
      <c r="AY93" s="3"/>
      <c r="AZ93" s="3"/>
      <c r="BA93" s="3"/>
    </row>
    <row r="94" ht="12.75" spans="1:53">
      <c r="A94" s="3"/>
      <c r="B94" s="3"/>
      <c r="C94" s="3"/>
      <c r="D94" s="30"/>
      <c r="E94" s="30"/>
      <c r="F94" s="30"/>
      <c r="G94" s="30"/>
      <c r="H94" s="30"/>
      <c r="I94" s="30"/>
      <c r="J94" s="3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"/>
      <c r="AV94" s="3"/>
      <c r="AW94" s="3"/>
      <c r="AX94" s="3"/>
      <c r="AY94" s="3"/>
      <c r="AZ94" s="3"/>
      <c r="BA94" s="3"/>
    </row>
    <row r="95" ht="12.75" spans="1:53">
      <c r="A95" s="3"/>
      <c r="B95" s="3"/>
      <c r="C95" s="3"/>
      <c r="D95" s="30"/>
      <c r="E95" s="30"/>
      <c r="F95" s="30"/>
      <c r="G95" s="30"/>
      <c r="H95" s="30"/>
      <c r="I95" s="30"/>
      <c r="J95" s="3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"/>
      <c r="AV95" s="3"/>
      <c r="AW95" s="3"/>
      <c r="AX95" s="3"/>
      <c r="AY95" s="3"/>
      <c r="AZ95" s="3"/>
      <c r="BA95" s="3"/>
    </row>
    <row r="96" ht="12.75" spans="1:53">
      <c r="A96" s="3"/>
      <c r="B96" s="3"/>
      <c r="C96" s="3"/>
      <c r="D96" s="30"/>
      <c r="E96" s="30"/>
      <c r="F96" s="30"/>
      <c r="G96" s="30"/>
      <c r="H96" s="30"/>
      <c r="I96" s="30"/>
      <c r="J96" s="3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"/>
      <c r="AV96" s="3"/>
      <c r="AW96" s="3"/>
      <c r="AX96" s="3"/>
      <c r="AY96" s="3"/>
      <c r="AZ96" s="3"/>
      <c r="BA96" s="3"/>
    </row>
    <row r="97" ht="12.75" spans="1:53">
      <c r="A97" s="3"/>
      <c r="B97" s="3"/>
      <c r="C97" s="3"/>
      <c r="D97" s="30"/>
      <c r="E97" s="30"/>
      <c r="F97" s="30"/>
      <c r="G97" s="30"/>
      <c r="H97" s="30"/>
      <c r="I97" s="30"/>
      <c r="J97" s="3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"/>
      <c r="AV97" s="3"/>
      <c r="AW97" s="3"/>
      <c r="AX97" s="3"/>
      <c r="AY97" s="3"/>
      <c r="AZ97" s="3"/>
      <c r="BA97" s="3"/>
    </row>
    <row r="98" ht="12.75" spans="1:53">
      <c r="A98" s="3"/>
      <c r="B98" s="3"/>
      <c r="C98" s="3"/>
      <c r="D98" s="30"/>
      <c r="E98" s="30"/>
      <c r="F98" s="30"/>
      <c r="G98" s="30"/>
      <c r="H98" s="30"/>
      <c r="I98" s="30"/>
      <c r="J98" s="3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"/>
      <c r="AV98" s="3"/>
      <c r="AW98" s="3"/>
      <c r="AX98" s="3"/>
      <c r="AY98" s="3"/>
      <c r="AZ98" s="3"/>
      <c r="BA98" s="3"/>
    </row>
    <row r="99" ht="12.75" spans="1:53">
      <c r="A99" s="3"/>
      <c r="B99" s="3"/>
      <c r="C99" s="3"/>
      <c r="D99" s="30"/>
      <c r="E99" s="30"/>
      <c r="F99" s="30"/>
      <c r="G99" s="30"/>
      <c r="H99" s="30"/>
      <c r="I99" s="30"/>
      <c r="J99" s="3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"/>
      <c r="AV99" s="3"/>
      <c r="AW99" s="3"/>
      <c r="AX99" s="3"/>
      <c r="AY99" s="3"/>
      <c r="AZ99" s="3"/>
      <c r="BA99" s="3"/>
    </row>
    <row r="100" ht="12.75" spans="1:53">
      <c r="A100" s="3"/>
      <c r="B100" s="3"/>
      <c r="C100" s="3"/>
      <c r="D100" s="30"/>
      <c r="E100" s="30"/>
      <c r="F100" s="30"/>
      <c r="G100" s="30"/>
      <c r="H100" s="30"/>
      <c r="I100" s="30"/>
      <c r="J100" s="3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"/>
      <c r="AV100" s="3"/>
      <c r="AW100" s="3"/>
      <c r="AX100" s="3"/>
      <c r="AY100" s="3"/>
      <c r="AZ100" s="3"/>
      <c r="BA100" s="3"/>
    </row>
    <row r="101" ht="12.75" spans="1:53">
      <c r="A101" s="3"/>
      <c r="B101" s="3"/>
      <c r="C101" s="3"/>
      <c r="D101" s="30"/>
      <c r="E101" s="30"/>
      <c r="F101" s="30"/>
      <c r="G101" s="30"/>
      <c r="H101" s="30"/>
      <c r="I101" s="30"/>
      <c r="J101" s="3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"/>
      <c r="AV101" s="3"/>
      <c r="AW101" s="3"/>
      <c r="AX101" s="3"/>
      <c r="AY101" s="3"/>
      <c r="AZ101" s="3"/>
      <c r="BA101" s="3"/>
    </row>
    <row r="102" ht="12.75" spans="1:53">
      <c r="A102" s="3"/>
      <c r="B102" s="3"/>
      <c r="C102" s="3"/>
      <c r="D102" s="30"/>
      <c r="E102" s="30"/>
      <c r="F102" s="30"/>
      <c r="G102" s="30"/>
      <c r="H102" s="30"/>
      <c r="I102" s="30"/>
      <c r="J102" s="3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"/>
      <c r="AV102" s="3"/>
      <c r="AW102" s="3"/>
      <c r="AX102" s="3"/>
      <c r="AY102" s="3"/>
      <c r="AZ102" s="3"/>
      <c r="BA102" s="3"/>
    </row>
    <row r="103" ht="12.75" spans="1:53">
      <c r="A103" s="3"/>
      <c r="B103" s="3"/>
      <c r="C103" s="3"/>
      <c r="D103" s="30"/>
      <c r="E103" s="30"/>
      <c r="F103" s="30"/>
      <c r="G103" s="30"/>
      <c r="H103" s="30"/>
      <c r="I103" s="30"/>
      <c r="J103" s="3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"/>
      <c r="AV103" s="3"/>
      <c r="AW103" s="3"/>
      <c r="AX103" s="3"/>
      <c r="AY103" s="3"/>
      <c r="AZ103" s="3"/>
      <c r="BA103" s="3"/>
    </row>
    <row r="104" ht="12.75" spans="1:53">
      <c r="A104" s="3"/>
      <c r="B104" s="3"/>
      <c r="C104" s="3"/>
      <c r="D104" s="30"/>
      <c r="E104" s="30"/>
      <c r="F104" s="30"/>
      <c r="G104" s="30"/>
      <c r="H104" s="30"/>
      <c r="I104" s="30"/>
      <c r="J104" s="3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"/>
      <c r="AV104" s="3"/>
      <c r="AW104" s="3"/>
      <c r="AX104" s="3"/>
      <c r="AY104" s="3"/>
      <c r="AZ104" s="3"/>
      <c r="BA104" s="3"/>
    </row>
    <row r="105" ht="12.75" spans="1:53">
      <c r="A105" s="3"/>
      <c r="B105" s="3"/>
      <c r="C105" s="3"/>
      <c r="D105" s="30"/>
      <c r="E105" s="30"/>
      <c r="F105" s="30"/>
      <c r="G105" s="30"/>
      <c r="H105" s="30"/>
      <c r="I105" s="30"/>
      <c r="J105" s="3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"/>
      <c r="AV105" s="3"/>
      <c r="AW105" s="3"/>
      <c r="AX105" s="3"/>
      <c r="AY105" s="3"/>
      <c r="AZ105" s="3"/>
      <c r="BA105" s="3"/>
    </row>
    <row r="106" ht="12.75" spans="1:53">
      <c r="A106" s="3"/>
      <c r="B106" s="3"/>
      <c r="C106" s="3"/>
      <c r="D106" s="30"/>
      <c r="E106" s="30"/>
      <c r="F106" s="30"/>
      <c r="G106" s="30"/>
      <c r="H106" s="30"/>
      <c r="I106" s="30"/>
      <c r="J106" s="3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"/>
      <c r="AV106" s="3"/>
      <c r="AW106" s="3"/>
      <c r="AX106" s="3"/>
      <c r="AY106" s="3"/>
      <c r="AZ106" s="3"/>
      <c r="BA106" s="3"/>
    </row>
    <row r="107" ht="12.75" spans="1:53">
      <c r="A107" s="3"/>
      <c r="B107" s="3"/>
      <c r="C107" s="3"/>
      <c r="D107" s="30"/>
      <c r="E107" s="30"/>
      <c r="F107" s="30"/>
      <c r="G107" s="30"/>
      <c r="H107" s="30"/>
      <c r="I107" s="30"/>
      <c r="J107" s="3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"/>
      <c r="AV107" s="3"/>
      <c r="AW107" s="3"/>
      <c r="AX107" s="3"/>
      <c r="AY107" s="3"/>
      <c r="AZ107" s="3"/>
      <c r="BA107" s="3"/>
    </row>
    <row r="108" ht="12.75" spans="1:53">
      <c r="A108" s="3"/>
      <c r="B108" s="3"/>
      <c r="C108" s="3"/>
      <c r="D108" s="30"/>
      <c r="E108" s="30"/>
      <c r="F108" s="30"/>
      <c r="G108" s="30"/>
      <c r="H108" s="30"/>
      <c r="I108" s="30"/>
      <c r="J108" s="3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"/>
      <c r="AV108" s="3"/>
      <c r="AW108" s="3"/>
      <c r="AX108" s="3"/>
      <c r="AY108" s="3"/>
      <c r="AZ108" s="3"/>
      <c r="BA108" s="3"/>
    </row>
    <row r="109" ht="12.75" spans="1:53">
      <c r="A109" s="3"/>
      <c r="B109" s="3"/>
      <c r="C109" s="3"/>
      <c r="D109" s="30"/>
      <c r="E109" s="30"/>
      <c r="F109" s="30"/>
      <c r="G109" s="30"/>
      <c r="H109" s="30"/>
      <c r="I109" s="30"/>
      <c r="J109" s="3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"/>
      <c r="AV109" s="3"/>
      <c r="AW109" s="3"/>
      <c r="AX109" s="3"/>
      <c r="AY109" s="3"/>
      <c r="AZ109" s="3"/>
      <c r="BA109" s="3"/>
    </row>
    <row r="110" ht="12.75" spans="1:53">
      <c r="A110" s="3"/>
      <c r="B110" s="3"/>
      <c r="C110" s="3"/>
      <c r="D110" s="30"/>
      <c r="E110" s="30"/>
      <c r="F110" s="30"/>
      <c r="G110" s="30"/>
      <c r="H110" s="30"/>
      <c r="I110" s="30"/>
      <c r="J110" s="3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"/>
      <c r="AV110" s="3"/>
      <c r="AW110" s="3"/>
      <c r="AX110" s="3"/>
      <c r="AY110" s="3"/>
      <c r="AZ110" s="3"/>
      <c r="BA110" s="3"/>
    </row>
    <row r="111" ht="12.75" spans="1:53">
      <c r="A111" s="3"/>
      <c r="B111" s="3"/>
      <c r="C111" s="3"/>
      <c r="D111" s="30"/>
      <c r="E111" s="30"/>
      <c r="F111" s="30"/>
      <c r="G111" s="30"/>
      <c r="H111" s="30"/>
      <c r="I111" s="30"/>
      <c r="J111" s="3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"/>
      <c r="AV111" s="3"/>
      <c r="AW111" s="3"/>
      <c r="AX111" s="3"/>
      <c r="AY111" s="3"/>
      <c r="AZ111" s="3"/>
      <c r="BA111" s="3"/>
    </row>
    <row r="112" ht="12.75" spans="1:53">
      <c r="A112" s="3"/>
      <c r="B112" s="3"/>
      <c r="C112" s="3"/>
      <c r="D112" s="30"/>
      <c r="E112" s="30"/>
      <c r="F112" s="30"/>
      <c r="G112" s="30"/>
      <c r="H112" s="30"/>
      <c r="I112" s="30"/>
      <c r="J112" s="3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"/>
      <c r="AV112" s="3"/>
      <c r="AW112" s="3"/>
      <c r="AX112" s="3"/>
      <c r="AY112" s="3"/>
      <c r="AZ112" s="3"/>
      <c r="BA112" s="3"/>
    </row>
    <row r="113" ht="12.75" spans="1:53">
      <c r="A113" s="3"/>
      <c r="B113" s="3"/>
      <c r="C113" s="3"/>
      <c r="D113" s="30"/>
      <c r="E113" s="30"/>
      <c r="F113" s="30"/>
      <c r="G113" s="30"/>
      <c r="H113" s="30"/>
      <c r="I113" s="30"/>
      <c r="J113" s="3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"/>
      <c r="AV113" s="3"/>
      <c r="AW113" s="3"/>
      <c r="AX113" s="3"/>
      <c r="AY113" s="3"/>
      <c r="AZ113" s="3"/>
      <c r="BA113" s="3"/>
    </row>
    <row r="114" ht="12.75" spans="1:53">
      <c r="A114" s="3"/>
      <c r="B114" s="3"/>
      <c r="C114" s="3"/>
      <c r="D114" s="30"/>
      <c r="E114" s="30"/>
      <c r="F114" s="30"/>
      <c r="G114" s="30"/>
      <c r="H114" s="30"/>
      <c r="I114" s="30"/>
      <c r="J114" s="3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"/>
      <c r="AV114" s="3"/>
      <c r="AW114" s="3"/>
      <c r="AX114" s="3"/>
      <c r="AY114" s="3"/>
      <c r="AZ114" s="3"/>
      <c r="BA114" s="3"/>
    </row>
    <row r="115" ht="12.75" spans="1:53">
      <c r="A115" s="3"/>
      <c r="B115" s="3"/>
      <c r="C115" s="3"/>
      <c r="D115" s="30"/>
      <c r="E115" s="30"/>
      <c r="F115" s="30"/>
      <c r="G115" s="30"/>
      <c r="H115" s="30"/>
      <c r="I115" s="30"/>
      <c r="J115" s="3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"/>
      <c r="AV115" s="3"/>
      <c r="AW115" s="3"/>
      <c r="AX115" s="3"/>
      <c r="AY115" s="3"/>
      <c r="AZ115" s="3"/>
      <c r="BA115" s="3"/>
    </row>
    <row r="116" ht="12.75" spans="1:53">
      <c r="A116" s="3"/>
      <c r="B116" s="3"/>
      <c r="C116" s="3"/>
      <c r="D116" s="30"/>
      <c r="E116" s="30"/>
      <c r="F116" s="30"/>
      <c r="G116" s="30"/>
      <c r="H116" s="30"/>
      <c r="I116" s="30"/>
      <c r="J116" s="3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"/>
      <c r="AV116" s="3"/>
      <c r="AW116" s="3"/>
      <c r="AX116" s="3"/>
      <c r="AY116" s="3"/>
      <c r="AZ116" s="3"/>
      <c r="BA116" s="3"/>
    </row>
    <row r="117" ht="12.75" spans="1:53">
      <c r="A117" s="3"/>
      <c r="B117" s="3"/>
      <c r="C117" s="3"/>
      <c r="D117" s="30"/>
      <c r="E117" s="30"/>
      <c r="F117" s="30"/>
      <c r="G117" s="30"/>
      <c r="H117" s="30"/>
      <c r="I117" s="30"/>
      <c r="J117" s="3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"/>
      <c r="AV117" s="3"/>
      <c r="AW117" s="3"/>
      <c r="AX117" s="3"/>
      <c r="AY117" s="3"/>
      <c r="AZ117" s="3"/>
      <c r="BA117" s="3"/>
    </row>
    <row r="118" ht="12.75" spans="1:53">
      <c r="A118" s="3"/>
      <c r="B118" s="3"/>
      <c r="C118" s="3"/>
      <c r="D118" s="30"/>
      <c r="E118" s="30"/>
      <c r="F118" s="30"/>
      <c r="G118" s="30"/>
      <c r="H118" s="30"/>
      <c r="I118" s="30"/>
      <c r="J118" s="3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"/>
      <c r="AV118" s="3"/>
      <c r="AW118" s="3"/>
      <c r="AX118" s="3"/>
      <c r="AY118" s="3"/>
      <c r="AZ118" s="3"/>
      <c r="BA118" s="3"/>
    </row>
    <row r="119" ht="12.75" spans="1:53">
      <c r="A119" s="3"/>
      <c r="B119" s="3"/>
      <c r="C119" s="3"/>
      <c r="D119" s="30"/>
      <c r="E119" s="30"/>
      <c r="F119" s="30"/>
      <c r="G119" s="30"/>
      <c r="H119" s="30"/>
      <c r="I119" s="30"/>
      <c r="J119" s="3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"/>
      <c r="AV119" s="3"/>
      <c r="AW119" s="3"/>
      <c r="AX119" s="3"/>
      <c r="AY119" s="3"/>
      <c r="AZ119" s="3"/>
      <c r="BA119" s="3"/>
    </row>
    <row r="120" ht="12.75" spans="1:53">
      <c r="A120" s="3"/>
      <c r="B120" s="3"/>
      <c r="C120" s="3"/>
      <c r="D120" s="30"/>
      <c r="E120" s="30"/>
      <c r="F120" s="30"/>
      <c r="G120" s="30"/>
      <c r="H120" s="30"/>
      <c r="I120" s="30"/>
      <c r="J120" s="3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"/>
      <c r="AV120" s="3"/>
      <c r="AW120" s="3"/>
      <c r="AX120" s="3"/>
      <c r="AY120" s="3"/>
      <c r="AZ120" s="3"/>
      <c r="BA120" s="3"/>
    </row>
    <row r="121" ht="12.75" spans="1:53">
      <c r="A121" s="3"/>
      <c r="B121" s="3"/>
      <c r="C121" s="3"/>
      <c r="D121" s="30"/>
      <c r="E121" s="30"/>
      <c r="F121" s="30"/>
      <c r="G121" s="30"/>
      <c r="H121" s="30"/>
      <c r="I121" s="30"/>
      <c r="J121" s="3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"/>
      <c r="AV121" s="3"/>
      <c r="AW121" s="3"/>
      <c r="AX121" s="3"/>
      <c r="AY121" s="3"/>
      <c r="AZ121" s="3"/>
      <c r="BA121" s="3"/>
    </row>
    <row r="122" ht="12.75" spans="1:53">
      <c r="A122" s="3"/>
      <c r="B122" s="3"/>
      <c r="C122" s="3"/>
      <c r="D122" s="30"/>
      <c r="E122" s="30"/>
      <c r="F122" s="30"/>
      <c r="G122" s="30"/>
      <c r="H122" s="30"/>
      <c r="I122" s="30"/>
      <c r="J122" s="3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"/>
      <c r="AV122" s="3"/>
      <c r="AW122" s="3"/>
      <c r="AX122" s="3"/>
      <c r="AY122" s="3"/>
      <c r="AZ122" s="3"/>
      <c r="BA122" s="3"/>
    </row>
    <row r="123" ht="12.75" spans="1:53">
      <c r="A123" s="3"/>
      <c r="B123" s="3"/>
      <c r="C123" s="3"/>
      <c r="D123" s="30"/>
      <c r="E123" s="30"/>
      <c r="F123" s="30"/>
      <c r="G123" s="30"/>
      <c r="H123" s="30"/>
      <c r="I123" s="30"/>
      <c r="J123" s="3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"/>
      <c r="AV123" s="3"/>
      <c r="AW123" s="3"/>
      <c r="AX123" s="3"/>
      <c r="AY123" s="3"/>
      <c r="AZ123" s="3"/>
      <c r="BA123" s="3"/>
    </row>
    <row r="124" ht="12.75" spans="1:53">
      <c r="A124" s="3"/>
      <c r="B124" s="3"/>
      <c r="C124" s="3"/>
      <c r="D124" s="30"/>
      <c r="E124" s="30"/>
      <c r="F124" s="30"/>
      <c r="G124" s="30"/>
      <c r="H124" s="30"/>
      <c r="I124" s="30"/>
      <c r="J124" s="3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"/>
      <c r="AV124" s="3"/>
      <c r="AW124" s="3"/>
      <c r="AX124" s="3"/>
      <c r="AY124" s="3"/>
      <c r="AZ124" s="3"/>
      <c r="BA124" s="3"/>
    </row>
    <row r="125" ht="12.75" spans="1:53">
      <c r="A125" s="3"/>
      <c r="B125" s="3"/>
      <c r="C125" s="3"/>
      <c r="D125" s="30"/>
      <c r="E125" s="30"/>
      <c r="F125" s="30"/>
      <c r="G125" s="30"/>
      <c r="H125" s="30"/>
      <c r="I125" s="30"/>
      <c r="J125" s="3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"/>
      <c r="AV125" s="3"/>
      <c r="AW125" s="3"/>
      <c r="AX125" s="3"/>
      <c r="AY125" s="3"/>
      <c r="AZ125" s="3"/>
      <c r="BA125" s="3"/>
    </row>
    <row r="126" ht="12.75" spans="1:53">
      <c r="A126" s="3"/>
      <c r="B126" s="3"/>
      <c r="C126" s="3"/>
      <c r="D126" s="30"/>
      <c r="E126" s="30"/>
      <c r="F126" s="30"/>
      <c r="G126" s="30"/>
      <c r="H126" s="30"/>
      <c r="I126" s="30"/>
      <c r="J126" s="3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"/>
      <c r="AV126" s="3"/>
      <c r="AW126" s="3"/>
      <c r="AX126" s="3"/>
      <c r="AY126" s="3"/>
      <c r="AZ126" s="3"/>
      <c r="BA126" s="3"/>
    </row>
    <row r="127" ht="12.75" spans="1:53">
      <c r="A127" s="3"/>
      <c r="B127" s="3"/>
      <c r="C127" s="3"/>
      <c r="D127" s="30"/>
      <c r="E127" s="30"/>
      <c r="F127" s="30"/>
      <c r="G127" s="30"/>
      <c r="H127" s="30"/>
      <c r="I127" s="30"/>
      <c r="J127" s="3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"/>
      <c r="AV127" s="3"/>
      <c r="AW127" s="3"/>
      <c r="AX127" s="3"/>
      <c r="AY127" s="3"/>
      <c r="AZ127" s="3"/>
      <c r="BA127" s="3"/>
    </row>
    <row r="128" ht="12.75" spans="1:53">
      <c r="A128" s="3"/>
      <c r="B128" s="3"/>
      <c r="C128" s="3"/>
      <c r="D128" s="30"/>
      <c r="E128" s="30"/>
      <c r="F128" s="30"/>
      <c r="G128" s="30"/>
      <c r="H128" s="30"/>
      <c r="I128" s="30"/>
      <c r="J128" s="3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"/>
      <c r="AV128" s="3"/>
      <c r="AW128" s="3"/>
      <c r="AX128" s="3"/>
      <c r="AY128" s="3"/>
      <c r="AZ128" s="3"/>
      <c r="BA128" s="3"/>
    </row>
    <row r="129" ht="12.75" spans="1:53">
      <c r="A129" s="3"/>
      <c r="B129" s="3"/>
      <c r="C129" s="3"/>
      <c r="D129" s="30"/>
      <c r="E129" s="30"/>
      <c r="F129" s="30"/>
      <c r="G129" s="30"/>
      <c r="H129" s="30"/>
      <c r="I129" s="30"/>
      <c r="J129" s="3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"/>
      <c r="AV129" s="3"/>
      <c r="AW129" s="3"/>
      <c r="AX129" s="3"/>
      <c r="AY129" s="3"/>
      <c r="AZ129" s="3"/>
      <c r="BA129" s="3"/>
    </row>
    <row r="130" ht="12.75" spans="1:53">
      <c r="A130" s="3"/>
      <c r="B130" s="3"/>
      <c r="C130" s="3"/>
      <c r="D130" s="30"/>
      <c r="E130" s="30"/>
      <c r="F130" s="30"/>
      <c r="G130" s="30"/>
      <c r="H130" s="30"/>
      <c r="I130" s="30"/>
      <c r="J130" s="3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"/>
      <c r="AV130" s="3"/>
      <c r="AW130" s="3"/>
      <c r="AX130" s="3"/>
      <c r="AY130" s="3"/>
      <c r="AZ130" s="3"/>
      <c r="BA130" s="3"/>
    </row>
    <row r="131" ht="12.75" spans="1:53">
      <c r="A131" s="3"/>
      <c r="B131" s="3"/>
      <c r="C131" s="3"/>
      <c r="D131" s="30"/>
      <c r="E131" s="30"/>
      <c r="F131" s="30"/>
      <c r="G131" s="30"/>
      <c r="H131" s="30"/>
      <c r="I131" s="30"/>
      <c r="J131" s="3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"/>
      <c r="AV131" s="3"/>
      <c r="AW131" s="3"/>
      <c r="AX131" s="3"/>
      <c r="AY131" s="3"/>
      <c r="AZ131" s="3"/>
      <c r="BA131" s="3"/>
    </row>
    <row r="132" ht="12.75" spans="1:53">
      <c r="A132" s="3"/>
      <c r="B132" s="3"/>
      <c r="C132" s="3"/>
      <c r="D132" s="30"/>
      <c r="E132" s="30"/>
      <c r="F132" s="30"/>
      <c r="G132" s="30"/>
      <c r="H132" s="30"/>
      <c r="I132" s="30"/>
      <c r="J132" s="3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"/>
      <c r="AV132" s="3"/>
      <c r="AW132" s="3"/>
      <c r="AX132" s="3"/>
      <c r="AY132" s="3"/>
      <c r="AZ132" s="3"/>
      <c r="BA132" s="3"/>
    </row>
    <row r="133" ht="12.75" spans="1:53">
      <c r="A133" s="3"/>
      <c r="B133" s="3"/>
      <c r="C133" s="3"/>
      <c r="D133" s="30"/>
      <c r="E133" s="30"/>
      <c r="F133" s="30"/>
      <c r="G133" s="30"/>
      <c r="H133" s="30"/>
      <c r="I133" s="30"/>
      <c r="J133" s="3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"/>
      <c r="AV133" s="3"/>
      <c r="AW133" s="3"/>
      <c r="AX133" s="3"/>
      <c r="AY133" s="3"/>
      <c r="AZ133" s="3"/>
      <c r="BA133" s="3"/>
    </row>
    <row r="134" ht="12.75" spans="1:53">
      <c r="A134" s="3"/>
      <c r="B134" s="3"/>
      <c r="C134" s="3"/>
      <c r="D134" s="30"/>
      <c r="E134" s="30"/>
      <c r="F134" s="30"/>
      <c r="G134" s="30"/>
      <c r="H134" s="30"/>
      <c r="I134" s="30"/>
      <c r="J134" s="3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"/>
      <c r="AV134" s="3"/>
      <c r="AW134" s="3"/>
      <c r="AX134" s="3"/>
      <c r="AY134" s="3"/>
      <c r="AZ134" s="3"/>
      <c r="BA134" s="3"/>
    </row>
    <row r="135" ht="12.75" spans="1:53">
      <c r="A135" s="3"/>
      <c r="B135" s="3"/>
      <c r="C135" s="3"/>
      <c r="D135" s="30"/>
      <c r="E135" s="30"/>
      <c r="F135" s="30"/>
      <c r="G135" s="30"/>
      <c r="H135" s="30"/>
      <c r="I135" s="30"/>
      <c r="J135" s="3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"/>
      <c r="AV135" s="3"/>
      <c r="AW135" s="3"/>
      <c r="AX135" s="3"/>
      <c r="AY135" s="3"/>
      <c r="AZ135" s="3"/>
      <c r="BA135" s="3"/>
    </row>
    <row r="136" ht="12.75" spans="1:53">
      <c r="A136" s="3"/>
      <c r="B136" s="3"/>
      <c r="C136" s="3"/>
      <c r="D136" s="30"/>
      <c r="E136" s="30"/>
      <c r="F136" s="30"/>
      <c r="G136" s="30"/>
      <c r="H136" s="30"/>
      <c r="I136" s="30"/>
      <c r="J136" s="3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"/>
      <c r="AV136" s="3"/>
      <c r="AW136" s="3"/>
      <c r="AX136" s="3"/>
      <c r="AY136" s="3"/>
      <c r="AZ136" s="3"/>
      <c r="BA136" s="3"/>
    </row>
    <row r="137" ht="12.75" spans="1:53">
      <c r="A137" s="3"/>
      <c r="B137" s="3"/>
      <c r="C137" s="3"/>
      <c r="D137" s="30"/>
      <c r="E137" s="30"/>
      <c r="F137" s="30"/>
      <c r="G137" s="30"/>
      <c r="H137" s="30"/>
      <c r="I137" s="30"/>
      <c r="J137" s="3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"/>
      <c r="AV137" s="3"/>
      <c r="AW137" s="3"/>
      <c r="AX137" s="3"/>
      <c r="AY137" s="3"/>
      <c r="AZ137" s="3"/>
      <c r="BA137" s="3"/>
    </row>
    <row r="138" ht="12.75" spans="1:53">
      <c r="A138" s="3"/>
      <c r="B138" s="3"/>
      <c r="C138" s="3"/>
      <c r="D138" s="30"/>
      <c r="E138" s="30"/>
      <c r="F138" s="30"/>
      <c r="G138" s="30"/>
      <c r="H138" s="30"/>
      <c r="I138" s="30"/>
      <c r="J138" s="3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"/>
      <c r="AV138" s="3"/>
      <c r="AW138" s="3"/>
      <c r="AX138" s="3"/>
      <c r="AY138" s="3"/>
      <c r="AZ138" s="3"/>
      <c r="BA138" s="3"/>
    </row>
    <row r="139" ht="12.75" spans="1:53">
      <c r="A139" s="3"/>
      <c r="B139" s="3"/>
      <c r="C139" s="3"/>
      <c r="D139" s="30"/>
      <c r="E139" s="30"/>
      <c r="F139" s="30"/>
      <c r="G139" s="30"/>
      <c r="H139" s="30"/>
      <c r="I139" s="30"/>
      <c r="J139" s="3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"/>
      <c r="AV139" s="3"/>
      <c r="AW139" s="3"/>
      <c r="AX139" s="3"/>
      <c r="AY139" s="3"/>
      <c r="AZ139" s="3"/>
      <c r="BA139" s="3"/>
    </row>
    <row r="140" ht="12.75" spans="1:53">
      <c r="A140" s="3"/>
      <c r="B140" s="3"/>
      <c r="C140" s="3"/>
      <c r="D140" s="30"/>
      <c r="E140" s="30"/>
      <c r="F140" s="30"/>
      <c r="G140" s="30"/>
      <c r="H140" s="30"/>
      <c r="I140" s="30"/>
      <c r="J140" s="3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"/>
      <c r="AV140" s="3"/>
      <c r="AW140" s="3"/>
      <c r="AX140" s="3"/>
      <c r="AY140" s="3"/>
      <c r="AZ140" s="3"/>
      <c r="BA140" s="3"/>
    </row>
    <row r="141" ht="12.75" spans="1:53">
      <c r="A141" s="3"/>
      <c r="B141" s="3"/>
      <c r="C141" s="3"/>
      <c r="D141" s="30"/>
      <c r="E141" s="30"/>
      <c r="F141" s="30"/>
      <c r="G141" s="30"/>
      <c r="H141" s="30"/>
      <c r="I141" s="30"/>
      <c r="J141" s="3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"/>
      <c r="AV141" s="3"/>
      <c r="AW141" s="3"/>
      <c r="AX141" s="3"/>
      <c r="AY141" s="3"/>
      <c r="AZ141" s="3"/>
      <c r="BA141" s="3"/>
    </row>
    <row r="142" ht="12.75" spans="1:53">
      <c r="A142" s="3"/>
      <c r="B142" s="3"/>
      <c r="C142" s="3"/>
      <c r="D142" s="30"/>
      <c r="E142" s="30"/>
      <c r="F142" s="30"/>
      <c r="G142" s="30"/>
      <c r="H142" s="30"/>
      <c r="I142" s="30"/>
      <c r="J142" s="3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"/>
      <c r="AV142" s="3"/>
      <c r="AW142" s="3"/>
      <c r="AX142" s="3"/>
      <c r="AY142" s="3"/>
      <c r="AZ142" s="3"/>
      <c r="BA142" s="3"/>
    </row>
    <row r="143" ht="12.75" spans="1:53">
      <c r="A143" s="3"/>
      <c r="B143" s="3"/>
      <c r="C143" s="3"/>
      <c r="D143" s="30"/>
      <c r="E143" s="30"/>
      <c r="F143" s="30"/>
      <c r="G143" s="30"/>
      <c r="H143" s="30"/>
      <c r="I143" s="30"/>
      <c r="J143" s="3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"/>
      <c r="AV143" s="3"/>
      <c r="AW143" s="3"/>
      <c r="AX143" s="3"/>
      <c r="AY143" s="3"/>
      <c r="AZ143" s="3"/>
      <c r="BA143" s="3"/>
    </row>
    <row r="144" ht="12.75" spans="1:53">
      <c r="A144" s="3"/>
      <c r="B144" s="3"/>
      <c r="C144" s="3"/>
      <c r="D144" s="30"/>
      <c r="E144" s="30"/>
      <c r="F144" s="30"/>
      <c r="G144" s="30"/>
      <c r="H144" s="30"/>
      <c r="I144" s="30"/>
      <c r="J144" s="3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"/>
      <c r="AV144" s="3"/>
      <c r="AW144" s="3"/>
      <c r="AX144" s="3"/>
      <c r="AY144" s="3"/>
      <c r="AZ144" s="3"/>
      <c r="BA144" s="3"/>
    </row>
    <row r="145" ht="12.75" spans="1:53">
      <c r="A145" s="3"/>
      <c r="B145" s="3"/>
      <c r="C145" s="3"/>
      <c r="D145" s="30"/>
      <c r="E145" s="30"/>
      <c r="F145" s="30"/>
      <c r="G145" s="30"/>
      <c r="H145" s="30"/>
      <c r="I145" s="30"/>
      <c r="J145" s="3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"/>
      <c r="AV145" s="3"/>
      <c r="AW145" s="3"/>
      <c r="AX145" s="3"/>
      <c r="AY145" s="3"/>
      <c r="AZ145" s="3"/>
      <c r="BA145" s="3"/>
    </row>
    <row r="146" ht="12.75" spans="1:53">
      <c r="A146" s="3"/>
      <c r="B146" s="3"/>
      <c r="C146" s="3"/>
      <c r="D146" s="30"/>
      <c r="E146" s="30"/>
      <c r="F146" s="30"/>
      <c r="G146" s="30"/>
      <c r="H146" s="30"/>
      <c r="I146" s="30"/>
      <c r="J146" s="3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"/>
      <c r="AV146" s="3"/>
      <c r="AW146" s="3"/>
      <c r="AX146" s="3"/>
      <c r="AY146" s="3"/>
      <c r="AZ146" s="3"/>
      <c r="BA146" s="3"/>
    </row>
    <row r="147" ht="12.75" spans="1:53">
      <c r="A147" s="3"/>
      <c r="B147" s="3"/>
      <c r="C147" s="3"/>
      <c r="D147" s="30"/>
      <c r="E147" s="30"/>
      <c r="F147" s="30"/>
      <c r="G147" s="30"/>
      <c r="H147" s="30"/>
      <c r="I147" s="30"/>
      <c r="J147" s="3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"/>
      <c r="AV147" s="3"/>
      <c r="AW147" s="3"/>
      <c r="AX147" s="3"/>
      <c r="AY147" s="3"/>
      <c r="AZ147" s="3"/>
      <c r="BA147" s="3"/>
    </row>
    <row r="148" ht="12.75" spans="1:53">
      <c r="A148" s="3"/>
      <c r="B148" s="3"/>
      <c r="C148" s="3"/>
      <c r="D148" s="30"/>
      <c r="E148" s="30"/>
      <c r="F148" s="30"/>
      <c r="G148" s="30"/>
      <c r="H148" s="30"/>
      <c r="I148" s="30"/>
      <c r="J148" s="3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"/>
      <c r="AV148" s="3"/>
      <c r="AW148" s="3"/>
      <c r="AX148" s="3"/>
      <c r="AY148" s="3"/>
      <c r="AZ148" s="3"/>
      <c r="BA148" s="3"/>
    </row>
    <row r="149" ht="12.75" spans="1:53">
      <c r="A149" s="3"/>
      <c r="B149" s="3"/>
      <c r="C149" s="3"/>
      <c r="D149" s="30"/>
      <c r="E149" s="30"/>
      <c r="F149" s="30"/>
      <c r="G149" s="30"/>
      <c r="H149" s="30"/>
      <c r="I149" s="30"/>
      <c r="J149" s="3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"/>
      <c r="AV149" s="3"/>
      <c r="AW149" s="3"/>
      <c r="AX149" s="3"/>
      <c r="AY149" s="3"/>
      <c r="AZ149" s="3"/>
      <c r="BA149" s="3"/>
    </row>
    <row r="150" ht="12.75" spans="1:53">
      <c r="A150" s="3"/>
      <c r="B150" s="3"/>
      <c r="C150" s="3"/>
      <c r="D150" s="30"/>
      <c r="E150" s="30"/>
      <c r="F150" s="30"/>
      <c r="G150" s="30"/>
      <c r="H150" s="30"/>
      <c r="I150" s="30"/>
      <c r="J150" s="3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"/>
      <c r="AV150" s="3"/>
      <c r="AW150" s="3"/>
      <c r="AX150" s="3"/>
      <c r="AY150" s="3"/>
      <c r="AZ150" s="3"/>
      <c r="BA150" s="3"/>
    </row>
    <row r="151" ht="12.75" spans="1:53">
      <c r="A151" s="3"/>
      <c r="B151" s="3"/>
      <c r="C151" s="3"/>
      <c r="D151" s="30"/>
      <c r="E151" s="30"/>
      <c r="F151" s="30"/>
      <c r="G151" s="30"/>
      <c r="H151" s="30"/>
      <c r="I151" s="30"/>
      <c r="J151" s="3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"/>
      <c r="AV151" s="3"/>
      <c r="AW151" s="3"/>
      <c r="AX151" s="3"/>
      <c r="AY151" s="3"/>
      <c r="AZ151" s="3"/>
      <c r="BA151" s="3"/>
    </row>
    <row r="152" ht="12.75" spans="1:53">
      <c r="A152" s="3"/>
      <c r="B152" s="3"/>
      <c r="C152" s="3"/>
      <c r="D152" s="30"/>
      <c r="E152" s="30"/>
      <c r="F152" s="30"/>
      <c r="G152" s="30"/>
      <c r="H152" s="30"/>
      <c r="I152" s="30"/>
      <c r="J152" s="3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"/>
      <c r="AV152" s="3"/>
      <c r="AW152" s="3"/>
      <c r="AX152" s="3"/>
      <c r="AY152" s="3"/>
      <c r="AZ152" s="3"/>
      <c r="BA152" s="3"/>
    </row>
    <row r="153" ht="12.75" spans="1:53">
      <c r="A153" s="3"/>
      <c r="B153" s="3"/>
      <c r="C153" s="3"/>
      <c r="D153" s="30"/>
      <c r="E153" s="30"/>
      <c r="F153" s="30"/>
      <c r="G153" s="30"/>
      <c r="H153" s="30"/>
      <c r="I153" s="30"/>
      <c r="J153" s="3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"/>
      <c r="AV153" s="3"/>
      <c r="AW153" s="3"/>
      <c r="AX153" s="3"/>
      <c r="AY153" s="3"/>
      <c r="AZ153" s="3"/>
      <c r="BA153" s="3"/>
    </row>
    <row r="154" ht="12.75" spans="1:53">
      <c r="A154" s="3"/>
      <c r="B154" s="3"/>
      <c r="C154" s="3"/>
      <c r="D154" s="30"/>
      <c r="E154" s="30"/>
      <c r="F154" s="30"/>
      <c r="G154" s="30"/>
      <c r="H154" s="30"/>
      <c r="I154" s="30"/>
      <c r="J154" s="3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"/>
      <c r="AV154" s="3"/>
      <c r="AW154" s="3"/>
      <c r="AX154" s="3"/>
      <c r="AY154" s="3"/>
      <c r="AZ154" s="3"/>
      <c r="BA154" s="3"/>
    </row>
    <row r="155" ht="12.75" spans="1:53">
      <c r="A155" s="3"/>
      <c r="B155" s="3"/>
      <c r="C155" s="3"/>
      <c r="D155" s="30"/>
      <c r="E155" s="30"/>
      <c r="F155" s="30"/>
      <c r="G155" s="30"/>
      <c r="H155" s="30"/>
      <c r="I155" s="30"/>
      <c r="J155" s="3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"/>
      <c r="AV155" s="3"/>
      <c r="AW155" s="3"/>
      <c r="AX155" s="3"/>
      <c r="AY155" s="3"/>
      <c r="AZ155" s="3"/>
      <c r="BA155" s="3"/>
    </row>
    <row r="156" ht="12.75" spans="1:53">
      <c r="A156" s="3"/>
      <c r="B156" s="3"/>
      <c r="C156" s="3"/>
      <c r="D156" s="30"/>
      <c r="E156" s="30"/>
      <c r="F156" s="30"/>
      <c r="G156" s="30"/>
      <c r="H156" s="30"/>
      <c r="I156" s="30"/>
      <c r="J156" s="3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"/>
      <c r="AV156" s="3"/>
      <c r="AW156" s="3"/>
      <c r="AX156" s="3"/>
      <c r="AY156" s="3"/>
      <c r="AZ156" s="3"/>
      <c r="BA156" s="3"/>
    </row>
    <row r="157" ht="12.75" spans="1:53">
      <c r="A157" s="3"/>
      <c r="B157" s="3"/>
      <c r="C157" s="3"/>
      <c r="D157" s="30"/>
      <c r="E157" s="30"/>
      <c r="F157" s="30"/>
      <c r="G157" s="30"/>
      <c r="H157" s="30"/>
      <c r="I157" s="30"/>
      <c r="J157" s="3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"/>
      <c r="AV157" s="3"/>
      <c r="AW157" s="3"/>
      <c r="AX157" s="3"/>
      <c r="AY157" s="3"/>
      <c r="AZ157" s="3"/>
      <c r="BA157" s="3"/>
    </row>
    <row r="158" ht="12.75" spans="1:53">
      <c r="A158" s="3"/>
      <c r="B158" s="3"/>
      <c r="C158" s="3"/>
      <c r="D158" s="30"/>
      <c r="E158" s="30"/>
      <c r="F158" s="30"/>
      <c r="G158" s="30"/>
      <c r="H158" s="30"/>
      <c r="I158" s="30"/>
      <c r="J158" s="3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"/>
      <c r="AV158" s="3"/>
      <c r="AW158" s="3"/>
      <c r="AX158" s="3"/>
      <c r="AY158" s="3"/>
      <c r="AZ158" s="3"/>
      <c r="BA158" s="3"/>
    </row>
    <row r="159" ht="12.75" spans="1:53">
      <c r="A159" s="3"/>
      <c r="B159" s="3"/>
      <c r="C159" s="3"/>
      <c r="D159" s="30"/>
      <c r="E159" s="30"/>
      <c r="F159" s="30"/>
      <c r="G159" s="30"/>
      <c r="H159" s="30"/>
      <c r="I159" s="30"/>
      <c r="J159" s="3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"/>
      <c r="AV159" s="3"/>
      <c r="AW159" s="3"/>
      <c r="AX159" s="3"/>
      <c r="AY159" s="3"/>
      <c r="AZ159" s="3"/>
      <c r="BA159" s="3"/>
    </row>
    <row r="160" ht="12.75" spans="1:53">
      <c r="A160" s="3"/>
      <c r="B160" s="3"/>
      <c r="C160" s="3"/>
      <c r="D160" s="30"/>
      <c r="E160" s="30"/>
      <c r="F160" s="30"/>
      <c r="G160" s="30"/>
      <c r="H160" s="30"/>
      <c r="I160" s="30"/>
      <c r="J160" s="3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"/>
      <c r="AV160" s="3"/>
      <c r="AW160" s="3"/>
      <c r="AX160" s="3"/>
      <c r="AY160" s="3"/>
      <c r="AZ160" s="3"/>
      <c r="BA160" s="3"/>
    </row>
    <row r="161" ht="12.75" spans="1:53">
      <c r="A161" s="3"/>
      <c r="B161" s="3"/>
      <c r="C161" s="3"/>
      <c r="D161" s="30"/>
      <c r="E161" s="30"/>
      <c r="F161" s="30"/>
      <c r="G161" s="30"/>
      <c r="H161" s="30"/>
      <c r="I161" s="30"/>
      <c r="J161" s="3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"/>
      <c r="AV161" s="3"/>
      <c r="AW161" s="3"/>
      <c r="AX161" s="3"/>
      <c r="AY161" s="3"/>
      <c r="AZ161" s="3"/>
      <c r="BA161" s="3"/>
    </row>
    <row r="162" ht="12.75" spans="1:53">
      <c r="A162" s="3"/>
      <c r="B162" s="3"/>
      <c r="C162" s="3"/>
      <c r="D162" s="30"/>
      <c r="E162" s="30"/>
      <c r="F162" s="30"/>
      <c r="G162" s="30"/>
      <c r="H162" s="30"/>
      <c r="I162" s="30"/>
      <c r="J162" s="3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"/>
      <c r="AV162" s="3"/>
      <c r="AW162" s="3"/>
      <c r="AX162" s="3"/>
      <c r="AY162" s="3"/>
      <c r="AZ162" s="3"/>
      <c r="BA162" s="3"/>
    </row>
    <row r="163" ht="12.75" spans="1:53">
      <c r="A163" s="3"/>
      <c r="B163" s="3"/>
      <c r="C163" s="3"/>
      <c r="D163" s="30"/>
      <c r="E163" s="30"/>
      <c r="F163" s="30"/>
      <c r="G163" s="30"/>
      <c r="H163" s="30"/>
      <c r="I163" s="30"/>
      <c r="J163" s="3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"/>
      <c r="AV163" s="3"/>
      <c r="AW163" s="3"/>
      <c r="AX163" s="3"/>
      <c r="AY163" s="3"/>
      <c r="AZ163" s="3"/>
      <c r="BA163" s="3"/>
    </row>
    <row r="164" ht="12.75" spans="1:53">
      <c r="A164" s="3"/>
      <c r="B164" s="3"/>
      <c r="C164" s="3"/>
      <c r="D164" s="30"/>
      <c r="E164" s="30"/>
      <c r="F164" s="30"/>
      <c r="G164" s="30"/>
      <c r="H164" s="30"/>
      <c r="I164" s="30"/>
      <c r="J164" s="3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"/>
      <c r="AV164" s="3"/>
      <c r="AW164" s="3"/>
      <c r="AX164" s="3"/>
      <c r="AY164" s="3"/>
      <c r="AZ164" s="3"/>
      <c r="BA164" s="3"/>
    </row>
    <row r="165" ht="12.75" spans="1:53">
      <c r="A165" s="3"/>
      <c r="B165" s="3"/>
      <c r="C165" s="3"/>
      <c r="D165" s="30"/>
      <c r="E165" s="30"/>
      <c r="F165" s="30"/>
      <c r="G165" s="30"/>
      <c r="H165" s="30"/>
      <c r="I165" s="30"/>
      <c r="J165" s="3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"/>
      <c r="AV165" s="3"/>
      <c r="AW165" s="3"/>
      <c r="AX165" s="3"/>
      <c r="AY165" s="3"/>
      <c r="AZ165" s="3"/>
      <c r="BA165" s="3"/>
    </row>
    <row r="166" ht="12.75" spans="1:53">
      <c r="A166" s="3"/>
      <c r="B166" s="3"/>
      <c r="C166" s="3"/>
      <c r="D166" s="30"/>
      <c r="E166" s="30"/>
      <c r="F166" s="30"/>
      <c r="G166" s="30"/>
      <c r="H166" s="30"/>
      <c r="I166" s="30"/>
      <c r="J166" s="3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"/>
      <c r="AV166" s="3"/>
      <c r="AW166" s="3"/>
      <c r="AX166" s="3"/>
      <c r="AY166" s="3"/>
      <c r="AZ166" s="3"/>
      <c r="BA166" s="3"/>
    </row>
    <row r="167" ht="12.75" spans="1:53">
      <c r="A167" s="3"/>
      <c r="B167" s="3"/>
      <c r="C167" s="3"/>
      <c r="D167" s="30"/>
      <c r="E167" s="30"/>
      <c r="F167" s="30"/>
      <c r="G167" s="30"/>
      <c r="H167" s="30"/>
      <c r="I167" s="30"/>
      <c r="J167" s="3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"/>
      <c r="AV167" s="3"/>
      <c r="AW167" s="3"/>
      <c r="AX167" s="3"/>
      <c r="AY167" s="3"/>
      <c r="AZ167" s="3"/>
      <c r="BA167" s="3"/>
    </row>
    <row r="168" ht="12.75" spans="1:53">
      <c r="A168" s="3"/>
      <c r="B168" s="3"/>
      <c r="C168" s="3"/>
      <c r="D168" s="30"/>
      <c r="E168" s="30"/>
      <c r="F168" s="30"/>
      <c r="G168" s="30"/>
      <c r="H168" s="30"/>
      <c r="I168" s="30"/>
      <c r="J168" s="3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"/>
      <c r="AV168" s="3"/>
      <c r="AW168" s="3"/>
      <c r="AX168" s="3"/>
      <c r="AY168" s="3"/>
      <c r="AZ168" s="3"/>
      <c r="BA168" s="3"/>
    </row>
    <row r="169" ht="12.75" spans="1:53">
      <c r="A169" s="3"/>
      <c r="B169" s="3"/>
      <c r="C169" s="3"/>
      <c r="D169" s="30"/>
      <c r="E169" s="30"/>
      <c r="F169" s="30"/>
      <c r="G169" s="30"/>
      <c r="H169" s="30"/>
      <c r="I169" s="30"/>
      <c r="J169" s="3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"/>
      <c r="AV169" s="3"/>
      <c r="AW169" s="3"/>
      <c r="AX169" s="3"/>
      <c r="AY169" s="3"/>
      <c r="AZ169" s="3"/>
      <c r="BA169" s="3"/>
    </row>
    <row r="170" ht="12.75" spans="1:53">
      <c r="A170" s="3"/>
      <c r="B170" s="3"/>
      <c r="C170" s="3"/>
      <c r="D170" s="30"/>
      <c r="E170" s="30"/>
      <c r="F170" s="30"/>
      <c r="G170" s="30"/>
      <c r="H170" s="30"/>
      <c r="I170" s="30"/>
      <c r="J170" s="3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"/>
      <c r="AV170" s="3"/>
      <c r="AW170" s="3"/>
      <c r="AX170" s="3"/>
      <c r="AY170" s="3"/>
      <c r="AZ170" s="3"/>
      <c r="BA170" s="3"/>
    </row>
    <row r="171" ht="12.75" spans="1:53">
      <c r="A171" s="3"/>
      <c r="B171" s="3"/>
      <c r="C171" s="3"/>
      <c r="D171" s="30"/>
      <c r="E171" s="30"/>
      <c r="F171" s="30"/>
      <c r="G171" s="30"/>
      <c r="H171" s="30"/>
      <c r="I171" s="30"/>
      <c r="J171" s="3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"/>
      <c r="AV171" s="3"/>
      <c r="AW171" s="3"/>
      <c r="AX171" s="3"/>
      <c r="AY171" s="3"/>
      <c r="AZ171" s="3"/>
      <c r="BA171" s="3"/>
    </row>
    <row r="172" ht="12.75" spans="1:53">
      <c r="A172" s="3"/>
      <c r="B172" s="3"/>
      <c r="C172" s="3"/>
      <c r="D172" s="30"/>
      <c r="E172" s="30"/>
      <c r="F172" s="30"/>
      <c r="G172" s="30"/>
      <c r="H172" s="30"/>
      <c r="I172" s="30"/>
      <c r="J172" s="3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"/>
      <c r="AV172" s="3"/>
      <c r="AW172" s="3"/>
      <c r="AX172" s="3"/>
      <c r="AY172" s="3"/>
      <c r="AZ172" s="3"/>
      <c r="BA172" s="3"/>
    </row>
    <row r="173" ht="12.75" spans="1:53">
      <c r="A173" s="3"/>
      <c r="B173" s="3"/>
      <c r="C173" s="3"/>
      <c r="D173" s="30"/>
      <c r="E173" s="30"/>
      <c r="F173" s="30"/>
      <c r="G173" s="30"/>
      <c r="H173" s="30"/>
      <c r="I173" s="30"/>
      <c r="J173" s="3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"/>
      <c r="AV173" s="3"/>
      <c r="AW173" s="3"/>
      <c r="AX173" s="3"/>
      <c r="AY173" s="3"/>
      <c r="AZ173" s="3"/>
      <c r="BA173" s="3"/>
    </row>
    <row r="174" ht="12.75" spans="1:53">
      <c r="A174" s="3"/>
      <c r="B174" s="3"/>
      <c r="C174" s="3"/>
      <c r="D174" s="30"/>
      <c r="E174" s="30"/>
      <c r="F174" s="30"/>
      <c r="G174" s="30"/>
      <c r="H174" s="30"/>
      <c r="I174" s="30"/>
      <c r="J174" s="3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"/>
      <c r="AV174" s="3"/>
      <c r="AW174" s="3"/>
      <c r="AX174" s="3"/>
      <c r="AY174" s="3"/>
      <c r="AZ174" s="3"/>
      <c r="BA174" s="3"/>
    </row>
    <row r="175" ht="12.75" spans="1:53">
      <c r="A175" s="3"/>
      <c r="B175" s="3"/>
      <c r="C175" s="3"/>
      <c r="D175" s="30"/>
      <c r="E175" s="30"/>
      <c r="F175" s="30"/>
      <c r="G175" s="30"/>
      <c r="H175" s="30"/>
      <c r="I175" s="30"/>
      <c r="J175" s="3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"/>
      <c r="AV175" s="3"/>
      <c r="AW175" s="3"/>
      <c r="AX175" s="3"/>
      <c r="AY175" s="3"/>
      <c r="AZ175" s="3"/>
      <c r="BA175" s="3"/>
    </row>
    <row r="176" ht="12.75" spans="1:53">
      <c r="A176" s="3"/>
      <c r="B176" s="3"/>
      <c r="C176" s="3"/>
      <c r="D176" s="30"/>
      <c r="E176" s="30"/>
      <c r="F176" s="30"/>
      <c r="G176" s="30"/>
      <c r="H176" s="30"/>
      <c r="I176" s="30"/>
      <c r="J176" s="3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"/>
      <c r="AV176" s="3"/>
      <c r="AW176" s="3"/>
      <c r="AX176" s="3"/>
      <c r="AY176" s="3"/>
      <c r="AZ176" s="3"/>
      <c r="BA176" s="3"/>
    </row>
    <row r="177" ht="12.75" spans="1:53">
      <c r="A177" s="3"/>
      <c r="B177" s="3"/>
      <c r="C177" s="3"/>
      <c r="D177" s="30"/>
      <c r="E177" s="30"/>
      <c r="F177" s="30"/>
      <c r="G177" s="30"/>
      <c r="H177" s="30"/>
      <c r="I177" s="30"/>
      <c r="J177" s="3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"/>
      <c r="AV177" s="3"/>
      <c r="AW177" s="3"/>
      <c r="AX177" s="3"/>
      <c r="AY177" s="3"/>
      <c r="AZ177" s="3"/>
      <c r="BA177" s="3"/>
    </row>
    <row r="178" ht="12.75" spans="1:53">
      <c r="A178" s="3"/>
      <c r="B178" s="3"/>
      <c r="C178" s="3"/>
      <c r="D178" s="30"/>
      <c r="E178" s="30"/>
      <c r="F178" s="30"/>
      <c r="G178" s="30"/>
      <c r="H178" s="30"/>
      <c r="I178" s="30"/>
      <c r="J178" s="3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"/>
      <c r="AV178" s="3"/>
      <c r="AW178" s="3"/>
      <c r="AX178" s="3"/>
      <c r="AY178" s="3"/>
      <c r="AZ178" s="3"/>
      <c r="BA178" s="3"/>
    </row>
    <row r="179" ht="12.75" spans="1:53">
      <c r="A179" s="3"/>
      <c r="B179" s="3"/>
      <c r="C179" s="3"/>
      <c r="D179" s="30"/>
      <c r="E179" s="30"/>
      <c r="F179" s="30"/>
      <c r="G179" s="30"/>
      <c r="H179" s="30"/>
      <c r="I179" s="30"/>
      <c r="J179" s="3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"/>
      <c r="AV179" s="3"/>
      <c r="AW179" s="3"/>
      <c r="AX179" s="3"/>
      <c r="AY179" s="3"/>
      <c r="AZ179" s="3"/>
      <c r="BA179" s="3"/>
    </row>
    <row r="180" ht="12.75" spans="1:53">
      <c r="A180" s="3"/>
      <c r="B180" s="3"/>
      <c r="C180" s="3"/>
      <c r="D180" s="30"/>
      <c r="E180" s="30"/>
      <c r="F180" s="30"/>
      <c r="G180" s="30"/>
      <c r="H180" s="30"/>
      <c r="I180" s="30"/>
      <c r="J180" s="3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"/>
      <c r="AV180" s="3"/>
      <c r="AW180" s="3"/>
      <c r="AX180" s="3"/>
      <c r="AY180" s="3"/>
      <c r="AZ180" s="3"/>
      <c r="BA180" s="3"/>
    </row>
    <row r="181" ht="12.75" spans="1:53">
      <c r="A181" s="3"/>
      <c r="B181" s="3"/>
      <c r="C181" s="3"/>
      <c r="D181" s="30"/>
      <c r="E181" s="30"/>
      <c r="F181" s="30"/>
      <c r="G181" s="30"/>
      <c r="H181" s="30"/>
      <c r="I181" s="30"/>
      <c r="J181" s="3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"/>
      <c r="AV181" s="3"/>
      <c r="AW181" s="3"/>
      <c r="AX181" s="3"/>
      <c r="AY181" s="3"/>
      <c r="AZ181" s="3"/>
      <c r="BA181" s="3"/>
    </row>
    <row r="182" ht="12.75" spans="1:53">
      <c r="A182" s="3"/>
      <c r="B182" s="3"/>
      <c r="C182" s="3"/>
      <c r="D182" s="30"/>
      <c r="E182" s="30"/>
      <c r="F182" s="30"/>
      <c r="G182" s="30"/>
      <c r="H182" s="30"/>
      <c r="I182" s="30"/>
      <c r="J182" s="3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"/>
      <c r="AV182" s="3"/>
      <c r="AW182" s="3"/>
      <c r="AX182" s="3"/>
      <c r="AY182" s="3"/>
      <c r="AZ182" s="3"/>
      <c r="BA182" s="3"/>
    </row>
    <row r="183" ht="12.75" spans="1:53">
      <c r="A183" s="3"/>
      <c r="B183" s="3"/>
      <c r="C183" s="3"/>
      <c r="D183" s="30"/>
      <c r="E183" s="30"/>
      <c r="F183" s="30"/>
      <c r="G183" s="30"/>
      <c r="H183" s="30"/>
      <c r="I183" s="30"/>
      <c r="J183" s="3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"/>
      <c r="AV183" s="3"/>
      <c r="AW183" s="3"/>
      <c r="AX183" s="3"/>
      <c r="AY183" s="3"/>
      <c r="AZ183" s="3"/>
      <c r="BA183" s="3"/>
    </row>
    <row r="184" ht="12.75" spans="1:53">
      <c r="A184" s="3"/>
      <c r="B184" s="3"/>
      <c r="C184" s="3"/>
      <c r="D184" s="30"/>
      <c r="E184" s="30"/>
      <c r="F184" s="30"/>
      <c r="G184" s="30"/>
      <c r="H184" s="30"/>
      <c r="I184" s="30"/>
      <c r="J184" s="3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"/>
      <c r="AV184" s="3"/>
      <c r="AW184" s="3"/>
      <c r="AX184" s="3"/>
      <c r="AY184" s="3"/>
      <c r="AZ184" s="3"/>
      <c r="BA184" s="3"/>
    </row>
    <row r="185" ht="12.75" spans="1:53">
      <c r="A185" s="3"/>
      <c r="B185" s="3"/>
      <c r="C185" s="3"/>
      <c r="D185" s="30"/>
      <c r="E185" s="30"/>
      <c r="F185" s="30"/>
      <c r="G185" s="30"/>
      <c r="H185" s="30"/>
      <c r="I185" s="30"/>
      <c r="J185" s="3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"/>
      <c r="AV185" s="3"/>
      <c r="AW185" s="3"/>
      <c r="AX185" s="3"/>
      <c r="AY185" s="3"/>
      <c r="AZ185" s="3"/>
      <c r="BA185" s="3"/>
    </row>
    <row r="186" ht="12.75" spans="1:53">
      <c r="A186" s="3"/>
      <c r="B186" s="3"/>
      <c r="C186" s="3"/>
      <c r="D186" s="30"/>
      <c r="E186" s="30"/>
      <c r="F186" s="30"/>
      <c r="G186" s="30"/>
      <c r="H186" s="30"/>
      <c r="I186" s="30"/>
      <c r="J186" s="3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"/>
      <c r="AV186" s="3"/>
      <c r="AW186" s="3"/>
      <c r="AX186" s="3"/>
      <c r="AY186" s="3"/>
      <c r="AZ186" s="3"/>
      <c r="BA186" s="3"/>
    </row>
    <row r="187" ht="12.75" spans="1:53">
      <c r="A187" s="3"/>
      <c r="B187" s="3"/>
      <c r="C187" s="3"/>
      <c r="D187" s="30"/>
      <c r="E187" s="30"/>
      <c r="F187" s="30"/>
      <c r="G187" s="30"/>
      <c r="H187" s="30"/>
      <c r="I187" s="30"/>
      <c r="J187" s="3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"/>
      <c r="AV187" s="3"/>
      <c r="AW187" s="3"/>
      <c r="AX187" s="3"/>
      <c r="AY187" s="3"/>
      <c r="AZ187" s="3"/>
      <c r="BA187" s="3"/>
    </row>
    <row r="188" ht="12.75" spans="1:53">
      <c r="A188" s="3"/>
      <c r="B188" s="3"/>
      <c r="C188" s="3"/>
      <c r="D188" s="30"/>
      <c r="E188" s="30"/>
      <c r="F188" s="30"/>
      <c r="G188" s="30"/>
      <c r="H188" s="30"/>
      <c r="I188" s="30"/>
      <c r="J188" s="3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"/>
      <c r="AV188" s="3"/>
      <c r="AW188" s="3"/>
      <c r="AX188" s="3"/>
      <c r="AY188" s="3"/>
      <c r="AZ188" s="3"/>
      <c r="BA188" s="3"/>
    </row>
    <row r="189" ht="12.75" spans="1:53">
      <c r="A189" s="3"/>
      <c r="B189" s="3"/>
      <c r="C189" s="3"/>
      <c r="D189" s="30"/>
      <c r="E189" s="30"/>
      <c r="F189" s="30"/>
      <c r="G189" s="30"/>
      <c r="H189" s="30"/>
      <c r="I189" s="30"/>
      <c r="J189" s="3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"/>
      <c r="AV189" s="3"/>
      <c r="AW189" s="3"/>
      <c r="AX189" s="3"/>
      <c r="AY189" s="3"/>
      <c r="AZ189" s="3"/>
      <c r="BA189" s="3"/>
    </row>
    <row r="190" ht="12.75" spans="1:53">
      <c r="A190" s="3"/>
      <c r="B190" s="3"/>
      <c r="C190" s="3"/>
      <c r="D190" s="30"/>
      <c r="E190" s="30"/>
      <c r="F190" s="30"/>
      <c r="G190" s="30"/>
      <c r="H190" s="30"/>
      <c r="I190" s="30"/>
      <c r="J190" s="3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"/>
      <c r="AV190" s="3"/>
      <c r="AW190" s="3"/>
      <c r="AX190" s="3"/>
      <c r="AY190" s="3"/>
      <c r="AZ190" s="3"/>
      <c r="BA190" s="3"/>
    </row>
    <row r="191" ht="12.75" spans="1:53">
      <c r="A191" s="3"/>
      <c r="B191" s="3"/>
      <c r="C191" s="3"/>
      <c r="D191" s="30"/>
      <c r="E191" s="30"/>
      <c r="F191" s="30"/>
      <c r="G191" s="30"/>
      <c r="H191" s="30"/>
      <c r="I191" s="30"/>
      <c r="J191" s="3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"/>
      <c r="AV191" s="3"/>
      <c r="AW191" s="3"/>
      <c r="AX191" s="3"/>
      <c r="AY191" s="3"/>
      <c r="AZ191" s="3"/>
      <c r="BA191" s="3"/>
    </row>
    <row r="192" ht="12.75" spans="1:53">
      <c r="A192" s="3"/>
      <c r="B192" s="3"/>
      <c r="C192" s="3"/>
      <c r="D192" s="30"/>
      <c r="E192" s="30"/>
      <c r="F192" s="30"/>
      <c r="G192" s="30"/>
      <c r="H192" s="30"/>
      <c r="I192" s="30"/>
      <c r="J192" s="3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"/>
      <c r="AV192" s="3"/>
      <c r="AW192" s="3"/>
      <c r="AX192" s="3"/>
      <c r="AY192" s="3"/>
      <c r="AZ192" s="3"/>
      <c r="BA192" s="3"/>
    </row>
    <row r="193" ht="12.75" spans="1:53">
      <c r="A193" s="3"/>
      <c r="B193" s="3"/>
      <c r="C193" s="3"/>
      <c r="D193" s="30"/>
      <c r="E193" s="30"/>
      <c r="F193" s="30"/>
      <c r="G193" s="30"/>
      <c r="H193" s="30"/>
      <c r="I193" s="30"/>
      <c r="J193" s="3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"/>
      <c r="AV193" s="3"/>
      <c r="AW193" s="3"/>
      <c r="AX193" s="3"/>
      <c r="AY193" s="3"/>
      <c r="AZ193" s="3"/>
      <c r="BA193" s="3"/>
    </row>
    <row r="194" ht="12.75" spans="1:53">
      <c r="A194" s="3"/>
      <c r="B194" s="3"/>
      <c r="C194" s="3"/>
      <c r="D194" s="30"/>
      <c r="E194" s="30"/>
      <c r="F194" s="30"/>
      <c r="G194" s="30"/>
      <c r="H194" s="30"/>
      <c r="I194" s="30"/>
      <c r="J194" s="3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"/>
      <c r="AV194" s="3"/>
      <c r="AW194" s="3"/>
      <c r="AX194" s="3"/>
      <c r="AY194" s="3"/>
      <c r="AZ194" s="3"/>
      <c r="BA194" s="3"/>
    </row>
    <row r="195" ht="12.75" spans="1:53">
      <c r="A195" s="3"/>
      <c r="B195" s="3"/>
      <c r="C195" s="3"/>
      <c r="D195" s="30"/>
      <c r="E195" s="30"/>
      <c r="F195" s="30"/>
      <c r="G195" s="30"/>
      <c r="H195" s="30"/>
      <c r="I195" s="30"/>
      <c r="J195" s="3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"/>
      <c r="AV195" s="3"/>
      <c r="AW195" s="3"/>
      <c r="AX195" s="3"/>
      <c r="AY195" s="3"/>
      <c r="AZ195" s="3"/>
      <c r="BA195" s="3"/>
    </row>
    <row r="196" ht="12.75" spans="1:53">
      <c r="A196" s="3"/>
      <c r="B196" s="3"/>
      <c r="C196" s="3"/>
      <c r="D196" s="30"/>
      <c r="E196" s="30"/>
      <c r="F196" s="30"/>
      <c r="G196" s="30"/>
      <c r="H196" s="30"/>
      <c r="I196" s="30"/>
      <c r="J196" s="3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"/>
      <c r="AV196" s="3"/>
      <c r="AW196" s="3"/>
      <c r="AX196" s="3"/>
      <c r="AY196" s="3"/>
      <c r="AZ196" s="3"/>
      <c r="BA196" s="3"/>
    </row>
    <row r="197" ht="12.75" spans="1:53">
      <c r="A197" s="3"/>
      <c r="B197" s="3"/>
      <c r="C197" s="3"/>
      <c r="D197" s="30"/>
      <c r="E197" s="30"/>
      <c r="F197" s="30"/>
      <c r="G197" s="30"/>
      <c r="H197" s="30"/>
      <c r="I197" s="30"/>
      <c r="J197" s="3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"/>
      <c r="AV197" s="3"/>
      <c r="AW197" s="3"/>
      <c r="AX197" s="3"/>
      <c r="AY197" s="3"/>
      <c r="AZ197" s="3"/>
      <c r="BA197" s="3"/>
    </row>
    <row r="198" ht="12.75" spans="1:53">
      <c r="A198" s="3"/>
      <c r="B198" s="3"/>
      <c r="C198" s="3"/>
      <c r="D198" s="30"/>
      <c r="E198" s="30"/>
      <c r="F198" s="30"/>
      <c r="G198" s="30"/>
      <c r="H198" s="30"/>
      <c r="I198" s="30"/>
      <c r="J198" s="3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"/>
      <c r="AV198" s="3"/>
      <c r="AW198" s="3"/>
      <c r="AX198" s="3"/>
      <c r="AY198" s="3"/>
      <c r="AZ198" s="3"/>
      <c r="BA198" s="3"/>
    </row>
    <row r="199" ht="12.75" spans="1:53">
      <c r="A199" s="3"/>
      <c r="B199" s="3"/>
      <c r="C199" s="3"/>
      <c r="D199" s="30"/>
      <c r="E199" s="30"/>
      <c r="F199" s="30"/>
      <c r="G199" s="30"/>
      <c r="H199" s="30"/>
      <c r="I199" s="30"/>
      <c r="J199" s="3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"/>
      <c r="AV199" s="3"/>
      <c r="AW199" s="3"/>
      <c r="AX199" s="3"/>
      <c r="AY199" s="3"/>
      <c r="AZ199" s="3"/>
      <c r="BA199" s="3"/>
    </row>
    <row r="200" ht="12.75" spans="1:53">
      <c r="A200" s="3"/>
      <c r="B200" s="3"/>
      <c r="C200" s="3"/>
      <c r="D200" s="30"/>
      <c r="E200" s="30"/>
      <c r="F200" s="30"/>
      <c r="G200" s="30"/>
      <c r="H200" s="30"/>
      <c r="I200" s="30"/>
      <c r="J200" s="3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"/>
      <c r="AV200" s="3"/>
      <c r="AW200" s="3"/>
      <c r="AX200" s="3"/>
      <c r="AY200" s="3"/>
      <c r="AZ200" s="3"/>
      <c r="BA200" s="3"/>
    </row>
    <row r="201" ht="12.75" spans="1:53">
      <c r="A201" s="3"/>
      <c r="B201" s="3"/>
      <c r="C201" s="3"/>
      <c r="D201" s="30"/>
      <c r="E201" s="30"/>
      <c r="F201" s="30"/>
      <c r="G201" s="30"/>
      <c r="H201" s="30"/>
      <c r="I201" s="30"/>
      <c r="J201" s="3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"/>
      <c r="AV201" s="3"/>
      <c r="AW201" s="3"/>
      <c r="AX201" s="3"/>
      <c r="AY201" s="3"/>
      <c r="AZ201" s="3"/>
      <c r="BA201" s="3"/>
    </row>
    <row r="202" ht="12.75" spans="1:53">
      <c r="A202" s="3"/>
      <c r="B202" s="3"/>
      <c r="C202" s="3"/>
      <c r="D202" s="30"/>
      <c r="E202" s="30"/>
      <c r="F202" s="30"/>
      <c r="G202" s="30"/>
      <c r="H202" s="30"/>
      <c r="I202" s="30"/>
      <c r="J202" s="3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"/>
      <c r="AV202" s="3"/>
      <c r="AW202" s="3"/>
      <c r="AX202" s="3"/>
      <c r="AY202" s="3"/>
      <c r="AZ202" s="3"/>
      <c r="BA202" s="3"/>
    </row>
    <row r="203" ht="12.75" spans="1:53">
      <c r="A203" s="3"/>
      <c r="B203" s="3"/>
      <c r="C203" s="3"/>
      <c r="D203" s="30"/>
      <c r="E203" s="30"/>
      <c r="F203" s="30"/>
      <c r="G203" s="30"/>
      <c r="H203" s="30"/>
      <c r="I203" s="30"/>
      <c r="J203" s="3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"/>
      <c r="AV203" s="3"/>
      <c r="AW203" s="3"/>
      <c r="AX203" s="3"/>
      <c r="AY203" s="3"/>
      <c r="AZ203" s="3"/>
      <c r="BA203" s="3"/>
    </row>
    <row r="204" ht="12.75" spans="1:53">
      <c r="A204" s="3"/>
      <c r="B204" s="3"/>
      <c r="C204" s="3"/>
      <c r="D204" s="30"/>
      <c r="E204" s="30"/>
      <c r="F204" s="30"/>
      <c r="G204" s="30"/>
      <c r="H204" s="30"/>
      <c r="I204" s="30"/>
      <c r="J204" s="3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"/>
      <c r="AV204" s="3"/>
      <c r="AW204" s="3"/>
      <c r="AX204" s="3"/>
      <c r="AY204" s="3"/>
      <c r="AZ204" s="3"/>
      <c r="BA204" s="3"/>
    </row>
    <row r="205" ht="12.75" spans="1:53">
      <c r="A205" s="3"/>
      <c r="B205" s="3"/>
      <c r="C205" s="3"/>
      <c r="D205" s="30"/>
      <c r="E205" s="30"/>
      <c r="F205" s="30"/>
      <c r="G205" s="30"/>
      <c r="H205" s="30"/>
      <c r="I205" s="30"/>
      <c r="J205" s="3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"/>
      <c r="AV205" s="3"/>
      <c r="AW205" s="3"/>
      <c r="AX205" s="3"/>
      <c r="AY205" s="3"/>
      <c r="AZ205" s="3"/>
      <c r="BA205" s="3"/>
    </row>
    <row r="206" ht="12.75" spans="1:53">
      <c r="A206" s="3"/>
      <c r="B206" s="3"/>
      <c r="C206" s="3"/>
      <c r="D206" s="30"/>
      <c r="E206" s="30"/>
      <c r="F206" s="30"/>
      <c r="G206" s="30"/>
      <c r="H206" s="30"/>
      <c r="I206" s="30"/>
      <c r="J206" s="3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"/>
      <c r="AV206" s="3"/>
      <c r="AW206" s="3"/>
      <c r="AX206" s="3"/>
      <c r="AY206" s="3"/>
      <c r="AZ206" s="3"/>
      <c r="BA206" s="3"/>
    </row>
    <row r="207" ht="12.75" spans="1:53">
      <c r="A207" s="3"/>
      <c r="B207" s="3"/>
      <c r="C207" s="3"/>
      <c r="D207" s="30"/>
      <c r="E207" s="30"/>
      <c r="F207" s="30"/>
      <c r="G207" s="30"/>
      <c r="H207" s="30"/>
      <c r="I207" s="30"/>
      <c r="J207" s="3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"/>
      <c r="AV207" s="3"/>
      <c r="AW207" s="3"/>
      <c r="AX207" s="3"/>
      <c r="AY207" s="3"/>
      <c r="AZ207" s="3"/>
      <c r="BA207" s="3"/>
    </row>
    <row r="208" ht="12.75" spans="1:53">
      <c r="A208" s="3"/>
      <c r="B208" s="3"/>
      <c r="C208" s="3"/>
      <c r="D208" s="30"/>
      <c r="E208" s="30"/>
      <c r="F208" s="30"/>
      <c r="G208" s="30"/>
      <c r="H208" s="30"/>
      <c r="I208" s="30"/>
      <c r="J208" s="3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"/>
      <c r="AV208" s="3"/>
      <c r="AW208" s="3"/>
      <c r="AX208" s="3"/>
      <c r="AY208" s="3"/>
      <c r="AZ208" s="3"/>
      <c r="BA208" s="3"/>
    </row>
    <row r="209" ht="12.75" spans="1:53">
      <c r="A209" s="3"/>
      <c r="B209" s="3"/>
      <c r="C209" s="3"/>
      <c r="D209" s="30"/>
      <c r="E209" s="30"/>
      <c r="F209" s="30"/>
      <c r="G209" s="30"/>
      <c r="H209" s="30"/>
      <c r="I209" s="30"/>
      <c r="J209" s="3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"/>
      <c r="AV209" s="3"/>
      <c r="AW209" s="3"/>
      <c r="AX209" s="3"/>
      <c r="AY209" s="3"/>
      <c r="AZ209" s="3"/>
      <c r="BA209" s="3"/>
    </row>
    <row r="210" ht="12.75" spans="1:53">
      <c r="A210" s="3"/>
      <c r="B210" s="3"/>
      <c r="C210" s="3"/>
      <c r="D210" s="30"/>
      <c r="E210" s="30"/>
      <c r="F210" s="30"/>
      <c r="G210" s="30"/>
      <c r="H210" s="30"/>
      <c r="I210" s="30"/>
      <c r="J210" s="3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"/>
      <c r="AV210" s="3"/>
      <c r="AW210" s="3"/>
      <c r="AX210" s="3"/>
      <c r="AY210" s="3"/>
      <c r="AZ210" s="3"/>
      <c r="BA210" s="3"/>
    </row>
    <row r="211" ht="12.75" spans="1:53">
      <c r="A211" s="3"/>
      <c r="B211" s="3"/>
      <c r="C211" s="3"/>
      <c r="D211" s="30"/>
      <c r="E211" s="30"/>
      <c r="F211" s="30"/>
      <c r="G211" s="30"/>
      <c r="H211" s="30"/>
      <c r="I211" s="30"/>
      <c r="J211" s="3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"/>
      <c r="AV211" s="3"/>
      <c r="AW211" s="3"/>
      <c r="AX211" s="3"/>
      <c r="AY211" s="3"/>
      <c r="AZ211" s="3"/>
      <c r="BA211" s="3"/>
    </row>
    <row r="212" ht="12.75" spans="1:53">
      <c r="A212" s="3"/>
      <c r="B212" s="3"/>
      <c r="C212" s="3"/>
      <c r="D212" s="30"/>
      <c r="E212" s="30"/>
      <c r="F212" s="30"/>
      <c r="G212" s="30"/>
      <c r="H212" s="30"/>
      <c r="I212" s="30"/>
      <c r="J212" s="3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"/>
      <c r="AV212" s="3"/>
      <c r="AW212" s="3"/>
      <c r="AX212" s="3"/>
      <c r="AY212" s="3"/>
      <c r="AZ212" s="3"/>
      <c r="BA212" s="3"/>
    </row>
    <row r="213" ht="12.75" spans="1:53">
      <c r="A213" s="3"/>
      <c r="B213" s="3"/>
      <c r="C213" s="3"/>
      <c r="D213" s="30"/>
      <c r="E213" s="30"/>
      <c r="F213" s="30"/>
      <c r="G213" s="30"/>
      <c r="H213" s="30"/>
      <c r="I213" s="30"/>
      <c r="J213" s="3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"/>
      <c r="AV213" s="3"/>
      <c r="AW213" s="3"/>
      <c r="AX213" s="3"/>
      <c r="AY213" s="3"/>
      <c r="AZ213" s="3"/>
      <c r="BA213" s="3"/>
    </row>
    <row r="214" ht="12.75" spans="1:53">
      <c r="A214" s="3"/>
      <c r="B214" s="3"/>
      <c r="C214" s="3"/>
      <c r="D214" s="30"/>
      <c r="E214" s="30"/>
      <c r="F214" s="30"/>
      <c r="G214" s="30"/>
      <c r="H214" s="30"/>
      <c r="I214" s="30"/>
      <c r="J214" s="3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"/>
      <c r="AV214" s="3"/>
      <c r="AW214" s="3"/>
      <c r="AX214" s="3"/>
      <c r="AY214" s="3"/>
      <c r="AZ214" s="3"/>
      <c r="BA214" s="3"/>
    </row>
    <row r="215" ht="12.75" spans="1:53">
      <c r="A215" s="3"/>
      <c r="B215" s="3"/>
      <c r="C215" s="3"/>
      <c r="D215" s="30"/>
      <c r="E215" s="30"/>
      <c r="F215" s="30"/>
      <c r="G215" s="30"/>
      <c r="H215" s="30"/>
      <c r="I215" s="30"/>
      <c r="J215" s="3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"/>
      <c r="AV215" s="3"/>
      <c r="AW215" s="3"/>
      <c r="AX215" s="3"/>
      <c r="AY215" s="3"/>
      <c r="AZ215" s="3"/>
      <c r="BA215" s="3"/>
    </row>
    <row r="216" ht="12.75" spans="1:53">
      <c r="A216" s="3"/>
      <c r="B216" s="3"/>
      <c r="C216" s="3"/>
      <c r="D216" s="30"/>
      <c r="E216" s="30"/>
      <c r="F216" s="30"/>
      <c r="G216" s="30"/>
      <c r="H216" s="30"/>
      <c r="I216" s="30"/>
      <c r="J216" s="3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"/>
      <c r="AV216" s="3"/>
      <c r="AW216" s="3"/>
      <c r="AX216" s="3"/>
      <c r="AY216" s="3"/>
      <c r="AZ216" s="3"/>
      <c r="BA216" s="3"/>
    </row>
    <row r="217" ht="12.75" spans="1:53">
      <c r="A217" s="3"/>
      <c r="B217" s="3"/>
      <c r="C217" s="3"/>
      <c r="D217" s="30"/>
      <c r="E217" s="30"/>
      <c r="F217" s="30"/>
      <c r="G217" s="30"/>
      <c r="H217" s="30"/>
      <c r="I217" s="30"/>
      <c r="J217" s="3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"/>
      <c r="AV217" s="3"/>
      <c r="AW217" s="3"/>
      <c r="AX217" s="3"/>
      <c r="AY217" s="3"/>
      <c r="AZ217" s="3"/>
      <c r="BA217" s="3"/>
    </row>
    <row r="218" ht="12.75" spans="1:53">
      <c r="A218" s="3"/>
      <c r="B218" s="3"/>
      <c r="C218" s="3"/>
      <c r="D218" s="30"/>
      <c r="E218" s="30"/>
      <c r="F218" s="30"/>
      <c r="G218" s="30"/>
      <c r="H218" s="30"/>
      <c r="I218" s="30"/>
      <c r="J218" s="3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"/>
      <c r="AV218" s="3"/>
      <c r="AW218" s="3"/>
      <c r="AX218" s="3"/>
      <c r="AY218" s="3"/>
      <c r="AZ218" s="3"/>
      <c r="BA218" s="3"/>
    </row>
    <row r="219" ht="12.75" spans="1:53">
      <c r="A219" s="3"/>
      <c r="B219" s="3"/>
      <c r="C219" s="3"/>
      <c r="D219" s="30"/>
      <c r="E219" s="30"/>
      <c r="F219" s="30"/>
      <c r="G219" s="30"/>
      <c r="H219" s="30"/>
      <c r="I219" s="30"/>
      <c r="J219" s="3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"/>
      <c r="AV219" s="3"/>
      <c r="AW219" s="3"/>
      <c r="AX219" s="3"/>
      <c r="AY219" s="3"/>
      <c r="AZ219" s="3"/>
      <c r="BA219" s="3"/>
    </row>
    <row r="220" ht="12.75" spans="1:53">
      <c r="A220" s="3"/>
      <c r="B220" s="3"/>
      <c r="C220" s="3"/>
      <c r="D220" s="30"/>
      <c r="E220" s="30"/>
      <c r="F220" s="30"/>
      <c r="G220" s="30"/>
      <c r="H220" s="30"/>
      <c r="I220" s="30"/>
      <c r="J220" s="3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"/>
      <c r="AV220" s="3"/>
      <c r="AW220" s="3"/>
      <c r="AX220" s="3"/>
      <c r="AY220" s="3"/>
      <c r="AZ220" s="3"/>
      <c r="BA220" s="3"/>
    </row>
    <row r="221" ht="12.75" spans="1:53">
      <c r="A221" s="3"/>
      <c r="B221" s="3"/>
      <c r="C221" s="3"/>
      <c r="D221" s="30"/>
      <c r="E221" s="30"/>
      <c r="F221" s="30"/>
      <c r="G221" s="30"/>
      <c r="H221" s="30"/>
      <c r="I221" s="30"/>
      <c r="J221" s="3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"/>
      <c r="AV221" s="3"/>
      <c r="AW221" s="3"/>
      <c r="AX221" s="3"/>
      <c r="AY221" s="3"/>
      <c r="AZ221" s="3"/>
      <c r="BA221" s="3"/>
    </row>
    <row r="222" ht="12.75" spans="1:53">
      <c r="A222" s="3"/>
      <c r="B222" s="3"/>
      <c r="C222" s="3"/>
      <c r="D222" s="30"/>
      <c r="E222" s="30"/>
      <c r="F222" s="30"/>
      <c r="G222" s="30"/>
      <c r="H222" s="30"/>
      <c r="I222" s="30"/>
      <c r="J222" s="3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"/>
      <c r="AV222" s="3"/>
      <c r="AW222" s="3"/>
      <c r="AX222" s="3"/>
      <c r="AY222" s="3"/>
      <c r="AZ222" s="3"/>
      <c r="BA222" s="3"/>
    </row>
    <row r="223" ht="12.75" spans="1:53">
      <c r="A223" s="3"/>
      <c r="B223" s="3"/>
      <c r="C223" s="3"/>
      <c r="D223" s="30"/>
      <c r="E223" s="30"/>
      <c r="F223" s="30"/>
      <c r="G223" s="30"/>
      <c r="H223" s="30"/>
      <c r="I223" s="30"/>
      <c r="J223" s="3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"/>
      <c r="AV223" s="3"/>
      <c r="AW223" s="3"/>
      <c r="AX223" s="3"/>
      <c r="AY223" s="3"/>
      <c r="AZ223" s="3"/>
      <c r="BA223" s="3"/>
    </row>
    <row r="224" ht="12.75" spans="1:53">
      <c r="A224" s="3"/>
      <c r="B224" s="3"/>
      <c r="C224" s="3"/>
      <c r="D224" s="30"/>
      <c r="E224" s="30"/>
      <c r="F224" s="30"/>
      <c r="G224" s="30"/>
      <c r="H224" s="30"/>
      <c r="I224" s="30"/>
      <c r="J224" s="3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"/>
      <c r="AV224" s="3"/>
      <c r="AW224" s="3"/>
      <c r="AX224" s="3"/>
      <c r="AY224" s="3"/>
      <c r="AZ224" s="3"/>
      <c r="BA224" s="3"/>
    </row>
    <row r="225" ht="12.75" spans="1:53">
      <c r="A225" s="3"/>
      <c r="B225" s="3"/>
      <c r="C225" s="3"/>
      <c r="D225" s="30"/>
      <c r="E225" s="30"/>
      <c r="F225" s="30"/>
      <c r="G225" s="30"/>
      <c r="H225" s="30"/>
      <c r="I225" s="30"/>
      <c r="J225" s="3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"/>
      <c r="AV225" s="3"/>
      <c r="AW225" s="3"/>
      <c r="AX225" s="3"/>
      <c r="AY225" s="3"/>
      <c r="AZ225" s="3"/>
      <c r="BA225" s="3"/>
    </row>
    <row r="226" ht="12.75" spans="1:53">
      <c r="A226" s="3"/>
      <c r="B226" s="3"/>
      <c r="C226" s="3"/>
      <c r="D226" s="30"/>
      <c r="E226" s="30"/>
      <c r="F226" s="30"/>
      <c r="G226" s="30"/>
      <c r="H226" s="30"/>
      <c r="I226" s="30"/>
      <c r="J226" s="3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"/>
      <c r="AV226" s="3"/>
      <c r="AW226" s="3"/>
      <c r="AX226" s="3"/>
      <c r="AY226" s="3"/>
      <c r="AZ226" s="3"/>
      <c r="BA226" s="3"/>
    </row>
    <row r="227" ht="12.75" spans="1:53">
      <c r="A227" s="3"/>
      <c r="B227" s="3"/>
      <c r="C227" s="3"/>
      <c r="D227" s="30"/>
      <c r="E227" s="30"/>
      <c r="F227" s="30"/>
      <c r="G227" s="30"/>
      <c r="H227" s="30"/>
      <c r="I227" s="30"/>
      <c r="J227" s="3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"/>
      <c r="AV227" s="3"/>
      <c r="AW227" s="3"/>
      <c r="AX227" s="3"/>
      <c r="AY227" s="3"/>
      <c r="AZ227" s="3"/>
      <c r="BA227" s="3"/>
    </row>
    <row r="228" ht="12.75" spans="1:53">
      <c r="A228" s="3"/>
      <c r="B228" s="3"/>
      <c r="C228" s="3"/>
      <c r="D228" s="30"/>
      <c r="E228" s="30"/>
      <c r="F228" s="30"/>
      <c r="G228" s="30"/>
      <c r="H228" s="30"/>
      <c r="I228" s="30"/>
      <c r="J228" s="3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"/>
      <c r="AV228" s="3"/>
      <c r="AW228" s="3"/>
      <c r="AX228" s="3"/>
      <c r="AY228" s="3"/>
      <c r="AZ228" s="3"/>
      <c r="BA228" s="3"/>
    </row>
    <row r="229" ht="12.75" spans="1:53">
      <c r="A229" s="3"/>
      <c r="B229" s="3"/>
      <c r="C229" s="3"/>
      <c r="D229" s="30"/>
      <c r="E229" s="30"/>
      <c r="F229" s="30"/>
      <c r="G229" s="30"/>
      <c r="H229" s="30"/>
      <c r="I229" s="30"/>
      <c r="J229" s="3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"/>
      <c r="AV229" s="3"/>
      <c r="AW229" s="3"/>
      <c r="AX229" s="3"/>
      <c r="AY229" s="3"/>
      <c r="AZ229" s="3"/>
      <c r="BA229" s="3"/>
    </row>
    <row r="230" ht="12.75" spans="1:53">
      <c r="A230" s="3"/>
      <c r="B230" s="3"/>
      <c r="C230" s="3"/>
      <c r="D230" s="30"/>
      <c r="E230" s="30"/>
      <c r="F230" s="30"/>
      <c r="G230" s="30"/>
      <c r="H230" s="30"/>
      <c r="I230" s="30"/>
      <c r="J230" s="3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"/>
      <c r="AV230" s="3"/>
      <c r="AW230" s="3"/>
      <c r="AX230" s="3"/>
      <c r="AY230" s="3"/>
      <c r="AZ230" s="3"/>
      <c r="BA230" s="3"/>
    </row>
    <row r="231" ht="12.75" spans="1:53">
      <c r="A231" s="3"/>
      <c r="B231" s="3"/>
      <c r="C231" s="3"/>
      <c r="D231" s="30"/>
      <c r="E231" s="30"/>
      <c r="F231" s="30"/>
      <c r="G231" s="30"/>
      <c r="H231" s="30"/>
      <c r="I231" s="30"/>
      <c r="J231" s="3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"/>
      <c r="AV231" s="3"/>
      <c r="AW231" s="3"/>
      <c r="AX231" s="3"/>
      <c r="AY231" s="3"/>
      <c r="AZ231" s="3"/>
      <c r="BA231" s="3"/>
    </row>
    <row r="232" ht="12.75" spans="1:53">
      <c r="A232" s="3"/>
      <c r="B232" s="3"/>
      <c r="C232" s="3"/>
      <c r="D232" s="30"/>
      <c r="E232" s="30"/>
      <c r="F232" s="30"/>
      <c r="G232" s="30"/>
      <c r="H232" s="30"/>
      <c r="I232" s="30"/>
      <c r="J232" s="3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"/>
      <c r="AV232" s="3"/>
      <c r="AW232" s="3"/>
      <c r="AX232" s="3"/>
      <c r="AY232" s="3"/>
      <c r="AZ232" s="3"/>
      <c r="BA232" s="3"/>
    </row>
    <row r="233" ht="12.75" spans="1:53">
      <c r="A233" s="3"/>
      <c r="B233" s="3"/>
      <c r="C233" s="3"/>
      <c r="D233" s="30"/>
      <c r="E233" s="30"/>
      <c r="F233" s="30"/>
      <c r="G233" s="30"/>
      <c r="H233" s="30"/>
      <c r="I233" s="30"/>
      <c r="J233" s="3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"/>
      <c r="AV233" s="3"/>
      <c r="AW233" s="3"/>
      <c r="AX233" s="3"/>
      <c r="AY233" s="3"/>
      <c r="AZ233" s="3"/>
      <c r="BA233" s="3"/>
    </row>
    <row r="234" ht="12.75" spans="1:53">
      <c r="A234" s="3"/>
      <c r="B234" s="3"/>
      <c r="C234" s="3"/>
      <c r="D234" s="30"/>
      <c r="E234" s="30"/>
      <c r="F234" s="30"/>
      <c r="G234" s="30"/>
      <c r="H234" s="30"/>
      <c r="I234" s="30"/>
      <c r="J234" s="3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"/>
      <c r="AV234" s="3"/>
      <c r="AW234" s="3"/>
      <c r="AX234" s="3"/>
      <c r="AY234" s="3"/>
      <c r="AZ234" s="3"/>
      <c r="BA234" s="3"/>
    </row>
    <row r="235" ht="12.75" spans="1:53">
      <c r="A235" s="3"/>
      <c r="B235" s="3"/>
      <c r="C235" s="3"/>
      <c r="D235" s="30"/>
      <c r="E235" s="30"/>
      <c r="F235" s="30"/>
      <c r="G235" s="30"/>
      <c r="H235" s="30"/>
      <c r="I235" s="30"/>
      <c r="J235" s="3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"/>
      <c r="AV235" s="3"/>
      <c r="AW235" s="3"/>
      <c r="AX235" s="3"/>
      <c r="AY235" s="3"/>
      <c r="AZ235" s="3"/>
      <c r="BA235" s="3"/>
    </row>
    <row r="236" ht="12.75" spans="1:53">
      <c r="A236" s="3"/>
      <c r="B236" s="3"/>
      <c r="C236" s="3"/>
      <c r="D236" s="30"/>
      <c r="E236" s="30"/>
      <c r="F236" s="30"/>
      <c r="G236" s="30"/>
      <c r="H236" s="30"/>
      <c r="I236" s="30"/>
      <c r="J236" s="3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"/>
      <c r="AV236" s="3"/>
      <c r="AW236" s="3"/>
      <c r="AX236" s="3"/>
      <c r="AY236" s="3"/>
      <c r="AZ236" s="3"/>
      <c r="BA236" s="3"/>
    </row>
    <row r="237" ht="12.75" spans="1:53">
      <c r="A237" s="3"/>
      <c r="B237" s="3"/>
      <c r="C237" s="3"/>
      <c r="D237" s="30"/>
      <c r="E237" s="30"/>
      <c r="F237" s="30"/>
      <c r="G237" s="30"/>
      <c r="H237" s="30"/>
      <c r="I237" s="30"/>
      <c r="J237" s="3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"/>
      <c r="AV237" s="3"/>
      <c r="AW237" s="3"/>
      <c r="AX237" s="3"/>
      <c r="AY237" s="3"/>
      <c r="AZ237" s="3"/>
      <c r="BA237" s="3"/>
    </row>
    <row r="238" ht="12.75" spans="1:53">
      <c r="A238" s="3"/>
      <c r="B238" s="3"/>
      <c r="C238" s="3"/>
      <c r="D238" s="30"/>
      <c r="E238" s="30"/>
      <c r="F238" s="30"/>
      <c r="G238" s="30"/>
      <c r="H238" s="30"/>
      <c r="I238" s="30"/>
      <c r="J238" s="3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"/>
      <c r="AV238" s="3"/>
      <c r="AW238" s="3"/>
      <c r="AX238" s="3"/>
      <c r="AY238" s="3"/>
      <c r="AZ238" s="3"/>
      <c r="BA238" s="3"/>
    </row>
    <row r="239" ht="12.75" spans="1:53">
      <c r="A239" s="3"/>
      <c r="B239" s="3"/>
      <c r="C239" s="3"/>
      <c r="D239" s="30"/>
      <c r="E239" s="30"/>
      <c r="F239" s="30"/>
      <c r="G239" s="30"/>
      <c r="H239" s="30"/>
      <c r="I239" s="30"/>
      <c r="J239" s="3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"/>
      <c r="AV239" s="3"/>
      <c r="AW239" s="3"/>
      <c r="AX239" s="3"/>
      <c r="AY239" s="3"/>
      <c r="AZ239" s="3"/>
      <c r="BA239" s="3"/>
    </row>
    <row r="240" ht="12.75" spans="1:53">
      <c r="A240" s="3"/>
      <c r="B240" s="3"/>
      <c r="C240" s="3"/>
      <c r="D240" s="30"/>
      <c r="E240" s="30"/>
      <c r="F240" s="30"/>
      <c r="G240" s="30"/>
      <c r="H240" s="30"/>
      <c r="I240" s="30"/>
      <c r="J240" s="3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"/>
      <c r="AV240" s="3"/>
      <c r="AW240" s="3"/>
      <c r="AX240" s="3"/>
      <c r="AY240" s="3"/>
      <c r="AZ240" s="3"/>
      <c r="BA240" s="3"/>
    </row>
    <row r="241" ht="12.75" spans="1:53">
      <c r="A241" s="3"/>
      <c r="B241" s="3"/>
      <c r="C241" s="3"/>
      <c r="D241" s="30"/>
      <c r="E241" s="30"/>
      <c r="F241" s="30"/>
      <c r="G241" s="30"/>
      <c r="H241" s="30"/>
      <c r="I241" s="30"/>
      <c r="J241" s="3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"/>
      <c r="AV241" s="3"/>
      <c r="AW241" s="3"/>
      <c r="AX241" s="3"/>
      <c r="AY241" s="3"/>
      <c r="AZ241" s="3"/>
      <c r="BA241" s="3"/>
    </row>
    <row r="242" ht="12.75" spans="1:53">
      <c r="A242" s="3"/>
      <c r="B242" s="3"/>
      <c r="C242" s="3"/>
      <c r="D242" s="30"/>
      <c r="E242" s="30"/>
      <c r="F242" s="30"/>
      <c r="G242" s="30"/>
      <c r="H242" s="30"/>
      <c r="I242" s="30"/>
      <c r="J242" s="3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"/>
      <c r="AV242" s="3"/>
      <c r="AW242" s="3"/>
      <c r="AX242" s="3"/>
      <c r="AY242" s="3"/>
      <c r="AZ242" s="3"/>
      <c r="BA242" s="3"/>
    </row>
    <row r="243" ht="12.75" spans="1:53">
      <c r="A243" s="3"/>
      <c r="B243" s="3"/>
      <c r="C243" s="3"/>
      <c r="D243" s="30"/>
      <c r="E243" s="30"/>
      <c r="F243" s="30"/>
      <c r="G243" s="30"/>
      <c r="H243" s="30"/>
      <c r="I243" s="30"/>
      <c r="J243" s="3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"/>
      <c r="AV243" s="3"/>
      <c r="AW243" s="3"/>
      <c r="AX243" s="3"/>
      <c r="AY243" s="3"/>
      <c r="AZ243" s="3"/>
      <c r="BA243" s="3"/>
    </row>
    <row r="244" ht="12.75" spans="1:53">
      <c r="A244" s="3"/>
      <c r="B244" s="3"/>
      <c r="C244" s="3"/>
      <c r="D244" s="30"/>
      <c r="E244" s="30"/>
      <c r="F244" s="30"/>
      <c r="G244" s="30"/>
      <c r="H244" s="30"/>
      <c r="I244" s="30"/>
      <c r="J244" s="3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"/>
      <c r="AV244" s="3"/>
      <c r="AW244" s="3"/>
      <c r="AX244" s="3"/>
      <c r="AY244" s="3"/>
      <c r="AZ244" s="3"/>
      <c r="BA244" s="3"/>
    </row>
    <row r="245" ht="12.75" spans="1:53">
      <c r="A245" s="3"/>
      <c r="B245" s="3"/>
      <c r="C245" s="3"/>
      <c r="D245" s="30"/>
      <c r="E245" s="30"/>
      <c r="F245" s="30"/>
      <c r="G245" s="30"/>
      <c r="H245" s="30"/>
      <c r="I245" s="30"/>
      <c r="J245" s="3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"/>
      <c r="AV245" s="3"/>
      <c r="AW245" s="3"/>
      <c r="AX245" s="3"/>
      <c r="AY245" s="3"/>
      <c r="AZ245" s="3"/>
      <c r="BA245" s="3"/>
    </row>
    <row r="246" ht="12.75" spans="1:53">
      <c r="A246" s="3"/>
      <c r="B246" s="3"/>
      <c r="C246" s="3"/>
      <c r="D246" s="30"/>
      <c r="E246" s="30"/>
      <c r="F246" s="30"/>
      <c r="G246" s="30"/>
      <c r="H246" s="30"/>
      <c r="I246" s="30"/>
      <c r="J246" s="3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"/>
      <c r="AV246" s="3"/>
      <c r="AW246" s="3"/>
      <c r="AX246" s="3"/>
      <c r="AY246" s="3"/>
      <c r="AZ246" s="3"/>
      <c r="BA246" s="3"/>
    </row>
    <row r="247" ht="12.75" spans="1:53">
      <c r="A247" s="3"/>
      <c r="B247" s="3"/>
      <c r="C247" s="3"/>
      <c r="D247" s="30"/>
      <c r="E247" s="30"/>
      <c r="F247" s="30"/>
      <c r="G247" s="30"/>
      <c r="H247" s="30"/>
      <c r="I247" s="30"/>
      <c r="J247" s="3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"/>
      <c r="AV247" s="3"/>
      <c r="AW247" s="3"/>
      <c r="AX247" s="3"/>
      <c r="AY247" s="3"/>
      <c r="AZ247" s="3"/>
      <c r="BA247" s="3"/>
    </row>
    <row r="248" ht="12.75" spans="1:53">
      <c r="A248" s="3"/>
      <c r="B248" s="3"/>
      <c r="C248" s="3"/>
      <c r="D248" s="30"/>
      <c r="E248" s="30"/>
      <c r="F248" s="30"/>
      <c r="G248" s="30"/>
      <c r="H248" s="30"/>
      <c r="I248" s="30"/>
      <c r="J248" s="3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"/>
      <c r="AV248" s="3"/>
      <c r="AW248" s="3"/>
      <c r="AX248" s="3"/>
      <c r="AY248" s="3"/>
      <c r="AZ248" s="3"/>
      <c r="BA248" s="3"/>
    </row>
    <row r="249" ht="12.75" spans="1:53">
      <c r="A249" s="3"/>
      <c r="B249" s="3"/>
      <c r="C249" s="3"/>
      <c r="D249" s="30"/>
      <c r="E249" s="30"/>
      <c r="F249" s="30"/>
      <c r="G249" s="30"/>
      <c r="H249" s="30"/>
      <c r="I249" s="30"/>
      <c r="J249" s="3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"/>
      <c r="AV249" s="3"/>
      <c r="AW249" s="3"/>
      <c r="AX249" s="3"/>
      <c r="AY249" s="3"/>
      <c r="AZ249" s="3"/>
      <c r="BA249" s="3"/>
    </row>
    <row r="250" ht="12.75" spans="1:53">
      <c r="A250" s="3"/>
      <c r="B250" s="3"/>
      <c r="C250" s="3"/>
      <c r="D250" s="30"/>
      <c r="E250" s="30"/>
      <c r="F250" s="30"/>
      <c r="G250" s="30"/>
      <c r="H250" s="30"/>
      <c r="I250" s="30"/>
      <c r="J250" s="3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"/>
      <c r="AV250" s="3"/>
      <c r="AW250" s="3"/>
      <c r="AX250" s="3"/>
      <c r="AY250" s="3"/>
      <c r="AZ250" s="3"/>
      <c r="BA250" s="3"/>
    </row>
    <row r="251" ht="12.75" spans="1:53">
      <c r="A251" s="3"/>
      <c r="B251" s="3"/>
      <c r="C251" s="3"/>
      <c r="D251" s="30"/>
      <c r="E251" s="30"/>
      <c r="F251" s="30"/>
      <c r="G251" s="30"/>
      <c r="H251" s="30"/>
      <c r="I251" s="30"/>
      <c r="J251" s="3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"/>
      <c r="AV251" s="3"/>
      <c r="AW251" s="3"/>
      <c r="AX251" s="3"/>
      <c r="AY251" s="3"/>
      <c r="AZ251" s="3"/>
      <c r="BA251" s="3"/>
    </row>
    <row r="252" ht="12.75" spans="1:53">
      <c r="A252" s="3"/>
      <c r="B252" s="3"/>
      <c r="C252" s="3"/>
      <c r="D252" s="30"/>
      <c r="E252" s="30"/>
      <c r="F252" s="30"/>
      <c r="G252" s="30"/>
      <c r="H252" s="30"/>
      <c r="I252" s="30"/>
      <c r="J252" s="3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"/>
      <c r="AV252" s="3"/>
      <c r="AW252" s="3"/>
      <c r="AX252" s="3"/>
      <c r="AY252" s="3"/>
      <c r="AZ252" s="3"/>
      <c r="BA252" s="3"/>
    </row>
    <row r="253" ht="12.75" spans="1:53">
      <c r="A253" s="3"/>
      <c r="B253" s="3"/>
      <c r="C253" s="3"/>
      <c r="D253" s="30"/>
      <c r="E253" s="30"/>
      <c r="F253" s="30"/>
      <c r="G253" s="30"/>
      <c r="H253" s="30"/>
      <c r="I253" s="30"/>
      <c r="J253" s="3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"/>
      <c r="AV253" s="3"/>
      <c r="AW253" s="3"/>
      <c r="AX253" s="3"/>
      <c r="AY253" s="3"/>
      <c r="AZ253" s="3"/>
      <c r="BA253" s="3"/>
    </row>
    <row r="254" ht="12.75" spans="1:53">
      <c r="A254" s="3"/>
      <c r="B254" s="3"/>
      <c r="C254" s="3"/>
      <c r="D254" s="30"/>
      <c r="E254" s="30"/>
      <c r="F254" s="30"/>
      <c r="G254" s="30"/>
      <c r="H254" s="30"/>
      <c r="I254" s="30"/>
      <c r="J254" s="3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"/>
      <c r="AV254" s="3"/>
      <c r="AW254" s="3"/>
      <c r="AX254" s="3"/>
      <c r="AY254" s="3"/>
      <c r="AZ254" s="3"/>
      <c r="BA254" s="3"/>
    </row>
    <row r="255" ht="12.75" spans="1:53">
      <c r="A255" s="3"/>
      <c r="B255" s="3"/>
      <c r="C255" s="3"/>
      <c r="D255" s="30"/>
      <c r="E255" s="30"/>
      <c r="F255" s="30"/>
      <c r="G255" s="30"/>
      <c r="H255" s="30"/>
      <c r="I255" s="30"/>
      <c r="J255" s="3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"/>
      <c r="AV255" s="3"/>
      <c r="AW255" s="3"/>
      <c r="AX255" s="3"/>
      <c r="AY255" s="3"/>
      <c r="AZ255" s="3"/>
      <c r="BA255" s="3"/>
    </row>
    <row r="256" ht="12.75" spans="1:53">
      <c r="A256" s="3"/>
      <c r="B256" s="3"/>
      <c r="C256" s="3"/>
      <c r="D256" s="30"/>
      <c r="E256" s="30"/>
      <c r="F256" s="30"/>
      <c r="G256" s="30"/>
      <c r="H256" s="30"/>
      <c r="I256" s="30"/>
      <c r="J256" s="3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"/>
      <c r="AV256" s="3"/>
      <c r="AW256" s="3"/>
      <c r="AX256" s="3"/>
      <c r="AY256" s="3"/>
      <c r="AZ256" s="3"/>
      <c r="BA256" s="3"/>
    </row>
    <row r="257" ht="12.75" spans="1:53">
      <c r="A257" s="3"/>
      <c r="B257" s="3"/>
      <c r="C257" s="3"/>
      <c r="D257" s="30"/>
      <c r="E257" s="30"/>
      <c r="F257" s="30"/>
      <c r="G257" s="30"/>
      <c r="H257" s="30"/>
      <c r="I257" s="30"/>
      <c r="J257" s="3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"/>
      <c r="AV257" s="3"/>
      <c r="AW257" s="3"/>
      <c r="AX257" s="3"/>
      <c r="AY257" s="3"/>
      <c r="AZ257" s="3"/>
      <c r="BA257" s="3"/>
    </row>
    <row r="258" ht="12.75" spans="1:53">
      <c r="A258" s="3"/>
      <c r="B258" s="3"/>
      <c r="C258" s="3"/>
      <c r="D258" s="30"/>
      <c r="E258" s="30"/>
      <c r="F258" s="30"/>
      <c r="G258" s="30"/>
      <c r="H258" s="30"/>
      <c r="I258" s="30"/>
      <c r="J258" s="3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"/>
      <c r="AV258" s="3"/>
      <c r="AW258" s="3"/>
      <c r="AX258" s="3"/>
      <c r="AY258" s="3"/>
      <c r="AZ258" s="3"/>
      <c r="BA258" s="3"/>
    </row>
    <row r="259" ht="12.75" spans="1:53">
      <c r="A259" s="3"/>
      <c r="B259" s="3"/>
      <c r="C259" s="3"/>
      <c r="D259" s="30"/>
      <c r="E259" s="30"/>
      <c r="F259" s="30"/>
      <c r="G259" s="30"/>
      <c r="H259" s="30"/>
      <c r="I259" s="30"/>
      <c r="J259" s="3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"/>
      <c r="AV259" s="3"/>
      <c r="AW259" s="3"/>
      <c r="AX259" s="3"/>
      <c r="AY259" s="3"/>
      <c r="AZ259" s="3"/>
      <c r="BA259" s="3"/>
    </row>
    <row r="260" ht="12.75" spans="1:53">
      <c r="A260" s="3"/>
      <c r="B260" s="3"/>
      <c r="C260" s="3"/>
      <c r="D260" s="30"/>
      <c r="E260" s="30"/>
      <c r="F260" s="30"/>
      <c r="G260" s="30"/>
      <c r="H260" s="30"/>
      <c r="I260" s="30"/>
      <c r="J260" s="3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"/>
      <c r="AV260" s="3"/>
      <c r="AW260" s="3"/>
      <c r="AX260" s="3"/>
      <c r="AY260" s="3"/>
      <c r="AZ260" s="3"/>
      <c r="BA260" s="3"/>
    </row>
    <row r="261" ht="12.75" spans="1:53">
      <c r="A261" s="3"/>
      <c r="B261" s="3"/>
      <c r="C261" s="3"/>
      <c r="D261" s="30"/>
      <c r="E261" s="30"/>
      <c r="F261" s="30"/>
      <c r="G261" s="30"/>
      <c r="H261" s="30"/>
      <c r="I261" s="30"/>
      <c r="J261" s="3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"/>
      <c r="AV261" s="3"/>
      <c r="AW261" s="3"/>
      <c r="AX261" s="3"/>
      <c r="AY261" s="3"/>
      <c r="AZ261" s="3"/>
      <c r="BA261" s="3"/>
    </row>
    <row r="262" ht="12.75" spans="1:53">
      <c r="A262" s="3"/>
      <c r="B262" s="3"/>
      <c r="C262" s="3"/>
      <c r="D262" s="30"/>
      <c r="E262" s="30"/>
      <c r="F262" s="30"/>
      <c r="G262" s="30"/>
      <c r="H262" s="30"/>
      <c r="I262" s="30"/>
      <c r="J262" s="3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"/>
      <c r="AV262" s="3"/>
      <c r="AW262" s="3"/>
      <c r="AX262" s="3"/>
      <c r="AY262" s="3"/>
      <c r="AZ262" s="3"/>
      <c r="BA262" s="3"/>
    </row>
    <row r="263" ht="12.75" spans="1:53">
      <c r="A263" s="3"/>
      <c r="B263" s="3"/>
      <c r="C263" s="3"/>
      <c r="D263" s="30"/>
      <c r="E263" s="30"/>
      <c r="F263" s="30"/>
      <c r="G263" s="30"/>
      <c r="H263" s="30"/>
      <c r="I263" s="30"/>
      <c r="J263" s="3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"/>
      <c r="AV263" s="3"/>
      <c r="AW263" s="3"/>
      <c r="AX263" s="3"/>
      <c r="AY263" s="3"/>
      <c r="AZ263" s="3"/>
      <c r="BA263" s="3"/>
    </row>
    <row r="264" ht="12.75" spans="1:53">
      <c r="A264" s="3"/>
      <c r="B264" s="3"/>
      <c r="C264" s="3"/>
      <c r="D264" s="30"/>
      <c r="E264" s="30"/>
      <c r="F264" s="30"/>
      <c r="G264" s="30"/>
      <c r="H264" s="30"/>
      <c r="I264" s="30"/>
      <c r="J264" s="3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"/>
      <c r="AV264" s="3"/>
      <c r="AW264" s="3"/>
      <c r="AX264" s="3"/>
      <c r="AY264" s="3"/>
      <c r="AZ264" s="3"/>
      <c r="BA264" s="3"/>
    </row>
    <row r="265" ht="12.75" spans="1:53">
      <c r="A265" s="3"/>
      <c r="B265" s="3"/>
      <c r="C265" s="3"/>
      <c r="D265" s="30"/>
      <c r="E265" s="30"/>
      <c r="F265" s="30"/>
      <c r="G265" s="30"/>
      <c r="H265" s="30"/>
      <c r="I265" s="30"/>
      <c r="J265" s="3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"/>
      <c r="AV265" s="3"/>
      <c r="AW265" s="3"/>
      <c r="AX265" s="3"/>
      <c r="AY265" s="3"/>
      <c r="AZ265" s="3"/>
      <c r="BA265" s="3"/>
    </row>
    <row r="266" ht="12.75" spans="1:53">
      <c r="A266" s="3"/>
      <c r="B266" s="3"/>
      <c r="C266" s="3"/>
      <c r="D266" s="30"/>
      <c r="E266" s="30"/>
      <c r="F266" s="30"/>
      <c r="G266" s="30"/>
      <c r="H266" s="30"/>
      <c r="I266" s="30"/>
      <c r="J266" s="3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"/>
      <c r="AV266" s="3"/>
      <c r="AW266" s="3"/>
      <c r="AX266" s="3"/>
      <c r="AY266" s="3"/>
      <c r="AZ266" s="3"/>
      <c r="BA266" s="3"/>
    </row>
    <row r="267" ht="12.75" spans="1:53">
      <c r="A267" s="3"/>
      <c r="B267" s="3"/>
      <c r="C267" s="3"/>
      <c r="D267" s="30"/>
      <c r="E267" s="30"/>
      <c r="F267" s="30"/>
      <c r="G267" s="30"/>
      <c r="H267" s="30"/>
      <c r="I267" s="30"/>
      <c r="J267" s="3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"/>
      <c r="AV267" s="3"/>
      <c r="AW267" s="3"/>
      <c r="AX267" s="3"/>
      <c r="AY267" s="3"/>
      <c r="AZ267" s="3"/>
      <c r="BA267" s="3"/>
    </row>
    <row r="268" ht="12.75" spans="1:53">
      <c r="A268" s="3"/>
      <c r="B268" s="3"/>
      <c r="C268" s="3"/>
      <c r="D268" s="30"/>
      <c r="E268" s="30"/>
      <c r="F268" s="30"/>
      <c r="G268" s="30"/>
      <c r="H268" s="30"/>
      <c r="I268" s="30"/>
      <c r="J268" s="3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"/>
      <c r="AV268" s="3"/>
      <c r="AW268" s="3"/>
      <c r="AX268" s="3"/>
      <c r="AY268" s="3"/>
      <c r="AZ268" s="3"/>
      <c r="BA268" s="3"/>
    </row>
    <row r="269" ht="12.75" spans="1:53">
      <c r="A269" s="3"/>
      <c r="B269" s="3"/>
      <c r="C269" s="3"/>
      <c r="D269" s="30"/>
      <c r="E269" s="30"/>
      <c r="F269" s="30"/>
      <c r="G269" s="30"/>
      <c r="H269" s="30"/>
      <c r="I269" s="30"/>
      <c r="J269" s="3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"/>
      <c r="AV269" s="3"/>
      <c r="AW269" s="3"/>
      <c r="AX269" s="3"/>
      <c r="AY269" s="3"/>
      <c r="AZ269" s="3"/>
      <c r="BA269" s="3"/>
    </row>
    <row r="270" ht="12.75" spans="1:53">
      <c r="A270" s="3"/>
      <c r="B270" s="3"/>
      <c r="C270" s="3"/>
      <c r="D270" s="30"/>
      <c r="E270" s="30"/>
      <c r="F270" s="30"/>
      <c r="G270" s="30"/>
      <c r="H270" s="30"/>
      <c r="I270" s="30"/>
      <c r="J270" s="3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"/>
      <c r="AV270" s="3"/>
      <c r="AW270" s="3"/>
      <c r="AX270" s="3"/>
      <c r="AY270" s="3"/>
      <c r="AZ270" s="3"/>
      <c r="BA270" s="3"/>
    </row>
    <row r="271" ht="12.75" spans="1:53">
      <c r="A271" s="3"/>
      <c r="B271" s="3"/>
      <c r="C271" s="3"/>
      <c r="D271" s="30"/>
      <c r="E271" s="30"/>
      <c r="F271" s="30"/>
      <c r="G271" s="30"/>
      <c r="H271" s="30"/>
      <c r="I271" s="30"/>
      <c r="J271" s="3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"/>
      <c r="AV271" s="3"/>
      <c r="AW271" s="3"/>
      <c r="AX271" s="3"/>
      <c r="AY271" s="3"/>
      <c r="AZ271" s="3"/>
      <c r="BA271" s="3"/>
    </row>
    <row r="272" ht="12.75" spans="1:53">
      <c r="A272" s="3"/>
      <c r="B272" s="3"/>
      <c r="C272" s="3"/>
      <c r="D272" s="30"/>
      <c r="E272" s="30"/>
      <c r="F272" s="30"/>
      <c r="G272" s="30"/>
      <c r="H272" s="30"/>
      <c r="I272" s="30"/>
      <c r="J272" s="3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"/>
      <c r="AV272" s="3"/>
      <c r="AW272" s="3"/>
      <c r="AX272" s="3"/>
      <c r="AY272" s="3"/>
      <c r="AZ272" s="3"/>
      <c r="BA272" s="3"/>
    </row>
    <row r="273" ht="12.75" spans="1:53">
      <c r="A273" s="3"/>
      <c r="B273" s="3"/>
      <c r="C273" s="3"/>
      <c r="D273" s="30"/>
      <c r="E273" s="30"/>
      <c r="F273" s="30"/>
      <c r="G273" s="30"/>
      <c r="H273" s="30"/>
      <c r="I273" s="30"/>
      <c r="J273" s="3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"/>
      <c r="AV273" s="3"/>
      <c r="AW273" s="3"/>
      <c r="AX273" s="3"/>
      <c r="AY273" s="3"/>
      <c r="AZ273" s="3"/>
      <c r="BA273" s="3"/>
    </row>
    <row r="274" ht="12.75" spans="1:53">
      <c r="A274" s="3"/>
      <c r="B274" s="3"/>
      <c r="C274" s="3"/>
      <c r="D274" s="30"/>
      <c r="E274" s="30"/>
      <c r="F274" s="30"/>
      <c r="G274" s="30"/>
      <c r="H274" s="30"/>
      <c r="I274" s="30"/>
      <c r="J274" s="3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"/>
      <c r="AV274" s="3"/>
      <c r="AW274" s="3"/>
      <c r="AX274" s="3"/>
      <c r="AY274" s="3"/>
      <c r="AZ274" s="3"/>
      <c r="BA274" s="3"/>
    </row>
    <row r="275" ht="12.75" spans="1:53">
      <c r="A275" s="3"/>
      <c r="B275" s="3"/>
      <c r="C275" s="3"/>
      <c r="D275" s="30"/>
      <c r="E275" s="30"/>
      <c r="F275" s="30"/>
      <c r="G275" s="30"/>
      <c r="H275" s="30"/>
      <c r="I275" s="30"/>
      <c r="J275" s="3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"/>
      <c r="AV275" s="3"/>
      <c r="AW275" s="3"/>
      <c r="AX275" s="3"/>
      <c r="AY275" s="3"/>
      <c r="AZ275" s="3"/>
      <c r="BA275" s="3"/>
    </row>
    <row r="276" ht="12.75" spans="1:53">
      <c r="A276" s="3"/>
      <c r="B276" s="3"/>
      <c r="C276" s="3"/>
      <c r="D276" s="30"/>
      <c r="E276" s="30"/>
      <c r="F276" s="30"/>
      <c r="G276" s="30"/>
      <c r="H276" s="30"/>
      <c r="I276" s="30"/>
      <c r="J276" s="3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"/>
      <c r="AV276" s="3"/>
      <c r="AW276" s="3"/>
      <c r="AX276" s="3"/>
      <c r="AY276" s="3"/>
      <c r="AZ276" s="3"/>
      <c r="BA276" s="3"/>
    </row>
    <row r="277" ht="12.75" spans="1:53">
      <c r="A277" s="3"/>
      <c r="B277" s="3"/>
      <c r="C277" s="3"/>
      <c r="D277" s="30"/>
      <c r="E277" s="30"/>
      <c r="F277" s="30"/>
      <c r="G277" s="30"/>
      <c r="H277" s="30"/>
      <c r="I277" s="30"/>
      <c r="J277" s="3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"/>
      <c r="AV277" s="3"/>
      <c r="AW277" s="3"/>
      <c r="AX277" s="3"/>
      <c r="AY277" s="3"/>
      <c r="AZ277" s="3"/>
      <c r="BA277" s="3"/>
    </row>
    <row r="278" ht="12.75" spans="1:53">
      <c r="A278" s="3"/>
      <c r="B278" s="3"/>
      <c r="C278" s="3"/>
      <c r="D278" s="30"/>
      <c r="E278" s="30"/>
      <c r="F278" s="30"/>
      <c r="G278" s="30"/>
      <c r="H278" s="30"/>
      <c r="I278" s="30"/>
      <c r="J278" s="3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"/>
      <c r="AV278" s="3"/>
      <c r="AW278" s="3"/>
      <c r="AX278" s="3"/>
      <c r="AY278" s="3"/>
      <c r="AZ278" s="3"/>
      <c r="BA278" s="3"/>
    </row>
    <row r="279" ht="12.75" spans="1:53">
      <c r="A279" s="3"/>
      <c r="B279" s="3"/>
      <c r="C279" s="3"/>
      <c r="D279" s="30"/>
      <c r="E279" s="30"/>
      <c r="F279" s="30"/>
      <c r="G279" s="30"/>
      <c r="H279" s="30"/>
      <c r="I279" s="30"/>
      <c r="J279" s="3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"/>
      <c r="AV279" s="3"/>
      <c r="AW279" s="3"/>
      <c r="AX279" s="3"/>
      <c r="AY279" s="3"/>
      <c r="AZ279" s="3"/>
      <c r="BA279" s="3"/>
    </row>
    <row r="280" ht="12.75" spans="1:53">
      <c r="A280" s="3"/>
      <c r="B280" s="3"/>
      <c r="C280" s="3"/>
      <c r="D280" s="30"/>
      <c r="E280" s="30"/>
      <c r="F280" s="30"/>
      <c r="G280" s="30"/>
      <c r="H280" s="30"/>
      <c r="I280" s="30"/>
      <c r="J280" s="3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"/>
      <c r="AV280" s="3"/>
      <c r="AW280" s="3"/>
      <c r="AX280" s="3"/>
      <c r="AY280" s="3"/>
      <c r="AZ280" s="3"/>
      <c r="BA280" s="3"/>
    </row>
    <row r="281" ht="12.75" spans="1:53">
      <c r="A281" s="3"/>
      <c r="B281" s="3"/>
      <c r="C281" s="3"/>
      <c r="D281" s="30"/>
      <c r="E281" s="30"/>
      <c r="F281" s="30"/>
      <c r="G281" s="30"/>
      <c r="H281" s="30"/>
      <c r="I281" s="30"/>
      <c r="J281" s="3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"/>
      <c r="AV281" s="3"/>
      <c r="AW281" s="3"/>
      <c r="AX281" s="3"/>
      <c r="AY281" s="3"/>
      <c r="AZ281" s="3"/>
      <c r="BA281" s="3"/>
    </row>
    <row r="282" ht="12.75" spans="1:53">
      <c r="A282" s="3"/>
      <c r="B282" s="3"/>
      <c r="C282" s="3"/>
      <c r="D282" s="30"/>
      <c r="E282" s="30"/>
      <c r="F282" s="30"/>
      <c r="G282" s="30"/>
      <c r="H282" s="30"/>
      <c r="I282" s="30"/>
      <c r="J282" s="3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"/>
      <c r="AV282" s="3"/>
      <c r="AW282" s="3"/>
      <c r="AX282" s="3"/>
      <c r="AY282" s="3"/>
      <c r="AZ282" s="3"/>
      <c r="BA282" s="3"/>
    </row>
    <row r="283" ht="12.75" spans="1:53">
      <c r="A283" s="3"/>
      <c r="B283" s="3"/>
      <c r="C283" s="3"/>
      <c r="D283" s="30"/>
      <c r="E283" s="30"/>
      <c r="F283" s="30"/>
      <c r="G283" s="30"/>
      <c r="H283" s="30"/>
      <c r="I283" s="30"/>
      <c r="J283" s="3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"/>
      <c r="AV283" s="3"/>
      <c r="AW283" s="3"/>
      <c r="AX283" s="3"/>
      <c r="AY283" s="3"/>
      <c r="AZ283" s="3"/>
      <c r="BA283" s="3"/>
    </row>
    <row r="284" ht="12.75" spans="1:53">
      <c r="A284" s="3"/>
      <c r="B284" s="3"/>
      <c r="C284" s="3"/>
      <c r="D284" s="30"/>
      <c r="E284" s="30"/>
      <c r="F284" s="30"/>
      <c r="G284" s="30"/>
      <c r="H284" s="30"/>
      <c r="I284" s="30"/>
      <c r="J284" s="3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"/>
      <c r="AV284" s="3"/>
      <c r="AW284" s="3"/>
      <c r="AX284" s="3"/>
      <c r="AY284" s="3"/>
      <c r="AZ284" s="3"/>
      <c r="BA284" s="3"/>
    </row>
    <row r="285" ht="12.75" spans="1:53">
      <c r="A285" s="3"/>
      <c r="B285" s="3"/>
      <c r="C285" s="3"/>
      <c r="D285" s="30"/>
      <c r="E285" s="30"/>
      <c r="F285" s="30"/>
      <c r="G285" s="30"/>
      <c r="H285" s="30"/>
      <c r="I285" s="30"/>
      <c r="J285" s="3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"/>
      <c r="AV285" s="3"/>
      <c r="AW285" s="3"/>
      <c r="AX285" s="3"/>
      <c r="AY285" s="3"/>
      <c r="AZ285" s="3"/>
      <c r="BA285" s="3"/>
    </row>
    <row r="286" ht="12.75" spans="1:53">
      <c r="A286" s="3"/>
      <c r="B286" s="3"/>
      <c r="C286" s="3"/>
      <c r="D286" s="30"/>
      <c r="E286" s="30"/>
      <c r="F286" s="30"/>
      <c r="G286" s="30"/>
      <c r="H286" s="30"/>
      <c r="I286" s="30"/>
      <c r="J286" s="3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"/>
      <c r="AV286" s="3"/>
      <c r="AW286" s="3"/>
      <c r="AX286" s="3"/>
      <c r="AY286" s="3"/>
      <c r="AZ286" s="3"/>
      <c r="BA286" s="3"/>
    </row>
    <row r="287" ht="12.75" spans="1:53">
      <c r="A287" s="3"/>
      <c r="B287" s="3"/>
      <c r="C287" s="3"/>
      <c r="D287" s="30"/>
      <c r="E287" s="30"/>
      <c r="F287" s="30"/>
      <c r="G287" s="30"/>
      <c r="H287" s="30"/>
      <c r="I287" s="30"/>
      <c r="J287" s="3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"/>
      <c r="AV287" s="3"/>
      <c r="AW287" s="3"/>
      <c r="AX287" s="3"/>
      <c r="AY287" s="3"/>
      <c r="AZ287" s="3"/>
      <c r="BA287" s="3"/>
    </row>
    <row r="288" ht="12.75" spans="1:53">
      <c r="A288" s="3"/>
      <c r="B288" s="3"/>
      <c r="C288" s="3"/>
      <c r="D288" s="30"/>
      <c r="E288" s="30"/>
      <c r="F288" s="30"/>
      <c r="G288" s="30"/>
      <c r="H288" s="30"/>
      <c r="I288" s="30"/>
      <c r="J288" s="3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"/>
      <c r="AV288" s="3"/>
      <c r="AW288" s="3"/>
      <c r="AX288" s="3"/>
      <c r="AY288" s="3"/>
      <c r="AZ288" s="3"/>
      <c r="BA288" s="3"/>
    </row>
    <row r="289" ht="12.75" spans="1:53">
      <c r="A289" s="3"/>
      <c r="B289" s="3"/>
      <c r="C289" s="3"/>
      <c r="D289" s="30"/>
      <c r="E289" s="30"/>
      <c r="F289" s="30"/>
      <c r="G289" s="30"/>
      <c r="H289" s="30"/>
      <c r="I289" s="30"/>
      <c r="J289" s="3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"/>
      <c r="AV289" s="3"/>
      <c r="AW289" s="3"/>
      <c r="AX289" s="3"/>
      <c r="AY289" s="3"/>
      <c r="AZ289" s="3"/>
      <c r="BA289" s="3"/>
    </row>
    <row r="290" ht="12.75" spans="1:53">
      <c r="A290" s="3"/>
      <c r="B290" s="3"/>
      <c r="C290" s="3"/>
      <c r="D290" s="30"/>
      <c r="E290" s="30"/>
      <c r="F290" s="30"/>
      <c r="G290" s="30"/>
      <c r="H290" s="30"/>
      <c r="I290" s="30"/>
      <c r="J290" s="3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"/>
      <c r="AV290" s="3"/>
      <c r="AW290" s="3"/>
      <c r="AX290" s="3"/>
      <c r="AY290" s="3"/>
      <c r="AZ290" s="3"/>
      <c r="BA290" s="3"/>
    </row>
    <row r="291" ht="12.75" spans="1:53">
      <c r="A291" s="3"/>
      <c r="B291" s="3"/>
      <c r="C291" s="3"/>
      <c r="D291" s="30"/>
      <c r="E291" s="30"/>
      <c r="F291" s="30"/>
      <c r="G291" s="30"/>
      <c r="H291" s="30"/>
      <c r="I291" s="30"/>
      <c r="J291" s="3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"/>
      <c r="AV291" s="3"/>
      <c r="AW291" s="3"/>
      <c r="AX291" s="3"/>
      <c r="AY291" s="3"/>
      <c r="AZ291" s="3"/>
      <c r="BA291" s="3"/>
    </row>
    <row r="292" ht="12.75" spans="1:53">
      <c r="A292" s="3"/>
      <c r="B292" s="3"/>
      <c r="C292" s="3"/>
      <c r="D292" s="30"/>
      <c r="E292" s="30"/>
      <c r="F292" s="30"/>
      <c r="G292" s="30"/>
      <c r="H292" s="30"/>
      <c r="I292" s="30"/>
      <c r="J292" s="3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"/>
      <c r="AV292" s="3"/>
      <c r="AW292" s="3"/>
      <c r="AX292" s="3"/>
      <c r="AY292" s="3"/>
      <c r="AZ292" s="3"/>
      <c r="BA292" s="3"/>
    </row>
    <row r="293" ht="12.75" spans="1:53">
      <c r="A293" s="3"/>
      <c r="B293" s="3"/>
      <c r="C293" s="3"/>
      <c r="D293" s="30"/>
      <c r="E293" s="30"/>
      <c r="F293" s="30"/>
      <c r="G293" s="30"/>
      <c r="H293" s="30"/>
      <c r="I293" s="30"/>
      <c r="J293" s="3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"/>
      <c r="AV293" s="3"/>
      <c r="AW293" s="3"/>
      <c r="AX293" s="3"/>
      <c r="AY293" s="3"/>
      <c r="AZ293" s="3"/>
      <c r="BA293" s="3"/>
    </row>
    <row r="294" ht="12.75" spans="1:53">
      <c r="A294" s="3"/>
      <c r="B294" s="3"/>
      <c r="C294" s="3"/>
      <c r="D294" s="30"/>
      <c r="E294" s="30"/>
      <c r="F294" s="30"/>
      <c r="G294" s="30"/>
      <c r="H294" s="30"/>
      <c r="I294" s="30"/>
      <c r="J294" s="3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"/>
      <c r="AV294" s="3"/>
      <c r="AW294" s="3"/>
      <c r="AX294" s="3"/>
      <c r="AY294" s="3"/>
      <c r="AZ294" s="3"/>
      <c r="BA294" s="3"/>
    </row>
    <row r="295" ht="12.75" spans="1:53">
      <c r="A295" s="3"/>
      <c r="B295" s="3"/>
      <c r="C295" s="3"/>
      <c r="D295" s="30"/>
      <c r="E295" s="30"/>
      <c r="F295" s="30"/>
      <c r="G295" s="30"/>
      <c r="H295" s="30"/>
      <c r="I295" s="30"/>
      <c r="J295" s="3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"/>
      <c r="AV295" s="3"/>
      <c r="AW295" s="3"/>
      <c r="AX295" s="3"/>
      <c r="AY295" s="3"/>
      <c r="AZ295" s="3"/>
      <c r="BA295" s="3"/>
    </row>
    <row r="296" ht="12.75" spans="1:53">
      <c r="A296" s="3"/>
      <c r="B296" s="3"/>
      <c r="C296" s="3"/>
      <c r="D296" s="30"/>
      <c r="E296" s="30"/>
      <c r="F296" s="30"/>
      <c r="G296" s="30"/>
      <c r="H296" s="30"/>
      <c r="I296" s="30"/>
      <c r="J296" s="3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"/>
      <c r="AV296" s="3"/>
      <c r="AW296" s="3"/>
      <c r="AX296" s="3"/>
      <c r="AY296" s="3"/>
      <c r="AZ296" s="3"/>
      <c r="BA296" s="3"/>
    </row>
    <row r="297" ht="12.75" spans="1:53">
      <c r="A297" s="3"/>
      <c r="B297" s="3"/>
      <c r="C297" s="3"/>
      <c r="D297" s="30"/>
      <c r="E297" s="30"/>
      <c r="F297" s="30"/>
      <c r="G297" s="30"/>
      <c r="H297" s="30"/>
      <c r="I297" s="30"/>
      <c r="J297" s="3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"/>
      <c r="AV297" s="3"/>
      <c r="AW297" s="3"/>
      <c r="AX297" s="3"/>
      <c r="AY297" s="3"/>
      <c r="AZ297" s="3"/>
      <c r="BA297" s="3"/>
    </row>
    <row r="298" ht="12.75" spans="1:53">
      <c r="A298" s="3"/>
      <c r="B298" s="3"/>
      <c r="C298" s="3"/>
      <c r="D298" s="30"/>
      <c r="E298" s="30"/>
      <c r="F298" s="30"/>
      <c r="G298" s="30"/>
      <c r="H298" s="30"/>
      <c r="I298" s="30"/>
      <c r="J298" s="3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"/>
      <c r="AV298" s="3"/>
      <c r="AW298" s="3"/>
      <c r="AX298" s="3"/>
      <c r="AY298" s="3"/>
      <c r="AZ298" s="3"/>
      <c r="BA298" s="3"/>
    </row>
    <row r="299" ht="12.75" spans="1:53">
      <c r="A299" s="3"/>
      <c r="B299" s="3"/>
      <c r="C299" s="3"/>
      <c r="D299" s="30"/>
      <c r="E299" s="30"/>
      <c r="F299" s="30"/>
      <c r="G299" s="30"/>
      <c r="H299" s="30"/>
      <c r="I299" s="30"/>
      <c r="J299" s="3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"/>
      <c r="AV299" s="3"/>
      <c r="AW299" s="3"/>
      <c r="AX299" s="3"/>
      <c r="AY299" s="3"/>
      <c r="AZ299" s="3"/>
      <c r="BA299" s="3"/>
    </row>
    <row r="300" ht="12.75" spans="1:53">
      <c r="A300" s="3"/>
      <c r="B300" s="3"/>
      <c r="C300" s="3"/>
      <c r="D300" s="30"/>
      <c r="E300" s="30"/>
      <c r="F300" s="30"/>
      <c r="G300" s="30"/>
      <c r="H300" s="30"/>
      <c r="I300" s="30"/>
      <c r="J300" s="3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"/>
      <c r="AV300" s="3"/>
      <c r="AW300" s="3"/>
      <c r="AX300" s="3"/>
      <c r="AY300" s="3"/>
      <c r="AZ300" s="3"/>
      <c r="BA300" s="3"/>
    </row>
    <row r="301" ht="12.75" spans="1:53">
      <c r="A301" s="3"/>
      <c r="B301" s="3"/>
      <c r="C301" s="3"/>
      <c r="D301" s="30"/>
      <c r="E301" s="30"/>
      <c r="F301" s="30"/>
      <c r="G301" s="30"/>
      <c r="H301" s="30"/>
      <c r="I301" s="30"/>
      <c r="J301" s="3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"/>
      <c r="AV301" s="3"/>
      <c r="AW301" s="3"/>
      <c r="AX301" s="3"/>
      <c r="AY301" s="3"/>
      <c r="AZ301" s="3"/>
      <c r="BA301" s="3"/>
    </row>
    <row r="302" ht="12.75" spans="1:53">
      <c r="A302" s="3"/>
      <c r="B302" s="3"/>
      <c r="C302" s="3"/>
      <c r="D302" s="30"/>
      <c r="E302" s="30"/>
      <c r="F302" s="30"/>
      <c r="G302" s="30"/>
      <c r="H302" s="30"/>
      <c r="I302" s="30"/>
      <c r="J302" s="3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"/>
      <c r="AV302" s="3"/>
      <c r="AW302" s="3"/>
      <c r="AX302" s="3"/>
      <c r="AY302" s="3"/>
      <c r="AZ302" s="3"/>
      <c r="BA302" s="3"/>
    </row>
    <row r="303" ht="12.75" spans="1:53">
      <c r="A303" s="3"/>
      <c r="B303" s="3"/>
      <c r="C303" s="3"/>
      <c r="D303" s="30"/>
      <c r="E303" s="30"/>
      <c r="F303" s="30"/>
      <c r="G303" s="30"/>
      <c r="H303" s="30"/>
      <c r="I303" s="30"/>
      <c r="J303" s="3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"/>
      <c r="AV303" s="3"/>
      <c r="AW303" s="3"/>
      <c r="AX303" s="3"/>
      <c r="AY303" s="3"/>
      <c r="AZ303" s="3"/>
      <c r="BA303" s="3"/>
    </row>
    <row r="304" ht="12.75" spans="1:53">
      <c r="A304" s="3"/>
      <c r="B304" s="3"/>
      <c r="C304" s="3"/>
      <c r="D304" s="30"/>
      <c r="E304" s="30"/>
      <c r="F304" s="30"/>
      <c r="G304" s="30"/>
      <c r="H304" s="30"/>
      <c r="I304" s="30"/>
      <c r="J304" s="3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"/>
      <c r="AV304" s="3"/>
      <c r="AW304" s="3"/>
      <c r="AX304" s="3"/>
      <c r="AY304" s="3"/>
      <c r="AZ304" s="3"/>
      <c r="BA304" s="3"/>
    </row>
    <row r="305" ht="12.75" spans="1:53">
      <c r="A305" s="3"/>
      <c r="B305" s="3"/>
      <c r="C305" s="3"/>
      <c r="D305" s="30"/>
      <c r="E305" s="30"/>
      <c r="F305" s="30"/>
      <c r="G305" s="30"/>
      <c r="H305" s="30"/>
      <c r="I305" s="30"/>
      <c r="J305" s="3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"/>
      <c r="AV305" s="3"/>
      <c r="AW305" s="3"/>
      <c r="AX305" s="3"/>
      <c r="AY305" s="3"/>
      <c r="AZ305" s="3"/>
      <c r="BA305" s="3"/>
    </row>
    <row r="306" ht="12.75" spans="1:53">
      <c r="A306" s="3"/>
      <c r="B306" s="3"/>
      <c r="C306" s="3"/>
      <c r="D306" s="30"/>
      <c r="E306" s="30"/>
      <c r="F306" s="30"/>
      <c r="G306" s="30"/>
      <c r="H306" s="30"/>
      <c r="I306" s="30"/>
      <c r="J306" s="3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"/>
      <c r="AV306" s="3"/>
      <c r="AW306" s="3"/>
      <c r="AX306" s="3"/>
      <c r="AY306" s="3"/>
      <c r="AZ306" s="3"/>
      <c r="BA306" s="3"/>
    </row>
    <row r="307" ht="12.75" spans="1:53">
      <c r="A307" s="3"/>
      <c r="B307" s="3"/>
      <c r="C307" s="3"/>
      <c r="D307" s="30"/>
      <c r="E307" s="30"/>
      <c r="F307" s="30"/>
      <c r="G307" s="30"/>
      <c r="H307" s="30"/>
      <c r="I307" s="30"/>
      <c r="J307" s="3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"/>
      <c r="AV307" s="3"/>
      <c r="AW307" s="3"/>
      <c r="AX307" s="3"/>
      <c r="AY307" s="3"/>
      <c r="AZ307" s="3"/>
      <c r="BA307" s="3"/>
    </row>
    <row r="308" ht="12.75" spans="1:53">
      <c r="A308" s="3"/>
      <c r="B308" s="3"/>
      <c r="C308" s="3"/>
      <c r="D308" s="30"/>
      <c r="E308" s="30"/>
      <c r="F308" s="30"/>
      <c r="G308" s="30"/>
      <c r="H308" s="30"/>
      <c r="I308" s="30"/>
      <c r="J308" s="3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"/>
      <c r="AV308" s="3"/>
      <c r="AW308" s="3"/>
      <c r="AX308" s="3"/>
      <c r="AY308" s="3"/>
      <c r="AZ308" s="3"/>
      <c r="BA308" s="3"/>
    </row>
    <row r="309" ht="12.75" spans="1:53">
      <c r="A309" s="3"/>
      <c r="B309" s="3"/>
      <c r="C309" s="3"/>
      <c r="D309" s="30"/>
      <c r="E309" s="30"/>
      <c r="F309" s="30"/>
      <c r="G309" s="30"/>
      <c r="H309" s="30"/>
      <c r="I309" s="30"/>
      <c r="J309" s="3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"/>
      <c r="AV309" s="3"/>
      <c r="AW309" s="3"/>
      <c r="AX309" s="3"/>
      <c r="AY309" s="3"/>
      <c r="AZ309" s="3"/>
      <c r="BA309" s="3"/>
    </row>
    <row r="310" ht="12.75" spans="1:53">
      <c r="A310" s="3"/>
      <c r="B310" s="3"/>
      <c r="C310" s="3"/>
      <c r="D310" s="30"/>
      <c r="E310" s="30"/>
      <c r="F310" s="30"/>
      <c r="G310" s="30"/>
      <c r="H310" s="30"/>
      <c r="I310" s="30"/>
      <c r="J310" s="3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"/>
      <c r="AV310" s="3"/>
      <c r="AW310" s="3"/>
      <c r="AX310" s="3"/>
      <c r="AY310" s="3"/>
      <c r="AZ310" s="3"/>
      <c r="BA310" s="3"/>
    </row>
    <row r="311" ht="12.75" spans="1:53">
      <c r="A311" s="3"/>
      <c r="B311" s="3"/>
      <c r="C311" s="3"/>
      <c r="D311" s="30"/>
      <c r="E311" s="30"/>
      <c r="F311" s="30"/>
      <c r="G311" s="30"/>
      <c r="H311" s="30"/>
      <c r="I311" s="30"/>
      <c r="J311" s="3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"/>
      <c r="AV311" s="3"/>
      <c r="AW311" s="3"/>
      <c r="AX311" s="3"/>
      <c r="AY311" s="3"/>
      <c r="AZ311" s="3"/>
      <c r="BA311" s="3"/>
    </row>
    <row r="312" ht="12.75" spans="1:53">
      <c r="A312" s="3"/>
      <c r="B312" s="3"/>
      <c r="C312" s="3"/>
      <c r="D312" s="30"/>
      <c r="E312" s="30"/>
      <c r="F312" s="30"/>
      <c r="G312" s="30"/>
      <c r="H312" s="30"/>
      <c r="I312" s="30"/>
      <c r="J312" s="3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"/>
      <c r="AV312" s="3"/>
      <c r="AW312" s="3"/>
      <c r="AX312" s="3"/>
      <c r="AY312" s="3"/>
      <c r="AZ312" s="3"/>
      <c r="BA312" s="3"/>
    </row>
    <row r="313" ht="12.75" spans="1:53">
      <c r="A313" s="3"/>
      <c r="B313" s="3"/>
      <c r="C313" s="3"/>
      <c r="D313" s="30"/>
      <c r="E313" s="30"/>
      <c r="F313" s="30"/>
      <c r="G313" s="30"/>
      <c r="H313" s="30"/>
      <c r="I313" s="30"/>
      <c r="J313" s="3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"/>
      <c r="AV313" s="3"/>
      <c r="AW313" s="3"/>
      <c r="AX313" s="3"/>
      <c r="AY313" s="3"/>
      <c r="AZ313" s="3"/>
      <c r="BA313" s="3"/>
    </row>
    <row r="314" ht="12.75" spans="1:53">
      <c r="A314" s="3"/>
      <c r="B314" s="3"/>
      <c r="C314" s="3"/>
      <c r="D314" s="30"/>
      <c r="E314" s="30"/>
      <c r="F314" s="30"/>
      <c r="G314" s="30"/>
      <c r="H314" s="30"/>
      <c r="I314" s="30"/>
      <c r="J314" s="3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"/>
      <c r="AV314" s="3"/>
      <c r="AW314" s="3"/>
      <c r="AX314" s="3"/>
      <c r="AY314" s="3"/>
      <c r="AZ314" s="3"/>
      <c r="BA314" s="3"/>
    </row>
    <row r="315" ht="12.75" spans="1:53">
      <c r="A315" s="3"/>
      <c r="B315" s="3"/>
      <c r="C315" s="3"/>
      <c r="D315" s="30"/>
      <c r="E315" s="30"/>
      <c r="F315" s="30"/>
      <c r="G315" s="30"/>
      <c r="H315" s="30"/>
      <c r="I315" s="30"/>
      <c r="J315" s="3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"/>
      <c r="AV315" s="3"/>
      <c r="AW315" s="3"/>
      <c r="AX315" s="3"/>
      <c r="AY315" s="3"/>
      <c r="AZ315" s="3"/>
      <c r="BA315" s="3"/>
    </row>
    <row r="316" ht="12.75" spans="1:53">
      <c r="A316" s="3"/>
      <c r="B316" s="3"/>
      <c r="C316" s="3"/>
      <c r="D316" s="30"/>
      <c r="E316" s="30"/>
      <c r="F316" s="30"/>
      <c r="G316" s="30"/>
      <c r="H316" s="30"/>
      <c r="I316" s="30"/>
      <c r="J316" s="3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"/>
      <c r="AV316" s="3"/>
      <c r="AW316" s="3"/>
      <c r="AX316" s="3"/>
      <c r="AY316" s="3"/>
      <c r="AZ316" s="3"/>
      <c r="BA316" s="3"/>
    </row>
    <row r="317" ht="12.75" spans="1:53">
      <c r="A317" s="3"/>
      <c r="B317" s="3"/>
      <c r="C317" s="3"/>
      <c r="D317" s="30"/>
      <c r="E317" s="30"/>
      <c r="F317" s="30"/>
      <c r="G317" s="30"/>
      <c r="H317" s="30"/>
      <c r="I317" s="30"/>
      <c r="J317" s="3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"/>
      <c r="AV317" s="3"/>
      <c r="AW317" s="3"/>
      <c r="AX317" s="3"/>
      <c r="AY317" s="3"/>
      <c r="AZ317" s="3"/>
      <c r="BA317" s="3"/>
    </row>
    <row r="318" ht="12.75" spans="1:53">
      <c r="A318" s="3"/>
      <c r="B318" s="3"/>
      <c r="C318" s="3"/>
      <c r="D318" s="30"/>
      <c r="E318" s="30"/>
      <c r="F318" s="30"/>
      <c r="G318" s="30"/>
      <c r="H318" s="30"/>
      <c r="I318" s="30"/>
      <c r="J318" s="3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"/>
      <c r="AV318" s="3"/>
      <c r="AW318" s="3"/>
      <c r="AX318" s="3"/>
      <c r="AY318" s="3"/>
      <c r="AZ318" s="3"/>
      <c r="BA318" s="3"/>
    </row>
    <row r="319" ht="12.75" spans="1:53">
      <c r="A319" s="3"/>
      <c r="B319" s="3"/>
      <c r="C319" s="3"/>
      <c r="D319" s="30"/>
      <c r="E319" s="30"/>
      <c r="F319" s="30"/>
      <c r="G319" s="30"/>
      <c r="H319" s="30"/>
      <c r="I319" s="30"/>
      <c r="J319" s="3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"/>
      <c r="AV319" s="3"/>
      <c r="AW319" s="3"/>
      <c r="AX319" s="3"/>
      <c r="AY319" s="3"/>
      <c r="AZ319" s="3"/>
      <c r="BA319" s="3"/>
    </row>
    <row r="320" ht="12.75" spans="1:53">
      <c r="A320" s="3"/>
      <c r="B320" s="3"/>
      <c r="C320" s="3"/>
      <c r="D320" s="30"/>
      <c r="E320" s="30"/>
      <c r="F320" s="30"/>
      <c r="G320" s="30"/>
      <c r="H320" s="30"/>
      <c r="I320" s="30"/>
      <c r="J320" s="3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"/>
      <c r="AV320" s="3"/>
      <c r="AW320" s="3"/>
      <c r="AX320" s="3"/>
      <c r="AY320" s="3"/>
      <c r="AZ320" s="3"/>
      <c r="BA320" s="3"/>
    </row>
    <row r="321" ht="12.75" spans="1:53">
      <c r="A321" s="3"/>
      <c r="B321" s="3"/>
      <c r="C321" s="3"/>
      <c r="D321" s="30"/>
      <c r="E321" s="30"/>
      <c r="F321" s="30"/>
      <c r="G321" s="30"/>
      <c r="H321" s="30"/>
      <c r="I321" s="30"/>
      <c r="J321" s="3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"/>
      <c r="AV321" s="3"/>
      <c r="AW321" s="3"/>
      <c r="AX321" s="3"/>
      <c r="AY321" s="3"/>
      <c r="AZ321" s="3"/>
      <c r="BA321" s="3"/>
    </row>
    <row r="322" ht="12.75" spans="1:53">
      <c r="A322" s="3"/>
      <c r="B322" s="3"/>
      <c r="C322" s="3"/>
      <c r="D322" s="30"/>
      <c r="E322" s="30"/>
      <c r="F322" s="30"/>
      <c r="G322" s="30"/>
      <c r="H322" s="30"/>
      <c r="I322" s="30"/>
      <c r="J322" s="3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"/>
      <c r="AV322" s="3"/>
      <c r="AW322" s="3"/>
      <c r="AX322" s="3"/>
      <c r="AY322" s="3"/>
      <c r="AZ322" s="3"/>
      <c r="BA322" s="3"/>
    </row>
    <row r="323" ht="12.75" spans="1:53">
      <c r="A323" s="3"/>
      <c r="B323" s="3"/>
      <c r="C323" s="3"/>
      <c r="D323" s="30"/>
      <c r="E323" s="30"/>
      <c r="F323" s="30"/>
      <c r="G323" s="30"/>
      <c r="H323" s="30"/>
      <c r="I323" s="30"/>
      <c r="J323" s="3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"/>
      <c r="AV323" s="3"/>
      <c r="AW323" s="3"/>
      <c r="AX323" s="3"/>
      <c r="AY323" s="3"/>
      <c r="AZ323" s="3"/>
      <c r="BA323" s="3"/>
    </row>
    <row r="324" ht="12.75" spans="1:53">
      <c r="A324" s="3"/>
      <c r="B324" s="3"/>
      <c r="C324" s="3"/>
      <c r="D324" s="30"/>
      <c r="E324" s="30"/>
      <c r="F324" s="30"/>
      <c r="G324" s="30"/>
      <c r="H324" s="30"/>
      <c r="I324" s="30"/>
      <c r="J324" s="3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"/>
      <c r="AV324" s="3"/>
      <c r="AW324" s="3"/>
      <c r="AX324" s="3"/>
      <c r="AY324" s="3"/>
      <c r="AZ324" s="3"/>
      <c r="BA324" s="3"/>
    </row>
    <row r="325" ht="12.75" spans="1:53">
      <c r="A325" s="3"/>
      <c r="B325" s="3"/>
      <c r="C325" s="3"/>
      <c r="D325" s="30"/>
      <c r="E325" s="30"/>
      <c r="F325" s="30"/>
      <c r="G325" s="30"/>
      <c r="H325" s="30"/>
      <c r="I325" s="30"/>
      <c r="J325" s="3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"/>
      <c r="AV325" s="3"/>
      <c r="AW325" s="3"/>
      <c r="AX325" s="3"/>
      <c r="AY325" s="3"/>
      <c r="AZ325" s="3"/>
      <c r="BA325" s="3"/>
    </row>
    <row r="326" ht="12.75" spans="1:53">
      <c r="A326" s="3"/>
      <c r="B326" s="3"/>
      <c r="C326" s="3"/>
      <c r="D326" s="30"/>
      <c r="E326" s="30"/>
      <c r="F326" s="30"/>
      <c r="G326" s="30"/>
      <c r="H326" s="30"/>
      <c r="I326" s="30"/>
      <c r="J326" s="3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"/>
      <c r="AV326" s="3"/>
      <c r="AW326" s="3"/>
      <c r="AX326" s="3"/>
      <c r="AY326" s="3"/>
      <c r="AZ326" s="3"/>
      <c r="BA326" s="3"/>
    </row>
    <row r="327" ht="12.75" spans="1:53">
      <c r="A327" s="3"/>
      <c r="B327" s="3"/>
      <c r="C327" s="3"/>
      <c r="D327" s="30"/>
      <c r="E327" s="30"/>
      <c r="F327" s="30"/>
      <c r="G327" s="30"/>
      <c r="H327" s="30"/>
      <c r="I327" s="30"/>
      <c r="J327" s="3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"/>
      <c r="AV327" s="3"/>
      <c r="AW327" s="3"/>
      <c r="AX327" s="3"/>
      <c r="AY327" s="3"/>
      <c r="AZ327" s="3"/>
      <c r="BA327" s="3"/>
    </row>
    <row r="328" ht="12.75" spans="1:53">
      <c r="A328" s="3"/>
      <c r="B328" s="3"/>
      <c r="C328" s="3"/>
      <c r="D328" s="30"/>
      <c r="E328" s="30"/>
      <c r="F328" s="30"/>
      <c r="G328" s="30"/>
      <c r="H328" s="30"/>
      <c r="I328" s="30"/>
      <c r="J328" s="3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"/>
      <c r="AV328" s="3"/>
      <c r="AW328" s="3"/>
      <c r="AX328" s="3"/>
      <c r="AY328" s="3"/>
      <c r="AZ328" s="3"/>
      <c r="BA328" s="3"/>
    </row>
    <row r="329" ht="12.75" spans="1:53">
      <c r="A329" s="3"/>
      <c r="B329" s="3"/>
      <c r="C329" s="3"/>
      <c r="D329" s="30"/>
      <c r="E329" s="30"/>
      <c r="F329" s="30"/>
      <c r="G329" s="30"/>
      <c r="H329" s="30"/>
      <c r="I329" s="30"/>
      <c r="J329" s="3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"/>
      <c r="AV329" s="3"/>
      <c r="AW329" s="3"/>
      <c r="AX329" s="3"/>
      <c r="AY329" s="3"/>
      <c r="AZ329" s="3"/>
      <c r="BA329" s="3"/>
    </row>
    <row r="330" ht="12.75" spans="1:53">
      <c r="A330" s="3"/>
      <c r="B330" s="3"/>
      <c r="C330" s="3"/>
      <c r="D330" s="30"/>
      <c r="E330" s="30"/>
      <c r="F330" s="30"/>
      <c r="G330" s="30"/>
      <c r="H330" s="30"/>
      <c r="I330" s="30"/>
      <c r="J330" s="3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"/>
      <c r="AV330" s="3"/>
      <c r="AW330" s="3"/>
      <c r="AX330" s="3"/>
      <c r="AY330" s="3"/>
      <c r="AZ330" s="3"/>
      <c r="BA330" s="3"/>
    </row>
    <row r="331" ht="12.75" spans="1:53">
      <c r="A331" s="3"/>
      <c r="B331" s="3"/>
      <c r="C331" s="3"/>
      <c r="D331" s="30"/>
      <c r="E331" s="30"/>
      <c r="F331" s="30"/>
      <c r="G331" s="30"/>
      <c r="H331" s="30"/>
      <c r="I331" s="30"/>
      <c r="J331" s="3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"/>
      <c r="AV331" s="3"/>
      <c r="AW331" s="3"/>
      <c r="AX331" s="3"/>
      <c r="AY331" s="3"/>
      <c r="AZ331" s="3"/>
      <c r="BA331" s="3"/>
    </row>
    <row r="332" ht="12.75" spans="1:53">
      <c r="A332" s="3"/>
      <c r="B332" s="3"/>
      <c r="C332" s="3"/>
      <c r="D332" s="30"/>
      <c r="E332" s="30"/>
      <c r="F332" s="30"/>
      <c r="G332" s="30"/>
      <c r="H332" s="30"/>
      <c r="I332" s="30"/>
      <c r="J332" s="3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"/>
      <c r="AV332" s="3"/>
      <c r="AW332" s="3"/>
      <c r="AX332" s="3"/>
      <c r="AY332" s="3"/>
      <c r="AZ332" s="3"/>
      <c r="BA332" s="3"/>
    </row>
    <row r="333" ht="12.75" spans="1:53">
      <c r="A333" s="3"/>
      <c r="B333" s="3"/>
      <c r="C333" s="3"/>
      <c r="D333" s="30"/>
      <c r="E333" s="30"/>
      <c r="F333" s="30"/>
      <c r="G333" s="30"/>
      <c r="H333" s="30"/>
      <c r="I333" s="30"/>
      <c r="J333" s="3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"/>
      <c r="AV333" s="3"/>
      <c r="AW333" s="3"/>
      <c r="AX333" s="3"/>
      <c r="AY333" s="3"/>
      <c r="AZ333" s="3"/>
      <c r="BA333" s="3"/>
    </row>
    <row r="334" ht="12.75" spans="1:53">
      <c r="A334" s="3"/>
      <c r="B334" s="3"/>
      <c r="C334" s="3"/>
      <c r="D334" s="30"/>
      <c r="E334" s="30"/>
      <c r="F334" s="30"/>
      <c r="G334" s="30"/>
      <c r="H334" s="30"/>
      <c r="I334" s="30"/>
      <c r="J334" s="3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"/>
      <c r="AV334" s="3"/>
      <c r="AW334" s="3"/>
      <c r="AX334" s="3"/>
      <c r="AY334" s="3"/>
      <c r="AZ334" s="3"/>
      <c r="BA334" s="3"/>
    </row>
    <row r="335" ht="12.75" spans="1:53">
      <c r="A335" s="3"/>
      <c r="B335" s="3"/>
      <c r="C335" s="3"/>
      <c r="D335" s="30"/>
      <c r="E335" s="30"/>
      <c r="F335" s="30"/>
      <c r="G335" s="30"/>
      <c r="H335" s="30"/>
      <c r="I335" s="30"/>
      <c r="J335" s="3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"/>
      <c r="AV335" s="3"/>
      <c r="AW335" s="3"/>
      <c r="AX335" s="3"/>
      <c r="AY335" s="3"/>
      <c r="AZ335" s="3"/>
      <c r="BA335" s="3"/>
    </row>
    <row r="336" ht="12.75" spans="1:53">
      <c r="A336" s="3"/>
      <c r="B336" s="3"/>
      <c r="C336" s="3"/>
      <c r="D336" s="30"/>
      <c r="E336" s="30"/>
      <c r="F336" s="30"/>
      <c r="G336" s="30"/>
      <c r="H336" s="30"/>
      <c r="I336" s="30"/>
      <c r="J336" s="3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"/>
      <c r="AV336" s="3"/>
      <c r="AW336" s="3"/>
      <c r="AX336" s="3"/>
      <c r="AY336" s="3"/>
      <c r="AZ336" s="3"/>
      <c r="BA336" s="3"/>
    </row>
    <row r="337" ht="12.75" spans="1:53">
      <c r="A337" s="3"/>
      <c r="B337" s="3"/>
      <c r="C337" s="3"/>
      <c r="D337" s="30"/>
      <c r="E337" s="30"/>
      <c r="F337" s="30"/>
      <c r="G337" s="30"/>
      <c r="H337" s="30"/>
      <c r="I337" s="30"/>
      <c r="J337" s="3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"/>
      <c r="AV337" s="3"/>
      <c r="AW337" s="3"/>
      <c r="AX337" s="3"/>
      <c r="AY337" s="3"/>
      <c r="AZ337" s="3"/>
      <c r="BA337" s="3"/>
    </row>
    <row r="338" ht="12.75" spans="1:53">
      <c r="A338" s="3"/>
      <c r="B338" s="3"/>
      <c r="C338" s="3"/>
      <c r="D338" s="30"/>
      <c r="E338" s="30"/>
      <c r="F338" s="30"/>
      <c r="G338" s="30"/>
      <c r="H338" s="30"/>
      <c r="I338" s="30"/>
      <c r="J338" s="3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"/>
      <c r="AV338" s="3"/>
      <c r="AW338" s="3"/>
      <c r="AX338" s="3"/>
      <c r="AY338" s="3"/>
      <c r="AZ338" s="3"/>
      <c r="BA338" s="3"/>
    </row>
    <row r="339" ht="12.75" spans="1:53">
      <c r="A339" s="3"/>
      <c r="B339" s="3"/>
      <c r="C339" s="3"/>
      <c r="D339" s="30"/>
      <c r="E339" s="30"/>
      <c r="F339" s="30"/>
      <c r="G339" s="30"/>
      <c r="H339" s="30"/>
      <c r="I339" s="30"/>
      <c r="J339" s="3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"/>
      <c r="AV339" s="3"/>
      <c r="AW339" s="3"/>
      <c r="AX339" s="3"/>
      <c r="AY339" s="3"/>
      <c r="AZ339" s="3"/>
      <c r="BA339" s="3"/>
    </row>
    <row r="340" ht="12.75" spans="1:53">
      <c r="A340" s="3"/>
      <c r="B340" s="3"/>
      <c r="C340" s="3"/>
      <c r="D340" s="30"/>
      <c r="E340" s="30"/>
      <c r="F340" s="30"/>
      <c r="G340" s="30"/>
      <c r="H340" s="30"/>
      <c r="I340" s="30"/>
      <c r="J340" s="3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"/>
      <c r="AV340" s="3"/>
      <c r="AW340" s="3"/>
      <c r="AX340" s="3"/>
      <c r="AY340" s="3"/>
      <c r="AZ340" s="3"/>
      <c r="BA340" s="3"/>
    </row>
    <row r="341" ht="12.75" spans="1:53">
      <c r="A341" s="3"/>
      <c r="B341" s="3"/>
      <c r="C341" s="3"/>
      <c r="D341" s="30"/>
      <c r="E341" s="30"/>
      <c r="F341" s="30"/>
      <c r="G341" s="30"/>
      <c r="H341" s="30"/>
      <c r="I341" s="30"/>
      <c r="J341" s="3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"/>
      <c r="AV341" s="3"/>
      <c r="AW341" s="3"/>
      <c r="AX341" s="3"/>
      <c r="AY341" s="3"/>
      <c r="AZ341" s="3"/>
      <c r="BA341" s="3"/>
    </row>
    <row r="342" ht="12.75" spans="1:53">
      <c r="A342" s="3"/>
      <c r="B342" s="3"/>
      <c r="C342" s="3"/>
      <c r="D342" s="30"/>
      <c r="E342" s="30"/>
      <c r="F342" s="30"/>
      <c r="G342" s="30"/>
      <c r="H342" s="30"/>
      <c r="I342" s="30"/>
      <c r="J342" s="3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"/>
      <c r="AV342" s="3"/>
      <c r="AW342" s="3"/>
      <c r="AX342" s="3"/>
      <c r="AY342" s="3"/>
      <c r="AZ342" s="3"/>
      <c r="BA342" s="3"/>
    </row>
    <row r="343" ht="12.75" spans="1:53">
      <c r="A343" s="3"/>
      <c r="B343" s="3"/>
      <c r="C343" s="3"/>
      <c r="D343" s="30"/>
      <c r="E343" s="30"/>
      <c r="F343" s="30"/>
      <c r="G343" s="30"/>
      <c r="H343" s="30"/>
      <c r="I343" s="30"/>
      <c r="J343" s="3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"/>
      <c r="AV343" s="3"/>
      <c r="AW343" s="3"/>
      <c r="AX343" s="3"/>
      <c r="AY343" s="3"/>
      <c r="AZ343" s="3"/>
      <c r="BA343" s="3"/>
    </row>
    <row r="344" ht="12.75" spans="1:53">
      <c r="A344" s="3"/>
      <c r="B344" s="3"/>
      <c r="C344" s="3"/>
      <c r="D344" s="30"/>
      <c r="E344" s="30"/>
      <c r="F344" s="30"/>
      <c r="G344" s="30"/>
      <c r="H344" s="30"/>
      <c r="I344" s="30"/>
      <c r="J344" s="3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"/>
      <c r="AV344" s="3"/>
      <c r="AW344" s="3"/>
      <c r="AX344" s="3"/>
      <c r="AY344" s="3"/>
      <c r="AZ344" s="3"/>
      <c r="BA344" s="3"/>
    </row>
    <row r="345" ht="12.75" spans="1:53">
      <c r="A345" s="3"/>
      <c r="B345" s="3"/>
      <c r="C345" s="3"/>
      <c r="D345" s="30"/>
      <c r="E345" s="30"/>
      <c r="F345" s="30"/>
      <c r="G345" s="30"/>
      <c r="H345" s="30"/>
      <c r="I345" s="30"/>
      <c r="J345" s="3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"/>
      <c r="AV345" s="3"/>
      <c r="AW345" s="3"/>
      <c r="AX345" s="3"/>
      <c r="AY345" s="3"/>
      <c r="AZ345" s="3"/>
      <c r="BA345" s="3"/>
    </row>
    <row r="346" ht="12.75" spans="1:53">
      <c r="A346" s="3"/>
      <c r="B346" s="3"/>
      <c r="C346" s="3"/>
      <c r="D346" s="30"/>
      <c r="E346" s="30"/>
      <c r="F346" s="30"/>
      <c r="G346" s="30"/>
      <c r="H346" s="30"/>
      <c r="I346" s="30"/>
      <c r="J346" s="3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"/>
      <c r="AV346" s="3"/>
      <c r="AW346" s="3"/>
      <c r="AX346" s="3"/>
      <c r="AY346" s="3"/>
      <c r="AZ346" s="3"/>
      <c r="BA346" s="3"/>
    </row>
    <row r="347" ht="12.75" spans="1:53">
      <c r="A347" s="3"/>
      <c r="B347" s="3"/>
      <c r="C347" s="3"/>
      <c r="D347" s="30"/>
      <c r="E347" s="30"/>
      <c r="F347" s="30"/>
      <c r="G347" s="30"/>
      <c r="H347" s="30"/>
      <c r="I347" s="30"/>
      <c r="J347" s="3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"/>
      <c r="AV347" s="3"/>
      <c r="AW347" s="3"/>
      <c r="AX347" s="3"/>
      <c r="AY347" s="3"/>
      <c r="AZ347" s="3"/>
      <c r="BA347" s="3"/>
    </row>
    <row r="348" ht="12.75" spans="1:53">
      <c r="A348" s="3"/>
      <c r="B348" s="3"/>
      <c r="C348" s="3"/>
      <c r="D348" s="30"/>
      <c r="E348" s="30"/>
      <c r="F348" s="30"/>
      <c r="G348" s="30"/>
      <c r="H348" s="30"/>
      <c r="I348" s="30"/>
      <c r="J348" s="3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"/>
      <c r="AV348" s="3"/>
      <c r="AW348" s="3"/>
      <c r="AX348" s="3"/>
      <c r="AY348" s="3"/>
      <c r="AZ348" s="3"/>
      <c r="BA348" s="3"/>
    </row>
    <row r="349" ht="12.75" spans="1:53">
      <c r="A349" s="3"/>
      <c r="B349" s="3"/>
      <c r="C349" s="3"/>
      <c r="D349" s="30"/>
      <c r="E349" s="30"/>
      <c r="F349" s="30"/>
      <c r="G349" s="30"/>
      <c r="H349" s="30"/>
      <c r="I349" s="30"/>
      <c r="J349" s="3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"/>
      <c r="AV349" s="3"/>
      <c r="AW349" s="3"/>
      <c r="AX349" s="3"/>
      <c r="AY349" s="3"/>
      <c r="AZ349" s="3"/>
      <c r="BA349" s="3"/>
    </row>
    <row r="350" ht="12.75" spans="1:53">
      <c r="A350" s="3"/>
      <c r="B350" s="3"/>
      <c r="C350" s="3"/>
      <c r="D350" s="30"/>
      <c r="E350" s="30"/>
      <c r="F350" s="30"/>
      <c r="G350" s="30"/>
      <c r="H350" s="30"/>
      <c r="I350" s="30"/>
      <c r="J350" s="3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"/>
      <c r="AV350" s="3"/>
      <c r="AW350" s="3"/>
      <c r="AX350" s="3"/>
      <c r="AY350" s="3"/>
      <c r="AZ350" s="3"/>
      <c r="BA350" s="3"/>
    </row>
    <row r="351" ht="12.75" spans="1:53">
      <c r="A351" s="3"/>
      <c r="B351" s="3"/>
      <c r="C351" s="3"/>
      <c r="D351" s="30"/>
      <c r="E351" s="30"/>
      <c r="F351" s="30"/>
      <c r="G351" s="30"/>
      <c r="H351" s="30"/>
      <c r="I351" s="30"/>
      <c r="J351" s="3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"/>
      <c r="AV351" s="3"/>
      <c r="AW351" s="3"/>
      <c r="AX351" s="3"/>
      <c r="AY351" s="3"/>
      <c r="AZ351" s="3"/>
      <c r="BA351" s="3"/>
    </row>
    <row r="352" ht="12.75" spans="1:53">
      <c r="A352" s="3"/>
      <c r="B352" s="3"/>
      <c r="C352" s="3"/>
      <c r="D352" s="30"/>
      <c r="E352" s="30"/>
      <c r="F352" s="30"/>
      <c r="G352" s="30"/>
      <c r="H352" s="30"/>
      <c r="I352" s="30"/>
      <c r="J352" s="3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"/>
      <c r="AV352" s="3"/>
      <c r="AW352" s="3"/>
      <c r="AX352" s="3"/>
      <c r="AY352" s="3"/>
      <c r="AZ352" s="3"/>
      <c r="BA352" s="3"/>
    </row>
    <row r="353" ht="12.75" spans="1:53">
      <c r="A353" s="3"/>
      <c r="B353" s="3"/>
      <c r="C353" s="3"/>
      <c r="D353" s="30"/>
      <c r="E353" s="30"/>
      <c r="F353" s="30"/>
      <c r="G353" s="30"/>
      <c r="H353" s="30"/>
      <c r="I353" s="30"/>
      <c r="J353" s="3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"/>
      <c r="AV353" s="3"/>
      <c r="AW353" s="3"/>
      <c r="AX353" s="3"/>
      <c r="AY353" s="3"/>
      <c r="AZ353" s="3"/>
      <c r="BA353" s="3"/>
    </row>
    <row r="354" ht="12.75" spans="1:53">
      <c r="A354" s="3"/>
      <c r="B354" s="3"/>
      <c r="C354" s="3"/>
      <c r="D354" s="30"/>
      <c r="E354" s="30"/>
      <c r="F354" s="30"/>
      <c r="G354" s="30"/>
      <c r="H354" s="30"/>
      <c r="I354" s="30"/>
      <c r="J354" s="3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"/>
      <c r="AV354" s="3"/>
      <c r="AW354" s="3"/>
      <c r="AX354" s="3"/>
      <c r="AY354" s="3"/>
      <c r="AZ354" s="3"/>
      <c r="BA354" s="3"/>
    </row>
    <row r="355" ht="12.75" spans="1:53">
      <c r="A355" s="3"/>
      <c r="B355" s="3"/>
      <c r="C355" s="3"/>
      <c r="D355" s="30"/>
      <c r="E355" s="30"/>
      <c r="F355" s="30"/>
      <c r="G355" s="30"/>
      <c r="H355" s="30"/>
      <c r="I355" s="30"/>
      <c r="J355" s="3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"/>
      <c r="AV355" s="3"/>
      <c r="AW355" s="3"/>
      <c r="AX355" s="3"/>
      <c r="AY355" s="3"/>
      <c r="AZ355" s="3"/>
      <c r="BA355" s="3"/>
    </row>
    <row r="356" ht="12.75" spans="1:53">
      <c r="A356" s="3"/>
      <c r="B356" s="3"/>
      <c r="C356" s="3"/>
      <c r="D356" s="30"/>
      <c r="E356" s="30"/>
      <c r="F356" s="30"/>
      <c r="G356" s="30"/>
      <c r="H356" s="30"/>
      <c r="I356" s="30"/>
      <c r="J356" s="3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"/>
      <c r="AV356" s="3"/>
      <c r="AW356" s="3"/>
      <c r="AX356" s="3"/>
      <c r="AY356" s="3"/>
      <c r="AZ356" s="3"/>
      <c r="BA356" s="3"/>
    </row>
    <row r="357" ht="12.75" spans="1:53">
      <c r="A357" s="3"/>
      <c r="B357" s="3"/>
      <c r="C357" s="3"/>
      <c r="D357" s="30"/>
      <c r="E357" s="30"/>
      <c r="F357" s="30"/>
      <c r="G357" s="30"/>
      <c r="H357" s="30"/>
      <c r="I357" s="30"/>
      <c r="J357" s="3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"/>
      <c r="AV357" s="3"/>
      <c r="AW357" s="3"/>
      <c r="AX357" s="3"/>
      <c r="AY357" s="3"/>
      <c r="AZ357" s="3"/>
      <c r="BA357" s="3"/>
    </row>
    <row r="358" ht="12.75" spans="1:53">
      <c r="A358" s="3"/>
      <c r="B358" s="3"/>
      <c r="C358" s="3"/>
      <c r="D358" s="30"/>
      <c r="E358" s="30"/>
      <c r="F358" s="30"/>
      <c r="G358" s="30"/>
      <c r="H358" s="30"/>
      <c r="I358" s="30"/>
      <c r="J358" s="3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"/>
      <c r="AV358" s="3"/>
      <c r="AW358" s="3"/>
      <c r="AX358" s="3"/>
      <c r="AY358" s="3"/>
      <c r="AZ358" s="3"/>
      <c r="BA358" s="3"/>
    </row>
    <row r="359" ht="12.75" spans="1:53">
      <c r="A359" s="3"/>
      <c r="B359" s="3"/>
      <c r="C359" s="3"/>
      <c r="D359" s="30"/>
      <c r="E359" s="30"/>
      <c r="F359" s="30"/>
      <c r="G359" s="30"/>
      <c r="H359" s="30"/>
      <c r="I359" s="30"/>
      <c r="J359" s="3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"/>
      <c r="AV359" s="3"/>
      <c r="AW359" s="3"/>
      <c r="AX359" s="3"/>
      <c r="AY359" s="3"/>
      <c r="AZ359" s="3"/>
      <c r="BA359" s="3"/>
    </row>
    <row r="360" ht="12.75" spans="1:53">
      <c r="A360" s="3"/>
      <c r="B360" s="3"/>
      <c r="C360" s="3"/>
      <c r="D360" s="30"/>
      <c r="E360" s="30"/>
      <c r="F360" s="30"/>
      <c r="G360" s="30"/>
      <c r="H360" s="30"/>
      <c r="I360" s="30"/>
      <c r="J360" s="3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"/>
      <c r="AV360" s="3"/>
      <c r="AW360" s="3"/>
      <c r="AX360" s="3"/>
      <c r="AY360" s="3"/>
      <c r="AZ360" s="3"/>
      <c r="BA360" s="3"/>
    </row>
    <row r="361" ht="12.75" spans="1:53">
      <c r="A361" s="3"/>
      <c r="B361" s="3"/>
      <c r="C361" s="3"/>
      <c r="D361" s="30"/>
      <c r="E361" s="30"/>
      <c r="F361" s="30"/>
      <c r="G361" s="30"/>
      <c r="H361" s="30"/>
      <c r="I361" s="30"/>
      <c r="J361" s="3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"/>
      <c r="AV361" s="3"/>
      <c r="AW361" s="3"/>
      <c r="AX361" s="3"/>
      <c r="AY361" s="3"/>
      <c r="AZ361" s="3"/>
      <c r="BA361" s="3"/>
    </row>
    <row r="362" ht="12.75" spans="1:53">
      <c r="A362" s="3"/>
      <c r="B362" s="3"/>
      <c r="C362" s="3"/>
      <c r="D362" s="30"/>
      <c r="E362" s="30"/>
      <c r="F362" s="30"/>
      <c r="G362" s="30"/>
      <c r="H362" s="30"/>
      <c r="I362" s="30"/>
      <c r="J362" s="3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"/>
      <c r="AV362" s="3"/>
      <c r="AW362" s="3"/>
      <c r="AX362" s="3"/>
      <c r="AY362" s="3"/>
      <c r="AZ362" s="3"/>
      <c r="BA362" s="3"/>
    </row>
    <row r="363" ht="12.75" spans="1:53">
      <c r="A363" s="3"/>
      <c r="B363" s="3"/>
      <c r="C363" s="3"/>
      <c r="D363" s="30"/>
      <c r="E363" s="30"/>
      <c r="F363" s="30"/>
      <c r="G363" s="30"/>
      <c r="H363" s="30"/>
      <c r="I363" s="30"/>
      <c r="J363" s="3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"/>
      <c r="AV363" s="3"/>
      <c r="AW363" s="3"/>
      <c r="AX363" s="3"/>
      <c r="AY363" s="3"/>
      <c r="AZ363" s="3"/>
      <c r="BA363" s="3"/>
    </row>
    <row r="364" ht="12.75" spans="1:53">
      <c r="A364" s="3"/>
      <c r="B364" s="3"/>
      <c r="C364" s="3"/>
      <c r="D364" s="30"/>
      <c r="E364" s="30"/>
      <c r="F364" s="30"/>
      <c r="G364" s="30"/>
      <c r="H364" s="30"/>
      <c r="I364" s="30"/>
      <c r="J364" s="3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"/>
      <c r="AV364" s="3"/>
      <c r="AW364" s="3"/>
      <c r="AX364" s="3"/>
      <c r="AY364" s="3"/>
      <c r="AZ364" s="3"/>
      <c r="BA364" s="3"/>
    </row>
    <row r="365" ht="12.75" spans="1:53">
      <c r="A365" s="3"/>
      <c r="B365" s="3"/>
      <c r="C365" s="3"/>
      <c r="D365" s="30"/>
      <c r="E365" s="30"/>
      <c r="F365" s="30"/>
      <c r="G365" s="30"/>
      <c r="H365" s="30"/>
      <c r="I365" s="30"/>
      <c r="J365" s="3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"/>
      <c r="AV365" s="3"/>
      <c r="AW365" s="3"/>
      <c r="AX365" s="3"/>
      <c r="AY365" s="3"/>
      <c r="AZ365" s="3"/>
      <c r="BA365" s="3"/>
    </row>
    <row r="366" ht="12.75" spans="1:53">
      <c r="A366" s="3"/>
      <c r="B366" s="3"/>
      <c r="C366" s="3"/>
      <c r="D366" s="30"/>
      <c r="E366" s="30"/>
      <c r="F366" s="30"/>
      <c r="G366" s="30"/>
      <c r="H366" s="30"/>
      <c r="I366" s="30"/>
      <c r="J366" s="3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"/>
      <c r="AV366" s="3"/>
      <c r="AW366" s="3"/>
      <c r="AX366" s="3"/>
      <c r="AY366" s="3"/>
      <c r="AZ366" s="3"/>
      <c r="BA366" s="3"/>
    </row>
    <row r="367" ht="12.75" spans="1:53">
      <c r="A367" s="3"/>
      <c r="B367" s="3"/>
      <c r="C367" s="3"/>
      <c r="D367" s="30"/>
      <c r="E367" s="30"/>
      <c r="F367" s="30"/>
      <c r="G367" s="30"/>
      <c r="H367" s="30"/>
      <c r="I367" s="30"/>
      <c r="J367" s="3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"/>
      <c r="AV367" s="3"/>
      <c r="AW367" s="3"/>
      <c r="AX367" s="3"/>
      <c r="AY367" s="3"/>
      <c r="AZ367" s="3"/>
      <c r="BA367" s="3"/>
    </row>
    <row r="368" ht="12.75" spans="1:53">
      <c r="A368" s="3"/>
      <c r="B368" s="3"/>
      <c r="C368" s="3"/>
      <c r="D368" s="30"/>
      <c r="E368" s="30"/>
      <c r="F368" s="30"/>
      <c r="G368" s="30"/>
      <c r="H368" s="30"/>
      <c r="I368" s="30"/>
      <c r="J368" s="3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"/>
      <c r="AV368" s="3"/>
      <c r="AW368" s="3"/>
      <c r="AX368" s="3"/>
      <c r="AY368" s="3"/>
      <c r="AZ368" s="3"/>
      <c r="BA368" s="3"/>
    </row>
    <row r="369" ht="12.75" spans="1:53">
      <c r="A369" s="3"/>
      <c r="B369" s="3"/>
      <c r="C369" s="3"/>
      <c r="D369" s="30"/>
      <c r="E369" s="30"/>
      <c r="F369" s="30"/>
      <c r="G369" s="30"/>
      <c r="H369" s="30"/>
      <c r="I369" s="30"/>
      <c r="J369" s="3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"/>
      <c r="AV369" s="3"/>
      <c r="AW369" s="3"/>
      <c r="AX369" s="3"/>
      <c r="AY369" s="3"/>
      <c r="AZ369" s="3"/>
      <c r="BA369" s="3"/>
    </row>
    <row r="370" ht="12.75" spans="1:53">
      <c r="A370" s="3"/>
      <c r="B370" s="3"/>
      <c r="C370" s="3"/>
      <c r="D370" s="30"/>
      <c r="E370" s="30"/>
      <c r="F370" s="30"/>
      <c r="G370" s="30"/>
      <c r="H370" s="30"/>
      <c r="I370" s="30"/>
      <c r="J370" s="3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"/>
      <c r="AV370" s="3"/>
      <c r="AW370" s="3"/>
      <c r="AX370" s="3"/>
      <c r="AY370" s="3"/>
      <c r="AZ370" s="3"/>
      <c r="BA370" s="3"/>
    </row>
    <row r="371" ht="12.75" spans="1:53">
      <c r="A371" s="3"/>
      <c r="B371" s="3"/>
      <c r="C371" s="3"/>
      <c r="D371" s="30"/>
      <c r="E371" s="30"/>
      <c r="F371" s="30"/>
      <c r="G371" s="30"/>
      <c r="H371" s="30"/>
      <c r="I371" s="30"/>
      <c r="J371" s="3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"/>
      <c r="AV371" s="3"/>
      <c r="AW371" s="3"/>
      <c r="AX371" s="3"/>
      <c r="AY371" s="3"/>
      <c r="AZ371" s="3"/>
      <c r="BA371" s="3"/>
    </row>
    <row r="372" ht="12.75" spans="1:53">
      <c r="A372" s="3"/>
      <c r="B372" s="3"/>
      <c r="C372" s="3"/>
      <c r="D372" s="30"/>
      <c r="E372" s="30"/>
      <c r="F372" s="30"/>
      <c r="G372" s="30"/>
      <c r="H372" s="30"/>
      <c r="I372" s="30"/>
      <c r="J372" s="3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"/>
      <c r="AV372" s="3"/>
      <c r="AW372" s="3"/>
      <c r="AX372" s="3"/>
      <c r="AY372" s="3"/>
      <c r="AZ372" s="3"/>
      <c r="BA372" s="3"/>
    </row>
    <row r="373" ht="12.75" spans="1:53">
      <c r="A373" s="3"/>
      <c r="B373" s="3"/>
      <c r="C373" s="3"/>
      <c r="D373" s="30"/>
      <c r="E373" s="30"/>
      <c r="F373" s="30"/>
      <c r="G373" s="30"/>
      <c r="H373" s="30"/>
      <c r="I373" s="30"/>
      <c r="J373" s="3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"/>
      <c r="AV373" s="3"/>
      <c r="AW373" s="3"/>
      <c r="AX373" s="3"/>
      <c r="AY373" s="3"/>
      <c r="AZ373" s="3"/>
      <c r="BA373" s="3"/>
    </row>
    <row r="374" ht="12.75" spans="1:53">
      <c r="A374" s="3"/>
      <c r="B374" s="3"/>
      <c r="C374" s="3"/>
      <c r="D374" s="30"/>
      <c r="E374" s="30"/>
      <c r="F374" s="30"/>
      <c r="G374" s="30"/>
      <c r="H374" s="30"/>
      <c r="I374" s="30"/>
      <c r="J374" s="3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"/>
      <c r="AV374" s="3"/>
      <c r="AW374" s="3"/>
      <c r="AX374" s="3"/>
      <c r="AY374" s="3"/>
      <c r="AZ374" s="3"/>
      <c r="BA374" s="3"/>
    </row>
    <row r="375" ht="12.75" spans="1:53">
      <c r="A375" s="3"/>
      <c r="B375" s="3"/>
      <c r="C375" s="3"/>
      <c r="D375" s="30"/>
      <c r="E375" s="30"/>
      <c r="F375" s="30"/>
      <c r="G375" s="30"/>
      <c r="H375" s="30"/>
      <c r="I375" s="30"/>
      <c r="J375" s="3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"/>
      <c r="AV375" s="3"/>
      <c r="AW375" s="3"/>
      <c r="AX375" s="3"/>
      <c r="AY375" s="3"/>
      <c r="AZ375" s="3"/>
      <c r="BA375" s="3"/>
    </row>
    <row r="376" ht="12.75" spans="1:53">
      <c r="A376" s="3"/>
      <c r="B376" s="3"/>
      <c r="C376" s="3"/>
      <c r="D376" s="30"/>
      <c r="E376" s="30"/>
      <c r="F376" s="30"/>
      <c r="G376" s="30"/>
      <c r="H376" s="30"/>
      <c r="I376" s="30"/>
      <c r="J376" s="3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"/>
      <c r="AV376" s="3"/>
      <c r="AW376" s="3"/>
      <c r="AX376" s="3"/>
      <c r="AY376" s="3"/>
      <c r="AZ376" s="3"/>
      <c r="BA376" s="3"/>
    </row>
    <row r="377" ht="12.75" spans="1:53">
      <c r="A377" s="3"/>
      <c r="B377" s="3"/>
      <c r="C377" s="3"/>
      <c r="D377" s="30"/>
      <c r="E377" s="30"/>
      <c r="F377" s="30"/>
      <c r="G377" s="30"/>
      <c r="H377" s="30"/>
      <c r="I377" s="30"/>
      <c r="J377" s="3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"/>
      <c r="AV377" s="3"/>
      <c r="AW377" s="3"/>
      <c r="AX377" s="3"/>
      <c r="AY377" s="3"/>
      <c r="AZ377" s="3"/>
      <c r="BA377" s="3"/>
    </row>
    <row r="378" ht="12.75" spans="1:53">
      <c r="A378" s="3"/>
      <c r="B378" s="3"/>
      <c r="C378" s="3"/>
      <c r="D378" s="30"/>
      <c r="E378" s="30"/>
      <c r="F378" s="30"/>
      <c r="G378" s="30"/>
      <c r="H378" s="30"/>
      <c r="I378" s="30"/>
      <c r="J378" s="3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"/>
      <c r="AV378" s="3"/>
      <c r="AW378" s="3"/>
      <c r="AX378" s="3"/>
      <c r="AY378" s="3"/>
      <c r="AZ378" s="3"/>
      <c r="BA378" s="3"/>
    </row>
    <row r="379" ht="12.75" spans="1:53">
      <c r="A379" s="3"/>
      <c r="B379" s="3"/>
      <c r="C379" s="3"/>
      <c r="D379" s="30"/>
      <c r="E379" s="30"/>
      <c r="F379" s="30"/>
      <c r="G379" s="30"/>
      <c r="H379" s="30"/>
      <c r="I379" s="30"/>
      <c r="J379" s="3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"/>
      <c r="AV379" s="3"/>
      <c r="AW379" s="3"/>
      <c r="AX379" s="3"/>
      <c r="AY379" s="3"/>
      <c r="AZ379" s="3"/>
      <c r="BA379" s="3"/>
    </row>
    <row r="380" ht="12.75" spans="1:53">
      <c r="A380" s="3"/>
      <c r="B380" s="3"/>
      <c r="C380" s="3"/>
      <c r="D380" s="30"/>
      <c r="E380" s="30"/>
      <c r="F380" s="30"/>
      <c r="G380" s="30"/>
      <c r="H380" s="30"/>
      <c r="I380" s="30"/>
      <c r="J380" s="3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"/>
      <c r="AV380" s="3"/>
      <c r="AW380" s="3"/>
      <c r="AX380" s="3"/>
      <c r="AY380" s="3"/>
      <c r="AZ380" s="3"/>
      <c r="BA380" s="3"/>
    </row>
    <row r="381" ht="12.75" spans="1:53">
      <c r="A381" s="3"/>
      <c r="B381" s="3"/>
      <c r="C381" s="3"/>
      <c r="D381" s="30"/>
      <c r="E381" s="30"/>
      <c r="F381" s="30"/>
      <c r="G381" s="30"/>
      <c r="H381" s="30"/>
      <c r="I381" s="30"/>
      <c r="J381" s="3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"/>
      <c r="AV381" s="3"/>
      <c r="AW381" s="3"/>
      <c r="AX381" s="3"/>
      <c r="AY381" s="3"/>
      <c r="AZ381" s="3"/>
      <c r="BA381" s="3"/>
    </row>
    <row r="382" ht="12.75" spans="1:53">
      <c r="A382" s="3"/>
      <c r="B382" s="3"/>
      <c r="C382" s="3"/>
      <c r="D382" s="30"/>
      <c r="E382" s="30"/>
      <c r="F382" s="30"/>
      <c r="G382" s="30"/>
      <c r="H382" s="30"/>
      <c r="I382" s="30"/>
      <c r="J382" s="3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"/>
      <c r="AV382" s="3"/>
      <c r="AW382" s="3"/>
      <c r="AX382" s="3"/>
      <c r="AY382" s="3"/>
      <c r="AZ382" s="3"/>
      <c r="BA382" s="3"/>
    </row>
    <row r="383" ht="12.75" spans="1:53">
      <c r="A383" s="3"/>
      <c r="B383" s="3"/>
      <c r="C383" s="3"/>
      <c r="D383" s="30"/>
      <c r="E383" s="30"/>
      <c r="F383" s="30"/>
      <c r="G383" s="30"/>
      <c r="H383" s="30"/>
      <c r="I383" s="30"/>
      <c r="J383" s="3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"/>
      <c r="AV383" s="3"/>
      <c r="AW383" s="3"/>
      <c r="AX383" s="3"/>
      <c r="AY383" s="3"/>
      <c r="AZ383" s="3"/>
      <c r="BA383" s="3"/>
    </row>
    <row r="384" ht="12.75" spans="1:53">
      <c r="A384" s="3"/>
      <c r="B384" s="3"/>
      <c r="C384" s="3"/>
      <c r="D384" s="30"/>
      <c r="E384" s="30"/>
      <c r="F384" s="30"/>
      <c r="G384" s="30"/>
      <c r="H384" s="30"/>
      <c r="I384" s="30"/>
      <c r="J384" s="3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"/>
      <c r="AV384" s="3"/>
      <c r="AW384" s="3"/>
      <c r="AX384" s="3"/>
      <c r="AY384" s="3"/>
      <c r="AZ384" s="3"/>
      <c r="BA384" s="3"/>
    </row>
    <row r="385" ht="12.75" spans="1:53">
      <c r="A385" s="3"/>
      <c r="B385" s="3"/>
      <c r="C385" s="3"/>
      <c r="D385" s="30"/>
      <c r="E385" s="30"/>
      <c r="F385" s="30"/>
      <c r="G385" s="30"/>
      <c r="H385" s="30"/>
      <c r="I385" s="30"/>
      <c r="J385" s="3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"/>
      <c r="AV385" s="3"/>
      <c r="AW385" s="3"/>
      <c r="AX385" s="3"/>
      <c r="AY385" s="3"/>
      <c r="AZ385" s="3"/>
      <c r="BA385" s="3"/>
    </row>
    <row r="386" ht="12.75" spans="1:53">
      <c r="A386" s="3"/>
      <c r="B386" s="3"/>
      <c r="C386" s="3"/>
      <c r="D386" s="30"/>
      <c r="E386" s="30"/>
      <c r="F386" s="30"/>
      <c r="G386" s="30"/>
      <c r="H386" s="30"/>
      <c r="I386" s="30"/>
      <c r="J386" s="3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"/>
      <c r="AV386" s="3"/>
      <c r="AW386" s="3"/>
      <c r="AX386" s="3"/>
      <c r="AY386" s="3"/>
      <c r="AZ386" s="3"/>
      <c r="BA386" s="3"/>
    </row>
    <row r="387" ht="12.75" spans="1:53">
      <c r="A387" s="3"/>
      <c r="B387" s="3"/>
      <c r="C387" s="3"/>
      <c r="D387" s="30"/>
      <c r="E387" s="30"/>
      <c r="F387" s="30"/>
      <c r="G387" s="30"/>
      <c r="H387" s="30"/>
      <c r="I387" s="30"/>
      <c r="J387" s="3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"/>
      <c r="AV387" s="3"/>
      <c r="AW387" s="3"/>
      <c r="AX387" s="3"/>
      <c r="AY387" s="3"/>
      <c r="AZ387" s="3"/>
      <c r="BA387" s="3"/>
    </row>
    <row r="388" ht="12.75" spans="1:53">
      <c r="A388" s="3"/>
      <c r="B388" s="3"/>
      <c r="C388" s="3"/>
      <c r="D388" s="30"/>
      <c r="E388" s="30"/>
      <c r="F388" s="30"/>
      <c r="G388" s="30"/>
      <c r="H388" s="30"/>
      <c r="I388" s="30"/>
      <c r="J388" s="3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"/>
      <c r="AV388" s="3"/>
      <c r="AW388" s="3"/>
      <c r="AX388" s="3"/>
      <c r="AY388" s="3"/>
      <c r="AZ388" s="3"/>
      <c r="BA388" s="3"/>
    </row>
    <row r="389" ht="12.75" spans="1:53">
      <c r="A389" s="3"/>
      <c r="B389" s="3"/>
      <c r="C389" s="3"/>
      <c r="D389" s="30"/>
      <c r="E389" s="30"/>
      <c r="F389" s="30"/>
      <c r="G389" s="30"/>
      <c r="H389" s="30"/>
      <c r="I389" s="30"/>
      <c r="J389" s="3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"/>
      <c r="AV389" s="3"/>
      <c r="AW389" s="3"/>
      <c r="AX389" s="3"/>
      <c r="AY389" s="3"/>
      <c r="AZ389" s="3"/>
      <c r="BA389" s="3"/>
    </row>
    <row r="390" ht="12.75" spans="1:53">
      <c r="A390" s="3"/>
      <c r="B390" s="3"/>
      <c r="C390" s="3"/>
      <c r="D390" s="30"/>
      <c r="E390" s="30"/>
      <c r="F390" s="30"/>
      <c r="G390" s="30"/>
      <c r="H390" s="30"/>
      <c r="I390" s="30"/>
      <c r="J390" s="3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"/>
      <c r="AV390" s="3"/>
      <c r="AW390" s="3"/>
      <c r="AX390" s="3"/>
      <c r="AY390" s="3"/>
      <c r="AZ390" s="3"/>
      <c r="BA390" s="3"/>
    </row>
    <row r="391" ht="12.75" spans="1:53">
      <c r="A391" s="3"/>
      <c r="B391" s="3"/>
      <c r="C391" s="3"/>
      <c r="D391" s="30"/>
      <c r="E391" s="30"/>
      <c r="F391" s="30"/>
      <c r="G391" s="30"/>
      <c r="H391" s="30"/>
      <c r="I391" s="30"/>
      <c r="J391" s="3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"/>
      <c r="AV391" s="3"/>
      <c r="AW391" s="3"/>
      <c r="AX391" s="3"/>
      <c r="AY391" s="3"/>
      <c r="AZ391" s="3"/>
      <c r="BA391" s="3"/>
    </row>
    <row r="392" ht="12.75" spans="1:53">
      <c r="A392" s="3"/>
      <c r="B392" s="3"/>
      <c r="C392" s="3"/>
      <c r="D392" s="30"/>
      <c r="E392" s="30"/>
      <c r="F392" s="30"/>
      <c r="G392" s="30"/>
      <c r="H392" s="30"/>
      <c r="I392" s="30"/>
      <c r="J392" s="3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"/>
      <c r="AV392" s="3"/>
      <c r="AW392" s="3"/>
      <c r="AX392" s="3"/>
      <c r="AY392" s="3"/>
      <c r="AZ392" s="3"/>
      <c r="BA392" s="3"/>
    </row>
    <row r="393" ht="12.75" spans="1:53">
      <c r="A393" s="3"/>
      <c r="B393" s="3"/>
      <c r="C393" s="3"/>
      <c r="D393" s="30"/>
      <c r="E393" s="30"/>
      <c r="F393" s="30"/>
      <c r="G393" s="30"/>
      <c r="H393" s="30"/>
      <c r="I393" s="30"/>
      <c r="J393" s="3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"/>
      <c r="AV393" s="3"/>
      <c r="AW393" s="3"/>
      <c r="AX393" s="3"/>
      <c r="AY393" s="3"/>
      <c r="AZ393" s="3"/>
      <c r="BA393" s="3"/>
    </row>
    <row r="394" ht="12.75" spans="1:53">
      <c r="A394" s="3"/>
      <c r="B394" s="3"/>
      <c r="C394" s="3"/>
      <c r="D394" s="30"/>
      <c r="E394" s="30"/>
      <c r="F394" s="30"/>
      <c r="G394" s="30"/>
      <c r="H394" s="30"/>
      <c r="I394" s="30"/>
      <c r="J394" s="3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"/>
      <c r="AV394" s="3"/>
      <c r="AW394" s="3"/>
      <c r="AX394" s="3"/>
      <c r="AY394" s="3"/>
      <c r="AZ394" s="3"/>
      <c r="BA394" s="3"/>
    </row>
    <row r="395" ht="12.75" spans="1:53">
      <c r="A395" s="3"/>
      <c r="B395" s="3"/>
      <c r="C395" s="3"/>
      <c r="D395" s="30"/>
      <c r="E395" s="30"/>
      <c r="F395" s="30"/>
      <c r="G395" s="30"/>
      <c r="H395" s="30"/>
      <c r="I395" s="30"/>
      <c r="J395" s="3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"/>
      <c r="AV395" s="3"/>
      <c r="AW395" s="3"/>
      <c r="AX395" s="3"/>
      <c r="AY395" s="3"/>
      <c r="AZ395" s="3"/>
      <c r="BA395" s="3"/>
    </row>
    <row r="396" ht="12.75" spans="1:53">
      <c r="A396" s="3"/>
      <c r="B396" s="3"/>
      <c r="C396" s="3"/>
      <c r="D396" s="30"/>
      <c r="E396" s="30"/>
      <c r="F396" s="30"/>
      <c r="G396" s="30"/>
      <c r="H396" s="30"/>
      <c r="I396" s="30"/>
      <c r="J396" s="3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"/>
      <c r="AV396" s="3"/>
      <c r="AW396" s="3"/>
      <c r="AX396" s="3"/>
      <c r="AY396" s="3"/>
      <c r="AZ396" s="3"/>
      <c r="BA396" s="3"/>
    </row>
    <row r="397" ht="12.75" spans="1:53">
      <c r="A397" s="3"/>
      <c r="B397" s="3"/>
      <c r="C397" s="3"/>
      <c r="D397" s="30"/>
      <c r="E397" s="30"/>
      <c r="F397" s="30"/>
      <c r="G397" s="30"/>
      <c r="H397" s="30"/>
      <c r="I397" s="30"/>
      <c r="J397" s="3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"/>
      <c r="AV397" s="3"/>
      <c r="AW397" s="3"/>
      <c r="AX397" s="3"/>
      <c r="AY397" s="3"/>
      <c r="AZ397" s="3"/>
      <c r="BA397" s="3"/>
    </row>
    <row r="398" ht="12.75" spans="1:53">
      <c r="A398" s="3"/>
      <c r="B398" s="3"/>
      <c r="C398" s="3"/>
      <c r="D398" s="30"/>
      <c r="E398" s="30"/>
      <c r="F398" s="30"/>
      <c r="G398" s="30"/>
      <c r="H398" s="30"/>
      <c r="I398" s="30"/>
      <c r="J398" s="3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"/>
      <c r="AV398" s="3"/>
      <c r="AW398" s="3"/>
      <c r="AX398" s="3"/>
      <c r="AY398" s="3"/>
      <c r="AZ398" s="3"/>
      <c r="BA398" s="3"/>
    </row>
    <row r="399" ht="12.75" spans="1:53">
      <c r="A399" s="3"/>
      <c r="B399" s="3"/>
      <c r="C399" s="3"/>
      <c r="D399" s="30"/>
      <c r="E399" s="30"/>
      <c r="F399" s="30"/>
      <c r="G399" s="30"/>
      <c r="H399" s="30"/>
      <c r="I399" s="30"/>
      <c r="J399" s="3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"/>
      <c r="AV399" s="3"/>
      <c r="AW399" s="3"/>
      <c r="AX399" s="3"/>
      <c r="AY399" s="3"/>
      <c r="AZ399" s="3"/>
      <c r="BA399" s="3"/>
    </row>
    <row r="400" ht="12.75" spans="1:53">
      <c r="A400" s="3"/>
      <c r="B400" s="3"/>
      <c r="C400" s="3"/>
      <c r="D400" s="30"/>
      <c r="E400" s="30"/>
      <c r="F400" s="30"/>
      <c r="G400" s="30"/>
      <c r="H400" s="30"/>
      <c r="I400" s="30"/>
      <c r="J400" s="3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"/>
      <c r="AV400" s="3"/>
      <c r="AW400" s="3"/>
      <c r="AX400" s="3"/>
      <c r="AY400" s="3"/>
      <c r="AZ400" s="3"/>
      <c r="BA400" s="3"/>
    </row>
    <row r="401" ht="12.75" spans="1:53">
      <c r="A401" s="3"/>
      <c r="B401" s="3"/>
      <c r="C401" s="3"/>
      <c r="D401" s="30"/>
      <c r="E401" s="30"/>
      <c r="F401" s="30"/>
      <c r="G401" s="30"/>
      <c r="H401" s="30"/>
      <c r="I401" s="30"/>
      <c r="J401" s="3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"/>
      <c r="AV401" s="3"/>
      <c r="AW401" s="3"/>
      <c r="AX401" s="3"/>
      <c r="AY401" s="3"/>
      <c r="AZ401" s="3"/>
      <c r="BA401" s="3"/>
    </row>
    <row r="402" ht="12.75" spans="1:53">
      <c r="A402" s="3"/>
      <c r="B402" s="3"/>
      <c r="C402" s="3"/>
      <c r="D402" s="30"/>
      <c r="E402" s="30"/>
      <c r="F402" s="30"/>
      <c r="G402" s="30"/>
      <c r="H402" s="30"/>
      <c r="I402" s="30"/>
      <c r="J402" s="3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"/>
      <c r="AV402" s="3"/>
      <c r="AW402" s="3"/>
      <c r="AX402" s="3"/>
      <c r="AY402" s="3"/>
      <c r="AZ402" s="3"/>
      <c r="BA402" s="3"/>
    </row>
    <row r="403" ht="12.75" spans="1:53">
      <c r="A403" s="3"/>
      <c r="B403" s="3"/>
      <c r="C403" s="3"/>
      <c r="D403" s="30"/>
      <c r="E403" s="30"/>
      <c r="F403" s="30"/>
      <c r="G403" s="30"/>
      <c r="H403" s="30"/>
      <c r="I403" s="30"/>
      <c r="J403" s="3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"/>
      <c r="AV403" s="3"/>
      <c r="AW403" s="3"/>
      <c r="AX403" s="3"/>
      <c r="AY403" s="3"/>
      <c r="AZ403" s="3"/>
      <c r="BA403" s="3"/>
    </row>
    <row r="404" ht="12.75" spans="1:53">
      <c r="A404" s="3"/>
      <c r="B404" s="3"/>
      <c r="C404" s="3"/>
      <c r="D404" s="30"/>
      <c r="E404" s="30"/>
      <c r="F404" s="30"/>
      <c r="G404" s="30"/>
      <c r="H404" s="30"/>
      <c r="I404" s="30"/>
      <c r="J404" s="3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"/>
      <c r="AV404" s="3"/>
      <c r="AW404" s="3"/>
      <c r="AX404" s="3"/>
      <c r="AY404" s="3"/>
      <c r="AZ404" s="3"/>
      <c r="BA404" s="3"/>
    </row>
    <row r="405" ht="12.75" spans="1:53">
      <c r="A405" s="3"/>
      <c r="B405" s="3"/>
      <c r="C405" s="3"/>
      <c r="D405" s="30"/>
      <c r="E405" s="30"/>
      <c r="F405" s="30"/>
      <c r="G405" s="30"/>
      <c r="H405" s="30"/>
      <c r="I405" s="30"/>
      <c r="J405" s="3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"/>
      <c r="AV405" s="3"/>
      <c r="AW405" s="3"/>
      <c r="AX405" s="3"/>
      <c r="AY405" s="3"/>
      <c r="AZ405" s="3"/>
      <c r="BA405" s="3"/>
    </row>
    <row r="406" ht="12.75" spans="1:53">
      <c r="A406" s="3"/>
      <c r="B406" s="3"/>
      <c r="C406" s="3"/>
      <c r="D406" s="30"/>
      <c r="E406" s="30"/>
      <c r="F406" s="30"/>
      <c r="G406" s="30"/>
      <c r="H406" s="30"/>
      <c r="I406" s="30"/>
      <c r="J406" s="3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"/>
      <c r="AV406" s="3"/>
      <c r="AW406" s="3"/>
      <c r="AX406" s="3"/>
      <c r="AY406" s="3"/>
      <c r="AZ406" s="3"/>
      <c r="BA406" s="3"/>
    </row>
    <row r="407" ht="12.75" spans="1:53">
      <c r="A407" s="3"/>
      <c r="B407" s="3"/>
      <c r="C407" s="3"/>
      <c r="D407" s="30"/>
      <c r="E407" s="30"/>
      <c r="F407" s="30"/>
      <c r="G407" s="30"/>
      <c r="H407" s="30"/>
      <c r="I407" s="30"/>
      <c r="J407" s="3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"/>
      <c r="AV407" s="3"/>
      <c r="AW407" s="3"/>
      <c r="AX407" s="3"/>
      <c r="AY407" s="3"/>
      <c r="AZ407" s="3"/>
      <c r="BA407" s="3"/>
    </row>
    <row r="408" ht="12.75" spans="1:53">
      <c r="A408" s="3"/>
      <c r="B408" s="3"/>
      <c r="C408" s="3"/>
      <c r="D408" s="30"/>
      <c r="E408" s="30"/>
      <c r="F408" s="30"/>
      <c r="G408" s="30"/>
      <c r="H408" s="30"/>
      <c r="I408" s="30"/>
      <c r="J408" s="3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"/>
      <c r="AV408" s="3"/>
      <c r="AW408" s="3"/>
      <c r="AX408" s="3"/>
      <c r="AY408" s="3"/>
      <c r="AZ408" s="3"/>
      <c r="BA408" s="3"/>
    </row>
    <row r="409" ht="12.75" spans="1:53">
      <c r="A409" s="3"/>
      <c r="B409" s="3"/>
      <c r="C409" s="3"/>
      <c r="D409" s="30"/>
      <c r="E409" s="30"/>
      <c r="F409" s="30"/>
      <c r="G409" s="30"/>
      <c r="H409" s="30"/>
      <c r="I409" s="30"/>
      <c r="J409" s="3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"/>
      <c r="AV409" s="3"/>
      <c r="AW409" s="3"/>
      <c r="AX409" s="3"/>
      <c r="AY409" s="3"/>
      <c r="AZ409" s="3"/>
      <c r="BA409" s="3"/>
    </row>
    <row r="410" ht="12.75" spans="1:53">
      <c r="A410" s="3"/>
      <c r="B410" s="3"/>
      <c r="C410" s="3"/>
      <c r="D410" s="30"/>
      <c r="E410" s="30"/>
      <c r="F410" s="30"/>
      <c r="G410" s="30"/>
      <c r="H410" s="30"/>
      <c r="I410" s="30"/>
      <c r="J410" s="3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"/>
      <c r="AV410" s="3"/>
      <c r="AW410" s="3"/>
      <c r="AX410" s="3"/>
      <c r="AY410" s="3"/>
      <c r="AZ410" s="3"/>
      <c r="BA410" s="3"/>
    </row>
    <row r="411" ht="12.75" spans="1:53">
      <c r="A411" s="3"/>
      <c r="B411" s="3"/>
      <c r="C411" s="3"/>
      <c r="D411" s="30"/>
      <c r="E411" s="30"/>
      <c r="F411" s="30"/>
      <c r="G411" s="30"/>
      <c r="H411" s="30"/>
      <c r="I411" s="30"/>
      <c r="J411" s="3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"/>
      <c r="AV411" s="3"/>
      <c r="AW411" s="3"/>
      <c r="AX411" s="3"/>
      <c r="AY411" s="3"/>
      <c r="AZ411" s="3"/>
      <c r="BA411" s="3"/>
    </row>
    <row r="412" ht="12.75" spans="1:53">
      <c r="A412" s="3"/>
      <c r="B412" s="3"/>
      <c r="C412" s="3"/>
      <c r="D412" s="30"/>
      <c r="E412" s="30"/>
      <c r="F412" s="30"/>
      <c r="G412" s="30"/>
      <c r="H412" s="30"/>
      <c r="I412" s="30"/>
      <c r="J412" s="3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"/>
      <c r="AV412" s="3"/>
      <c r="AW412" s="3"/>
      <c r="AX412" s="3"/>
      <c r="AY412" s="3"/>
      <c r="AZ412" s="3"/>
      <c r="BA412" s="3"/>
    </row>
    <row r="413" ht="12.75" spans="1:53">
      <c r="A413" s="3"/>
      <c r="B413" s="3"/>
      <c r="C413" s="3"/>
      <c r="D413" s="30"/>
      <c r="E413" s="30"/>
      <c r="F413" s="30"/>
      <c r="G413" s="30"/>
      <c r="H413" s="30"/>
      <c r="I413" s="30"/>
      <c r="J413" s="3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"/>
      <c r="AV413" s="3"/>
      <c r="AW413" s="3"/>
      <c r="AX413" s="3"/>
      <c r="AY413" s="3"/>
      <c r="AZ413" s="3"/>
      <c r="BA413" s="3"/>
    </row>
    <row r="414" ht="12.75" spans="1:53">
      <c r="A414" s="3"/>
      <c r="B414" s="3"/>
      <c r="C414" s="3"/>
      <c r="D414" s="30"/>
      <c r="E414" s="30"/>
      <c r="F414" s="30"/>
      <c r="G414" s="30"/>
      <c r="H414" s="30"/>
      <c r="I414" s="30"/>
      <c r="J414" s="3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"/>
      <c r="AV414" s="3"/>
      <c r="AW414" s="3"/>
      <c r="AX414" s="3"/>
      <c r="AY414" s="3"/>
      <c r="AZ414" s="3"/>
      <c r="BA414" s="3"/>
    </row>
    <row r="415" ht="12.75" spans="1:53">
      <c r="A415" s="3"/>
      <c r="B415" s="3"/>
      <c r="C415" s="3"/>
      <c r="D415" s="30"/>
      <c r="E415" s="30"/>
      <c r="F415" s="30"/>
      <c r="G415" s="30"/>
      <c r="H415" s="30"/>
      <c r="I415" s="30"/>
      <c r="J415" s="3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"/>
      <c r="AV415" s="3"/>
      <c r="AW415" s="3"/>
      <c r="AX415" s="3"/>
      <c r="AY415" s="3"/>
      <c r="AZ415" s="3"/>
      <c r="BA415" s="3"/>
    </row>
    <row r="416" ht="12.75" spans="1:53">
      <c r="A416" s="3"/>
      <c r="B416" s="3"/>
      <c r="C416" s="3"/>
      <c r="D416" s="30"/>
      <c r="E416" s="30"/>
      <c r="F416" s="30"/>
      <c r="G416" s="30"/>
      <c r="H416" s="30"/>
      <c r="I416" s="30"/>
      <c r="J416" s="3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"/>
      <c r="AV416" s="3"/>
      <c r="AW416" s="3"/>
      <c r="AX416" s="3"/>
      <c r="AY416" s="3"/>
      <c r="AZ416" s="3"/>
      <c r="BA416" s="3"/>
    </row>
    <row r="417" ht="12.75" spans="1:53">
      <c r="A417" s="3"/>
      <c r="B417" s="3"/>
      <c r="C417" s="3"/>
      <c r="D417" s="30"/>
      <c r="E417" s="30"/>
      <c r="F417" s="30"/>
      <c r="G417" s="30"/>
      <c r="H417" s="30"/>
      <c r="I417" s="30"/>
      <c r="J417" s="3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"/>
      <c r="AV417" s="3"/>
      <c r="AW417" s="3"/>
      <c r="AX417" s="3"/>
      <c r="AY417" s="3"/>
      <c r="AZ417" s="3"/>
      <c r="BA417" s="3"/>
    </row>
    <row r="418" ht="12.75" spans="1:53">
      <c r="A418" s="3"/>
      <c r="B418" s="3"/>
      <c r="C418" s="3"/>
      <c r="D418" s="30"/>
      <c r="E418" s="30"/>
      <c r="F418" s="30"/>
      <c r="G418" s="30"/>
      <c r="H418" s="30"/>
      <c r="I418" s="30"/>
      <c r="J418" s="3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"/>
      <c r="AV418" s="3"/>
      <c r="AW418" s="3"/>
      <c r="AX418" s="3"/>
      <c r="AY418" s="3"/>
      <c r="AZ418" s="3"/>
      <c r="BA418" s="3"/>
    </row>
    <row r="419" ht="12.75" spans="1:53">
      <c r="A419" s="3"/>
      <c r="B419" s="3"/>
      <c r="C419" s="3"/>
      <c r="D419" s="30"/>
      <c r="E419" s="30"/>
      <c r="F419" s="30"/>
      <c r="G419" s="30"/>
      <c r="H419" s="30"/>
      <c r="I419" s="30"/>
      <c r="J419" s="3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"/>
      <c r="AV419" s="3"/>
      <c r="AW419" s="3"/>
      <c r="AX419" s="3"/>
      <c r="AY419" s="3"/>
      <c r="AZ419" s="3"/>
      <c r="BA419" s="3"/>
    </row>
    <row r="420" ht="12.75" spans="1:53">
      <c r="A420" s="3"/>
      <c r="B420" s="3"/>
      <c r="C420" s="3"/>
      <c r="D420" s="30"/>
      <c r="E420" s="30"/>
      <c r="F420" s="30"/>
      <c r="G420" s="30"/>
      <c r="H420" s="30"/>
      <c r="I420" s="30"/>
      <c r="J420" s="3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"/>
      <c r="AV420" s="3"/>
      <c r="AW420" s="3"/>
      <c r="AX420" s="3"/>
      <c r="AY420" s="3"/>
      <c r="AZ420" s="3"/>
      <c r="BA420" s="3"/>
    </row>
    <row r="421" ht="12.75" spans="1:53">
      <c r="A421" s="3"/>
      <c r="B421" s="3"/>
      <c r="C421" s="3"/>
      <c r="D421" s="30"/>
      <c r="E421" s="30"/>
      <c r="F421" s="30"/>
      <c r="G421" s="30"/>
      <c r="H421" s="30"/>
      <c r="I421" s="30"/>
      <c r="J421" s="3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"/>
      <c r="AV421" s="3"/>
      <c r="AW421" s="3"/>
      <c r="AX421" s="3"/>
      <c r="AY421" s="3"/>
      <c r="AZ421" s="3"/>
      <c r="BA421" s="3"/>
    </row>
    <row r="422" ht="12.75" spans="1:53">
      <c r="A422" s="3"/>
      <c r="B422" s="3"/>
      <c r="C422" s="3"/>
      <c r="D422" s="30"/>
      <c r="E422" s="30"/>
      <c r="F422" s="30"/>
      <c r="G422" s="30"/>
      <c r="H422" s="30"/>
      <c r="I422" s="30"/>
      <c r="J422" s="3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"/>
      <c r="AV422" s="3"/>
      <c r="AW422" s="3"/>
      <c r="AX422" s="3"/>
      <c r="AY422" s="3"/>
      <c r="AZ422" s="3"/>
      <c r="BA422" s="3"/>
    </row>
    <row r="423" ht="12.75" spans="1:53">
      <c r="A423" s="3"/>
      <c r="B423" s="3"/>
      <c r="C423" s="3"/>
      <c r="D423" s="30"/>
      <c r="E423" s="30"/>
      <c r="F423" s="30"/>
      <c r="G423" s="30"/>
      <c r="H423" s="30"/>
      <c r="I423" s="30"/>
      <c r="J423" s="3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"/>
      <c r="AV423" s="3"/>
      <c r="AW423" s="3"/>
      <c r="AX423" s="3"/>
      <c r="AY423" s="3"/>
      <c r="AZ423" s="3"/>
      <c r="BA423" s="3"/>
    </row>
    <row r="424" ht="12.75" spans="1:53">
      <c r="A424" s="3"/>
      <c r="B424" s="3"/>
      <c r="C424" s="3"/>
      <c r="D424" s="30"/>
      <c r="E424" s="30"/>
      <c r="F424" s="30"/>
      <c r="G424" s="30"/>
      <c r="H424" s="30"/>
      <c r="I424" s="30"/>
      <c r="J424" s="3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"/>
      <c r="AV424" s="3"/>
      <c r="AW424" s="3"/>
      <c r="AX424" s="3"/>
      <c r="AY424" s="3"/>
      <c r="AZ424" s="3"/>
      <c r="BA424" s="3"/>
    </row>
    <row r="425" ht="12.75" spans="1:53">
      <c r="A425" s="3"/>
      <c r="B425" s="3"/>
      <c r="C425" s="3"/>
      <c r="D425" s="30"/>
      <c r="E425" s="30"/>
      <c r="F425" s="30"/>
      <c r="G425" s="30"/>
      <c r="H425" s="30"/>
      <c r="I425" s="30"/>
      <c r="J425" s="3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"/>
      <c r="AV425" s="3"/>
      <c r="AW425" s="3"/>
      <c r="AX425" s="3"/>
      <c r="AY425" s="3"/>
      <c r="AZ425" s="3"/>
      <c r="BA425" s="3"/>
    </row>
    <row r="426" ht="12.75" spans="1:53">
      <c r="A426" s="3"/>
      <c r="B426" s="3"/>
      <c r="C426" s="3"/>
      <c r="D426" s="30"/>
      <c r="E426" s="30"/>
      <c r="F426" s="30"/>
      <c r="G426" s="30"/>
      <c r="H426" s="30"/>
      <c r="I426" s="30"/>
      <c r="J426" s="3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"/>
      <c r="AV426" s="3"/>
      <c r="AW426" s="3"/>
      <c r="AX426" s="3"/>
      <c r="AY426" s="3"/>
      <c r="AZ426" s="3"/>
      <c r="BA426" s="3"/>
    </row>
    <row r="427" ht="12.75" spans="1:53">
      <c r="A427" s="3"/>
      <c r="B427" s="3"/>
      <c r="C427" s="3"/>
      <c r="D427" s="30"/>
      <c r="E427" s="30"/>
      <c r="F427" s="30"/>
      <c r="G427" s="30"/>
      <c r="H427" s="30"/>
      <c r="I427" s="30"/>
      <c r="J427" s="3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"/>
      <c r="AV427" s="3"/>
      <c r="AW427" s="3"/>
      <c r="AX427" s="3"/>
      <c r="AY427" s="3"/>
      <c r="AZ427" s="3"/>
      <c r="BA427" s="3"/>
    </row>
    <row r="428" ht="12.75" spans="1:53">
      <c r="A428" s="3"/>
      <c r="B428" s="3"/>
      <c r="C428" s="3"/>
      <c r="D428" s="30"/>
      <c r="E428" s="30"/>
      <c r="F428" s="30"/>
      <c r="G428" s="30"/>
      <c r="H428" s="30"/>
      <c r="I428" s="30"/>
      <c r="J428" s="3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"/>
      <c r="AV428" s="3"/>
      <c r="AW428" s="3"/>
      <c r="AX428" s="3"/>
      <c r="AY428" s="3"/>
      <c r="AZ428" s="3"/>
      <c r="BA428" s="3"/>
    </row>
    <row r="429" ht="12.75" spans="1:53">
      <c r="A429" s="3"/>
      <c r="B429" s="3"/>
      <c r="C429" s="3"/>
      <c r="D429" s="30"/>
      <c r="E429" s="30"/>
      <c r="F429" s="30"/>
      <c r="G429" s="30"/>
      <c r="H429" s="30"/>
      <c r="I429" s="30"/>
      <c r="J429" s="3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"/>
      <c r="AV429" s="3"/>
      <c r="AW429" s="3"/>
      <c r="AX429" s="3"/>
      <c r="AY429" s="3"/>
      <c r="AZ429" s="3"/>
      <c r="BA429" s="3"/>
    </row>
    <row r="430" ht="12.75" spans="1:53">
      <c r="A430" s="3"/>
      <c r="B430" s="3"/>
      <c r="C430" s="3"/>
      <c r="D430" s="30"/>
      <c r="E430" s="30"/>
      <c r="F430" s="30"/>
      <c r="G430" s="30"/>
      <c r="H430" s="30"/>
      <c r="I430" s="30"/>
      <c r="J430" s="3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"/>
      <c r="AV430" s="3"/>
      <c r="AW430" s="3"/>
      <c r="AX430" s="3"/>
      <c r="AY430" s="3"/>
      <c r="AZ430" s="3"/>
      <c r="BA430" s="3"/>
    </row>
    <row r="431" ht="12.75" spans="1:53">
      <c r="A431" s="3"/>
      <c r="B431" s="3"/>
      <c r="C431" s="3"/>
      <c r="D431" s="30"/>
      <c r="E431" s="30"/>
      <c r="F431" s="30"/>
      <c r="G431" s="30"/>
      <c r="H431" s="30"/>
      <c r="I431" s="30"/>
      <c r="J431" s="3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"/>
      <c r="AV431" s="3"/>
      <c r="AW431" s="3"/>
      <c r="AX431" s="3"/>
      <c r="AY431" s="3"/>
      <c r="AZ431" s="3"/>
      <c r="BA431" s="3"/>
    </row>
    <row r="432" ht="12.75" spans="1:53">
      <c r="A432" s="3"/>
      <c r="B432" s="3"/>
      <c r="C432" s="3"/>
      <c r="D432" s="30"/>
      <c r="E432" s="30"/>
      <c r="F432" s="30"/>
      <c r="G432" s="30"/>
      <c r="H432" s="30"/>
      <c r="I432" s="30"/>
      <c r="J432" s="3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"/>
      <c r="AV432" s="3"/>
      <c r="AW432" s="3"/>
      <c r="AX432" s="3"/>
      <c r="AY432" s="3"/>
      <c r="AZ432" s="3"/>
      <c r="BA432" s="3"/>
    </row>
    <row r="433" ht="12.75" spans="1:53">
      <c r="A433" s="3"/>
      <c r="B433" s="3"/>
      <c r="C433" s="3"/>
      <c r="D433" s="30"/>
      <c r="E433" s="30"/>
      <c r="F433" s="30"/>
      <c r="G433" s="30"/>
      <c r="H433" s="30"/>
      <c r="I433" s="30"/>
      <c r="J433" s="3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"/>
      <c r="AV433" s="3"/>
      <c r="AW433" s="3"/>
      <c r="AX433" s="3"/>
      <c r="AY433" s="3"/>
      <c r="AZ433" s="3"/>
      <c r="BA433" s="3"/>
    </row>
    <row r="434" ht="12.75" spans="1:53">
      <c r="A434" s="3"/>
      <c r="B434" s="3"/>
      <c r="C434" s="3"/>
      <c r="D434" s="30"/>
      <c r="E434" s="30"/>
      <c r="F434" s="30"/>
      <c r="G434" s="30"/>
      <c r="H434" s="30"/>
      <c r="I434" s="30"/>
      <c r="J434" s="3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"/>
      <c r="AV434" s="3"/>
      <c r="AW434" s="3"/>
      <c r="AX434" s="3"/>
      <c r="AY434" s="3"/>
      <c r="AZ434" s="3"/>
      <c r="BA434" s="3"/>
    </row>
    <row r="435" ht="12.75" spans="1:53">
      <c r="A435" s="3"/>
      <c r="B435" s="3"/>
      <c r="C435" s="3"/>
      <c r="D435" s="30"/>
      <c r="E435" s="30"/>
      <c r="F435" s="30"/>
      <c r="G435" s="30"/>
      <c r="H435" s="30"/>
      <c r="I435" s="30"/>
      <c r="J435" s="3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"/>
      <c r="AV435" s="3"/>
      <c r="AW435" s="3"/>
      <c r="AX435" s="3"/>
      <c r="AY435" s="3"/>
      <c r="AZ435" s="3"/>
      <c r="BA435" s="3"/>
    </row>
    <row r="436" ht="12.75" spans="1:53">
      <c r="A436" s="3"/>
      <c r="B436" s="3"/>
      <c r="C436" s="3"/>
      <c r="D436" s="30"/>
      <c r="E436" s="30"/>
      <c r="F436" s="30"/>
      <c r="G436" s="30"/>
      <c r="H436" s="30"/>
      <c r="I436" s="30"/>
      <c r="J436" s="3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"/>
      <c r="AV436" s="3"/>
      <c r="AW436" s="3"/>
      <c r="AX436" s="3"/>
      <c r="AY436" s="3"/>
      <c r="AZ436" s="3"/>
      <c r="BA436" s="3"/>
    </row>
    <row r="437" ht="12.75" spans="1:53">
      <c r="A437" s="3"/>
      <c r="B437" s="3"/>
      <c r="C437" s="3"/>
      <c r="D437" s="30"/>
      <c r="E437" s="30"/>
      <c r="F437" s="30"/>
      <c r="G437" s="30"/>
      <c r="H437" s="30"/>
      <c r="I437" s="30"/>
      <c r="J437" s="3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"/>
      <c r="AV437" s="3"/>
      <c r="AW437" s="3"/>
      <c r="AX437" s="3"/>
      <c r="AY437" s="3"/>
      <c r="AZ437" s="3"/>
      <c r="BA437" s="3"/>
    </row>
    <row r="438" ht="12.75" spans="1:53">
      <c r="A438" s="3"/>
      <c r="B438" s="3"/>
      <c r="C438" s="3"/>
      <c r="D438" s="30"/>
      <c r="E438" s="30"/>
      <c r="F438" s="30"/>
      <c r="G438" s="30"/>
      <c r="H438" s="30"/>
      <c r="I438" s="30"/>
      <c r="J438" s="3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"/>
      <c r="AV438" s="3"/>
      <c r="AW438" s="3"/>
      <c r="AX438" s="3"/>
      <c r="AY438" s="3"/>
      <c r="AZ438" s="3"/>
      <c r="BA438" s="3"/>
    </row>
    <row r="439" ht="12.75" spans="1:53">
      <c r="A439" s="3"/>
      <c r="B439" s="3"/>
      <c r="C439" s="3"/>
      <c r="D439" s="30"/>
      <c r="E439" s="30"/>
      <c r="F439" s="30"/>
      <c r="G439" s="30"/>
      <c r="H439" s="30"/>
      <c r="I439" s="30"/>
      <c r="J439" s="3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"/>
      <c r="AV439" s="3"/>
      <c r="AW439" s="3"/>
      <c r="AX439" s="3"/>
      <c r="AY439" s="3"/>
      <c r="AZ439" s="3"/>
      <c r="BA439" s="3"/>
    </row>
    <row r="440" ht="12.75" spans="1:53">
      <c r="A440" s="3"/>
      <c r="B440" s="3"/>
      <c r="C440" s="3"/>
      <c r="D440" s="30"/>
      <c r="E440" s="30"/>
      <c r="F440" s="30"/>
      <c r="G440" s="30"/>
      <c r="H440" s="30"/>
      <c r="I440" s="30"/>
      <c r="J440" s="3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"/>
      <c r="AV440" s="3"/>
      <c r="AW440" s="3"/>
      <c r="AX440" s="3"/>
      <c r="AY440" s="3"/>
      <c r="AZ440" s="3"/>
      <c r="BA440" s="3"/>
    </row>
    <row r="441" ht="12.75" spans="1:53">
      <c r="A441" s="3"/>
      <c r="B441" s="3"/>
      <c r="C441" s="3"/>
      <c r="D441" s="30"/>
      <c r="E441" s="30"/>
      <c r="F441" s="30"/>
      <c r="G441" s="30"/>
      <c r="H441" s="30"/>
      <c r="I441" s="30"/>
      <c r="J441" s="3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"/>
      <c r="AV441" s="3"/>
      <c r="AW441" s="3"/>
      <c r="AX441" s="3"/>
      <c r="AY441" s="3"/>
      <c r="AZ441" s="3"/>
      <c r="BA441" s="3"/>
    </row>
    <row r="442" ht="12.75" spans="1:53">
      <c r="A442" s="3"/>
      <c r="B442" s="3"/>
      <c r="C442" s="3"/>
      <c r="D442" s="30"/>
      <c r="E442" s="30"/>
      <c r="F442" s="30"/>
      <c r="G442" s="30"/>
      <c r="H442" s="30"/>
      <c r="I442" s="30"/>
      <c r="J442" s="3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"/>
      <c r="AV442" s="3"/>
      <c r="AW442" s="3"/>
      <c r="AX442" s="3"/>
      <c r="AY442" s="3"/>
      <c r="AZ442" s="3"/>
      <c r="BA442" s="3"/>
    </row>
    <row r="443" ht="12.75" spans="1:53">
      <c r="A443" s="3"/>
      <c r="B443" s="3"/>
      <c r="C443" s="3"/>
      <c r="D443" s="30"/>
      <c r="E443" s="30"/>
      <c r="F443" s="30"/>
      <c r="G443" s="30"/>
      <c r="H443" s="30"/>
      <c r="I443" s="30"/>
      <c r="J443" s="3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"/>
      <c r="AV443" s="3"/>
      <c r="AW443" s="3"/>
      <c r="AX443" s="3"/>
      <c r="AY443" s="3"/>
      <c r="AZ443" s="3"/>
      <c r="BA443" s="3"/>
    </row>
    <row r="444" ht="12.75" spans="1:53">
      <c r="A444" s="3"/>
      <c r="B444" s="3"/>
      <c r="C444" s="3"/>
      <c r="D444" s="30"/>
      <c r="E444" s="30"/>
      <c r="F444" s="30"/>
      <c r="G444" s="30"/>
      <c r="H444" s="30"/>
      <c r="I444" s="30"/>
      <c r="J444" s="3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"/>
      <c r="AV444" s="3"/>
      <c r="AW444" s="3"/>
      <c r="AX444" s="3"/>
      <c r="AY444" s="3"/>
      <c r="AZ444" s="3"/>
      <c r="BA444" s="3"/>
    </row>
    <row r="445" ht="12.75" spans="1:53">
      <c r="A445" s="3"/>
      <c r="B445" s="3"/>
      <c r="C445" s="3"/>
      <c r="D445" s="30"/>
      <c r="E445" s="30"/>
      <c r="F445" s="30"/>
      <c r="G445" s="30"/>
      <c r="H445" s="30"/>
      <c r="I445" s="30"/>
      <c r="J445" s="3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"/>
      <c r="AV445" s="3"/>
      <c r="AW445" s="3"/>
      <c r="AX445" s="3"/>
      <c r="AY445" s="3"/>
      <c r="AZ445" s="3"/>
      <c r="BA445" s="3"/>
    </row>
    <row r="446" ht="12.75" spans="1:53">
      <c r="A446" s="3"/>
      <c r="B446" s="3"/>
      <c r="C446" s="3"/>
      <c r="D446" s="30"/>
      <c r="E446" s="30"/>
      <c r="F446" s="30"/>
      <c r="G446" s="30"/>
      <c r="H446" s="30"/>
      <c r="I446" s="30"/>
      <c r="J446" s="3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"/>
      <c r="AV446" s="3"/>
      <c r="AW446" s="3"/>
      <c r="AX446" s="3"/>
      <c r="AY446" s="3"/>
      <c r="AZ446" s="3"/>
      <c r="BA446" s="3"/>
    </row>
    <row r="447" ht="12.75" spans="1:53">
      <c r="A447" s="3"/>
      <c r="B447" s="3"/>
      <c r="C447" s="3"/>
      <c r="D447" s="30"/>
      <c r="E447" s="30"/>
      <c r="F447" s="30"/>
      <c r="G447" s="30"/>
      <c r="H447" s="30"/>
      <c r="I447" s="30"/>
      <c r="J447" s="3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"/>
      <c r="AV447" s="3"/>
      <c r="AW447" s="3"/>
      <c r="AX447" s="3"/>
      <c r="AY447" s="3"/>
      <c r="AZ447" s="3"/>
      <c r="BA447" s="3"/>
    </row>
    <row r="448" ht="12.75" spans="1:53">
      <c r="A448" s="3"/>
      <c r="B448" s="3"/>
      <c r="C448" s="3"/>
      <c r="D448" s="30"/>
      <c r="E448" s="30"/>
      <c r="F448" s="30"/>
      <c r="G448" s="30"/>
      <c r="H448" s="30"/>
      <c r="I448" s="30"/>
      <c r="J448" s="3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"/>
      <c r="AV448" s="3"/>
      <c r="AW448" s="3"/>
      <c r="AX448" s="3"/>
      <c r="AY448" s="3"/>
      <c r="AZ448" s="3"/>
      <c r="BA448" s="3"/>
    </row>
    <row r="449" ht="12.75" spans="1:53">
      <c r="A449" s="3"/>
      <c r="B449" s="3"/>
      <c r="C449" s="3"/>
      <c r="D449" s="30"/>
      <c r="E449" s="30"/>
      <c r="F449" s="30"/>
      <c r="G449" s="30"/>
      <c r="H449" s="30"/>
      <c r="I449" s="30"/>
      <c r="J449" s="3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"/>
      <c r="AV449" s="3"/>
      <c r="AW449" s="3"/>
      <c r="AX449" s="3"/>
      <c r="AY449" s="3"/>
      <c r="AZ449" s="3"/>
      <c r="BA449" s="3"/>
    </row>
    <row r="450" ht="12.75" spans="1:53">
      <c r="A450" s="3"/>
      <c r="B450" s="3"/>
      <c r="C450" s="3"/>
      <c r="D450" s="30"/>
      <c r="E450" s="30"/>
      <c r="F450" s="30"/>
      <c r="G450" s="30"/>
      <c r="H450" s="30"/>
      <c r="I450" s="30"/>
      <c r="J450" s="3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"/>
      <c r="AV450" s="3"/>
      <c r="AW450" s="3"/>
      <c r="AX450" s="3"/>
      <c r="AY450" s="3"/>
      <c r="AZ450" s="3"/>
      <c r="BA450" s="3"/>
    </row>
    <row r="451" ht="12.75" spans="1:53">
      <c r="A451" s="3"/>
      <c r="B451" s="3"/>
      <c r="C451" s="3"/>
      <c r="D451" s="30"/>
      <c r="E451" s="30"/>
      <c r="F451" s="30"/>
      <c r="G451" s="30"/>
      <c r="H451" s="30"/>
      <c r="I451" s="30"/>
      <c r="J451" s="3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"/>
      <c r="AV451" s="3"/>
      <c r="AW451" s="3"/>
      <c r="AX451" s="3"/>
      <c r="AY451" s="3"/>
      <c r="AZ451" s="3"/>
      <c r="BA451" s="3"/>
    </row>
    <row r="452" ht="12.75" spans="1:53">
      <c r="A452" s="3"/>
      <c r="B452" s="3"/>
      <c r="C452" s="3"/>
      <c r="D452" s="30"/>
      <c r="E452" s="30"/>
      <c r="F452" s="30"/>
      <c r="G452" s="30"/>
      <c r="H452" s="30"/>
      <c r="I452" s="30"/>
      <c r="J452" s="3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"/>
      <c r="AV452" s="3"/>
      <c r="AW452" s="3"/>
      <c r="AX452" s="3"/>
      <c r="AY452" s="3"/>
      <c r="AZ452" s="3"/>
      <c r="BA452" s="3"/>
    </row>
    <row r="453" ht="12.75" spans="1:53">
      <c r="A453" s="3"/>
      <c r="B453" s="3"/>
      <c r="C453" s="3"/>
      <c r="D453" s="30"/>
      <c r="E453" s="30"/>
      <c r="F453" s="30"/>
      <c r="G453" s="30"/>
      <c r="H453" s="30"/>
      <c r="I453" s="30"/>
      <c r="J453" s="3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"/>
      <c r="AV453" s="3"/>
      <c r="AW453" s="3"/>
      <c r="AX453" s="3"/>
      <c r="AY453" s="3"/>
      <c r="AZ453" s="3"/>
      <c r="BA453" s="3"/>
    </row>
    <row r="454" ht="12.75" spans="1:53">
      <c r="A454" s="3"/>
      <c r="B454" s="3"/>
      <c r="C454" s="3"/>
      <c r="D454" s="30"/>
      <c r="E454" s="30"/>
      <c r="F454" s="30"/>
      <c r="G454" s="30"/>
      <c r="H454" s="30"/>
      <c r="I454" s="30"/>
      <c r="J454" s="3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"/>
      <c r="AV454" s="3"/>
      <c r="AW454" s="3"/>
      <c r="AX454" s="3"/>
      <c r="AY454" s="3"/>
      <c r="AZ454" s="3"/>
      <c r="BA454" s="3"/>
    </row>
    <row r="455" ht="12.75" spans="1:53">
      <c r="A455" s="3"/>
      <c r="B455" s="3"/>
      <c r="C455" s="3"/>
      <c r="D455" s="30"/>
      <c r="E455" s="30"/>
      <c r="F455" s="30"/>
      <c r="G455" s="30"/>
      <c r="H455" s="30"/>
      <c r="I455" s="30"/>
      <c r="J455" s="3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"/>
      <c r="AV455" s="3"/>
      <c r="AW455" s="3"/>
      <c r="AX455" s="3"/>
      <c r="AY455" s="3"/>
      <c r="AZ455" s="3"/>
      <c r="BA455" s="3"/>
    </row>
    <row r="456" ht="12.75" spans="1:53">
      <c r="A456" s="3"/>
      <c r="B456" s="3"/>
      <c r="C456" s="3"/>
      <c r="D456" s="30"/>
      <c r="E456" s="30"/>
      <c r="F456" s="30"/>
      <c r="G456" s="30"/>
      <c r="H456" s="30"/>
      <c r="I456" s="30"/>
      <c r="J456" s="3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"/>
      <c r="AV456" s="3"/>
      <c r="AW456" s="3"/>
      <c r="AX456" s="3"/>
      <c r="AY456" s="3"/>
      <c r="AZ456" s="3"/>
      <c r="BA456" s="3"/>
    </row>
    <row r="457" ht="12.75" spans="1:53">
      <c r="A457" s="3"/>
      <c r="B457" s="3"/>
      <c r="C457" s="3"/>
      <c r="D457" s="30"/>
      <c r="E457" s="30"/>
      <c r="F457" s="30"/>
      <c r="G457" s="30"/>
      <c r="H457" s="30"/>
      <c r="I457" s="30"/>
      <c r="J457" s="3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"/>
      <c r="AV457" s="3"/>
      <c r="AW457" s="3"/>
      <c r="AX457" s="3"/>
      <c r="AY457" s="3"/>
      <c r="AZ457" s="3"/>
      <c r="BA457" s="3"/>
    </row>
    <row r="458" ht="12.75" spans="1:53">
      <c r="A458" s="3"/>
      <c r="B458" s="3"/>
      <c r="C458" s="3"/>
      <c r="D458" s="30"/>
      <c r="E458" s="30"/>
      <c r="F458" s="30"/>
      <c r="G458" s="30"/>
      <c r="H458" s="30"/>
      <c r="I458" s="30"/>
      <c r="J458" s="3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"/>
      <c r="AV458" s="3"/>
      <c r="AW458" s="3"/>
      <c r="AX458" s="3"/>
      <c r="AY458" s="3"/>
      <c r="AZ458" s="3"/>
      <c r="BA458" s="3"/>
    </row>
    <row r="459" ht="12.75" spans="1:53">
      <c r="A459" s="3"/>
      <c r="B459" s="3"/>
      <c r="C459" s="3"/>
      <c r="D459" s="30"/>
      <c r="E459" s="30"/>
      <c r="F459" s="30"/>
      <c r="G459" s="30"/>
      <c r="H459" s="30"/>
      <c r="I459" s="30"/>
      <c r="J459" s="3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"/>
      <c r="AV459" s="3"/>
      <c r="AW459" s="3"/>
      <c r="AX459" s="3"/>
      <c r="AY459" s="3"/>
      <c r="AZ459" s="3"/>
      <c r="BA459" s="3"/>
    </row>
    <row r="460" ht="12.75" spans="1:53">
      <c r="A460" s="3"/>
      <c r="B460" s="3"/>
      <c r="C460" s="3"/>
      <c r="D460" s="30"/>
      <c r="E460" s="30"/>
      <c r="F460" s="30"/>
      <c r="G460" s="30"/>
      <c r="H460" s="30"/>
      <c r="I460" s="30"/>
      <c r="J460" s="3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"/>
      <c r="AV460" s="3"/>
      <c r="AW460" s="3"/>
      <c r="AX460" s="3"/>
      <c r="AY460" s="3"/>
      <c r="AZ460" s="3"/>
      <c r="BA460" s="3"/>
    </row>
    <row r="461" ht="12.75" spans="1:53">
      <c r="A461" s="3"/>
      <c r="B461" s="3"/>
      <c r="C461" s="3"/>
      <c r="D461" s="30"/>
      <c r="E461" s="30"/>
      <c r="F461" s="30"/>
      <c r="G461" s="30"/>
      <c r="H461" s="30"/>
      <c r="I461" s="30"/>
      <c r="J461" s="3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"/>
      <c r="AV461" s="3"/>
      <c r="AW461" s="3"/>
      <c r="AX461" s="3"/>
      <c r="AY461" s="3"/>
      <c r="AZ461" s="3"/>
      <c r="BA461" s="3"/>
    </row>
    <row r="462" ht="12.75" spans="1:53">
      <c r="A462" s="3"/>
      <c r="B462" s="3"/>
      <c r="C462" s="3"/>
      <c r="D462" s="30"/>
      <c r="E462" s="30"/>
      <c r="F462" s="30"/>
      <c r="G462" s="30"/>
      <c r="H462" s="30"/>
      <c r="I462" s="30"/>
      <c r="J462" s="3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"/>
      <c r="AV462" s="3"/>
      <c r="AW462" s="3"/>
      <c r="AX462" s="3"/>
      <c r="AY462" s="3"/>
      <c r="AZ462" s="3"/>
      <c r="BA462" s="3"/>
    </row>
    <row r="463" ht="12.75" spans="1:53">
      <c r="A463" s="3"/>
      <c r="B463" s="3"/>
      <c r="C463" s="3"/>
      <c r="D463" s="30"/>
      <c r="E463" s="30"/>
      <c r="F463" s="30"/>
      <c r="G463" s="30"/>
      <c r="H463" s="30"/>
      <c r="I463" s="30"/>
      <c r="J463" s="3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"/>
      <c r="AV463" s="3"/>
      <c r="AW463" s="3"/>
      <c r="AX463" s="3"/>
      <c r="AY463" s="3"/>
      <c r="AZ463" s="3"/>
      <c r="BA463" s="3"/>
    </row>
    <row r="464" ht="12.75" spans="1:53">
      <c r="A464" s="3"/>
      <c r="B464" s="3"/>
      <c r="C464" s="3"/>
      <c r="D464" s="30"/>
      <c r="E464" s="30"/>
      <c r="F464" s="30"/>
      <c r="G464" s="30"/>
      <c r="H464" s="30"/>
      <c r="I464" s="30"/>
      <c r="J464" s="3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"/>
      <c r="AV464" s="3"/>
      <c r="AW464" s="3"/>
      <c r="AX464" s="3"/>
      <c r="AY464" s="3"/>
      <c r="AZ464" s="3"/>
      <c r="BA464" s="3"/>
    </row>
    <row r="465" ht="12.75" spans="1:53">
      <c r="A465" s="3"/>
      <c r="B465" s="3"/>
      <c r="C465" s="3"/>
      <c r="D465" s="30"/>
      <c r="E465" s="30"/>
      <c r="F465" s="30"/>
      <c r="G465" s="30"/>
      <c r="H465" s="30"/>
      <c r="I465" s="30"/>
      <c r="J465" s="3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"/>
      <c r="AV465" s="3"/>
      <c r="AW465" s="3"/>
      <c r="AX465" s="3"/>
      <c r="AY465" s="3"/>
      <c r="AZ465" s="3"/>
      <c r="BA465" s="3"/>
    </row>
    <row r="466" ht="12.75" spans="1:53">
      <c r="A466" s="3"/>
      <c r="B466" s="3"/>
      <c r="C466" s="3"/>
      <c r="D466" s="30"/>
      <c r="E466" s="30"/>
      <c r="F466" s="30"/>
      <c r="G466" s="30"/>
      <c r="H466" s="30"/>
      <c r="I466" s="30"/>
      <c r="J466" s="3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"/>
      <c r="AV466" s="3"/>
      <c r="AW466" s="3"/>
      <c r="AX466" s="3"/>
      <c r="AY466" s="3"/>
      <c r="AZ466" s="3"/>
      <c r="BA466" s="3"/>
    </row>
    <row r="467" ht="12.75" spans="1:53">
      <c r="A467" s="3"/>
      <c r="B467" s="3"/>
      <c r="C467" s="3"/>
      <c r="D467" s="30"/>
      <c r="E467" s="30"/>
      <c r="F467" s="30"/>
      <c r="G467" s="30"/>
      <c r="H467" s="30"/>
      <c r="I467" s="30"/>
      <c r="J467" s="3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"/>
      <c r="AV467" s="3"/>
      <c r="AW467" s="3"/>
      <c r="AX467" s="3"/>
      <c r="AY467" s="3"/>
      <c r="AZ467" s="3"/>
      <c r="BA467" s="3"/>
    </row>
    <row r="468" ht="12.75" spans="1:53">
      <c r="A468" s="3"/>
      <c r="B468" s="3"/>
      <c r="C468" s="3"/>
      <c r="D468" s="30"/>
      <c r="E468" s="30"/>
      <c r="F468" s="30"/>
      <c r="G468" s="30"/>
      <c r="H468" s="30"/>
      <c r="I468" s="30"/>
      <c r="J468" s="3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"/>
      <c r="AV468" s="3"/>
      <c r="AW468" s="3"/>
      <c r="AX468" s="3"/>
      <c r="AY468" s="3"/>
      <c r="AZ468" s="3"/>
      <c r="BA468" s="3"/>
    </row>
    <row r="469" ht="12.75" spans="1:53">
      <c r="A469" s="3"/>
      <c r="B469" s="3"/>
      <c r="C469" s="3"/>
      <c r="D469" s="30"/>
      <c r="E469" s="30"/>
      <c r="F469" s="30"/>
      <c r="G469" s="30"/>
      <c r="H469" s="30"/>
      <c r="I469" s="30"/>
      <c r="J469" s="3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"/>
      <c r="AV469" s="3"/>
      <c r="AW469" s="3"/>
      <c r="AX469" s="3"/>
      <c r="AY469" s="3"/>
      <c r="AZ469" s="3"/>
      <c r="BA469" s="3"/>
    </row>
    <row r="470" ht="12.75" spans="1:53">
      <c r="A470" s="3"/>
      <c r="B470" s="3"/>
      <c r="C470" s="3"/>
      <c r="D470" s="30"/>
      <c r="E470" s="30"/>
      <c r="F470" s="30"/>
      <c r="G470" s="30"/>
      <c r="H470" s="30"/>
      <c r="I470" s="30"/>
      <c r="J470" s="3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"/>
      <c r="AV470" s="3"/>
      <c r="AW470" s="3"/>
      <c r="AX470" s="3"/>
      <c r="AY470" s="3"/>
      <c r="AZ470" s="3"/>
      <c r="BA470" s="3"/>
    </row>
    <row r="471" ht="12.75" spans="1:53">
      <c r="A471" s="3"/>
      <c r="B471" s="3"/>
      <c r="C471" s="3"/>
      <c r="D471" s="30"/>
      <c r="E471" s="30"/>
      <c r="F471" s="30"/>
      <c r="G471" s="30"/>
      <c r="H471" s="30"/>
      <c r="I471" s="30"/>
      <c r="J471" s="3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"/>
      <c r="AV471" s="3"/>
      <c r="AW471" s="3"/>
      <c r="AX471" s="3"/>
      <c r="AY471" s="3"/>
      <c r="AZ471" s="3"/>
      <c r="BA471" s="3"/>
    </row>
    <row r="472" ht="12.75" spans="1:53">
      <c r="A472" s="3"/>
      <c r="B472" s="3"/>
      <c r="C472" s="3"/>
      <c r="D472" s="30"/>
      <c r="E472" s="30"/>
      <c r="F472" s="30"/>
      <c r="G472" s="30"/>
      <c r="H472" s="30"/>
      <c r="I472" s="30"/>
      <c r="J472" s="3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"/>
      <c r="AV472" s="3"/>
      <c r="AW472" s="3"/>
      <c r="AX472" s="3"/>
      <c r="AY472" s="3"/>
      <c r="AZ472" s="3"/>
      <c r="BA472" s="3"/>
    </row>
    <row r="473" ht="12.75" spans="1:53">
      <c r="A473" s="3"/>
      <c r="B473" s="3"/>
      <c r="C473" s="3"/>
      <c r="D473" s="30"/>
      <c r="E473" s="30"/>
      <c r="F473" s="30"/>
      <c r="G473" s="30"/>
      <c r="H473" s="30"/>
      <c r="I473" s="30"/>
      <c r="J473" s="3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"/>
      <c r="AV473" s="3"/>
      <c r="AW473" s="3"/>
      <c r="AX473" s="3"/>
      <c r="AY473" s="3"/>
      <c r="AZ473" s="3"/>
      <c r="BA473" s="3"/>
    </row>
    <row r="474" ht="12.75" spans="1:53">
      <c r="A474" s="3"/>
      <c r="B474" s="3"/>
      <c r="C474" s="3"/>
      <c r="D474" s="30"/>
      <c r="E474" s="30"/>
      <c r="F474" s="30"/>
      <c r="G474" s="30"/>
      <c r="H474" s="30"/>
      <c r="I474" s="30"/>
      <c r="J474" s="3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"/>
      <c r="AV474" s="3"/>
      <c r="AW474" s="3"/>
      <c r="AX474" s="3"/>
      <c r="AY474" s="3"/>
      <c r="AZ474" s="3"/>
      <c r="BA474" s="3"/>
    </row>
    <row r="475" ht="12.75" spans="1:53">
      <c r="A475" s="3"/>
      <c r="B475" s="3"/>
      <c r="C475" s="3"/>
      <c r="D475" s="30"/>
      <c r="E475" s="30"/>
      <c r="F475" s="30"/>
      <c r="G475" s="30"/>
      <c r="H475" s="30"/>
      <c r="I475" s="30"/>
      <c r="J475" s="3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"/>
      <c r="AV475" s="3"/>
      <c r="AW475" s="3"/>
      <c r="AX475" s="3"/>
      <c r="AY475" s="3"/>
      <c r="AZ475" s="3"/>
      <c r="BA475" s="3"/>
    </row>
    <row r="476" ht="12.75" spans="1:53">
      <c r="A476" s="3"/>
      <c r="B476" s="3"/>
      <c r="C476" s="3"/>
      <c r="D476" s="30"/>
      <c r="E476" s="30"/>
      <c r="F476" s="30"/>
      <c r="G476" s="30"/>
      <c r="H476" s="30"/>
      <c r="I476" s="30"/>
      <c r="J476" s="3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"/>
      <c r="AV476" s="3"/>
      <c r="AW476" s="3"/>
      <c r="AX476" s="3"/>
      <c r="AY476" s="3"/>
      <c r="AZ476" s="3"/>
      <c r="BA476" s="3"/>
    </row>
    <row r="477" ht="12.75" spans="1:53">
      <c r="A477" s="3"/>
      <c r="B477" s="3"/>
      <c r="C477" s="3"/>
      <c r="D477" s="30"/>
      <c r="E477" s="30"/>
      <c r="F477" s="30"/>
      <c r="G477" s="30"/>
      <c r="H477" s="30"/>
      <c r="I477" s="30"/>
      <c r="J477" s="3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"/>
      <c r="AV477" s="3"/>
      <c r="AW477" s="3"/>
      <c r="AX477" s="3"/>
      <c r="AY477" s="3"/>
      <c r="AZ477" s="3"/>
      <c r="BA477" s="3"/>
    </row>
    <row r="478" ht="12.75" spans="1:53">
      <c r="A478" s="3"/>
      <c r="B478" s="3"/>
      <c r="C478" s="3"/>
      <c r="D478" s="30"/>
      <c r="E478" s="30"/>
      <c r="F478" s="30"/>
      <c r="G478" s="30"/>
      <c r="H478" s="30"/>
      <c r="I478" s="30"/>
      <c r="J478" s="3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"/>
      <c r="AV478" s="3"/>
      <c r="AW478" s="3"/>
      <c r="AX478" s="3"/>
      <c r="AY478" s="3"/>
      <c r="AZ478" s="3"/>
      <c r="BA478" s="3"/>
    </row>
    <row r="479" ht="12.75" spans="1:53">
      <c r="A479" s="3"/>
      <c r="B479" s="3"/>
      <c r="C479" s="3"/>
      <c r="D479" s="30"/>
      <c r="E479" s="30"/>
      <c r="F479" s="30"/>
      <c r="G479" s="30"/>
      <c r="H479" s="30"/>
      <c r="I479" s="30"/>
      <c r="J479" s="3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"/>
      <c r="AV479" s="3"/>
      <c r="AW479" s="3"/>
      <c r="AX479" s="3"/>
      <c r="AY479" s="3"/>
      <c r="AZ479" s="3"/>
      <c r="BA479" s="3"/>
    </row>
    <row r="480" ht="12.75" spans="1:53">
      <c r="A480" s="3"/>
      <c r="B480" s="3"/>
      <c r="C480" s="3"/>
      <c r="D480" s="30"/>
      <c r="E480" s="30"/>
      <c r="F480" s="30"/>
      <c r="G480" s="30"/>
      <c r="H480" s="30"/>
      <c r="I480" s="30"/>
      <c r="J480" s="3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"/>
      <c r="AV480" s="3"/>
      <c r="AW480" s="3"/>
      <c r="AX480" s="3"/>
      <c r="AY480" s="3"/>
      <c r="AZ480" s="3"/>
      <c r="BA480" s="3"/>
    </row>
    <row r="481" ht="12.75" spans="1:53">
      <c r="A481" s="3"/>
      <c r="B481" s="3"/>
      <c r="C481" s="3"/>
      <c r="D481" s="30"/>
      <c r="E481" s="30"/>
      <c r="F481" s="30"/>
      <c r="G481" s="30"/>
      <c r="H481" s="30"/>
      <c r="I481" s="30"/>
      <c r="J481" s="3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"/>
      <c r="AV481" s="3"/>
      <c r="AW481" s="3"/>
      <c r="AX481" s="3"/>
      <c r="AY481" s="3"/>
      <c r="AZ481" s="3"/>
      <c r="BA481" s="3"/>
    </row>
    <row r="482" ht="12.75" spans="1:53">
      <c r="A482" s="3"/>
      <c r="B482" s="3"/>
      <c r="C482" s="3"/>
      <c r="D482" s="30"/>
      <c r="E482" s="30"/>
      <c r="F482" s="30"/>
      <c r="G482" s="30"/>
      <c r="H482" s="30"/>
      <c r="I482" s="30"/>
      <c r="J482" s="3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"/>
      <c r="AV482" s="3"/>
      <c r="AW482" s="3"/>
      <c r="AX482" s="3"/>
      <c r="AY482" s="3"/>
      <c r="AZ482" s="3"/>
      <c r="BA482" s="3"/>
    </row>
    <row r="483" ht="12.75" spans="1:53">
      <c r="A483" s="3"/>
      <c r="B483" s="3"/>
      <c r="C483" s="3"/>
      <c r="D483" s="30"/>
      <c r="E483" s="30"/>
      <c r="F483" s="30"/>
      <c r="G483" s="30"/>
      <c r="H483" s="30"/>
      <c r="I483" s="30"/>
      <c r="J483" s="3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"/>
      <c r="AV483" s="3"/>
      <c r="AW483" s="3"/>
      <c r="AX483" s="3"/>
      <c r="AY483" s="3"/>
      <c r="AZ483" s="3"/>
      <c r="BA483" s="3"/>
    </row>
    <row r="484" ht="12.75" spans="1:53">
      <c r="A484" s="3"/>
      <c r="B484" s="3"/>
      <c r="C484" s="3"/>
      <c r="D484" s="30"/>
      <c r="E484" s="30"/>
      <c r="F484" s="30"/>
      <c r="G484" s="30"/>
      <c r="H484" s="30"/>
      <c r="I484" s="30"/>
      <c r="J484" s="3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"/>
      <c r="AV484" s="3"/>
      <c r="AW484" s="3"/>
      <c r="AX484" s="3"/>
      <c r="AY484" s="3"/>
      <c r="AZ484" s="3"/>
      <c r="BA484" s="3"/>
    </row>
    <row r="485" ht="12.75" spans="1:53">
      <c r="A485" s="3"/>
      <c r="B485" s="3"/>
      <c r="C485" s="3"/>
      <c r="D485" s="30"/>
      <c r="E485" s="30"/>
      <c r="F485" s="30"/>
      <c r="G485" s="30"/>
      <c r="H485" s="30"/>
      <c r="I485" s="30"/>
      <c r="J485" s="3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"/>
      <c r="AV485" s="3"/>
      <c r="AW485" s="3"/>
      <c r="AX485" s="3"/>
      <c r="AY485" s="3"/>
      <c r="AZ485" s="3"/>
      <c r="BA485" s="3"/>
    </row>
    <row r="486" ht="12.75" spans="1:53">
      <c r="A486" s="3"/>
      <c r="B486" s="3"/>
      <c r="C486" s="3"/>
      <c r="D486" s="30"/>
      <c r="E486" s="30"/>
      <c r="F486" s="30"/>
      <c r="G486" s="30"/>
      <c r="H486" s="30"/>
      <c r="I486" s="30"/>
      <c r="J486" s="3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"/>
      <c r="AV486" s="3"/>
      <c r="AW486" s="3"/>
      <c r="AX486" s="3"/>
      <c r="AY486" s="3"/>
      <c r="AZ486" s="3"/>
      <c r="BA486" s="3"/>
    </row>
    <row r="487" ht="12.75" spans="1:53">
      <c r="A487" s="3"/>
      <c r="B487" s="3"/>
      <c r="C487" s="3"/>
      <c r="D487" s="30"/>
      <c r="E487" s="30"/>
      <c r="F487" s="30"/>
      <c r="G487" s="30"/>
      <c r="H487" s="30"/>
      <c r="I487" s="30"/>
      <c r="J487" s="3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"/>
      <c r="AV487" s="3"/>
      <c r="AW487" s="3"/>
      <c r="AX487" s="3"/>
      <c r="AY487" s="3"/>
      <c r="AZ487" s="3"/>
      <c r="BA487" s="3"/>
    </row>
    <row r="488" ht="12.75" spans="1:53">
      <c r="A488" s="3"/>
      <c r="B488" s="3"/>
      <c r="C488" s="3"/>
      <c r="D488" s="30"/>
      <c r="E488" s="30"/>
      <c r="F488" s="30"/>
      <c r="G488" s="30"/>
      <c r="H488" s="30"/>
      <c r="I488" s="30"/>
      <c r="J488" s="3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"/>
      <c r="AV488" s="3"/>
      <c r="AW488" s="3"/>
      <c r="AX488" s="3"/>
      <c r="AY488" s="3"/>
      <c r="AZ488" s="3"/>
      <c r="BA488" s="3"/>
    </row>
    <row r="489" ht="12.75" spans="1:53">
      <c r="A489" s="3"/>
      <c r="B489" s="3"/>
      <c r="C489" s="3"/>
      <c r="D489" s="30"/>
      <c r="E489" s="30"/>
      <c r="F489" s="30"/>
      <c r="G489" s="30"/>
      <c r="H489" s="30"/>
      <c r="I489" s="30"/>
      <c r="J489" s="3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"/>
      <c r="AV489" s="3"/>
      <c r="AW489" s="3"/>
      <c r="AX489" s="3"/>
      <c r="AY489" s="3"/>
      <c r="AZ489" s="3"/>
      <c r="BA489" s="3"/>
    </row>
    <row r="490" ht="12.75" spans="1:53">
      <c r="A490" s="3"/>
      <c r="B490" s="3"/>
      <c r="C490" s="3"/>
      <c r="D490" s="30"/>
      <c r="E490" s="30"/>
      <c r="F490" s="30"/>
      <c r="G490" s="30"/>
      <c r="H490" s="30"/>
      <c r="I490" s="30"/>
      <c r="J490" s="3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"/>
      <c r="AV490" s="3"/>
      <c r="AW490" s="3"/>
      <c r="AX490" s="3"/>
      <c r="AY490" s="3"/>
      <c r="AZ490" s="3"/>
      <c r="BA490" s="3"/>
    </row>
    <row r="491" ht="12.75" spans="1:53">
      <c r="A491" s="3"/>
      <c r="B491" s="3"/>
      <c r="C491" s="3"/>
      <c r="D491" s="30"/>
      <c r="E491" s="30"/>
      <c r="F491" s="30"/>
      <c r="G491" s="30"/>
      <c r="H491" s="30"/>
      <c r="I491" s="30"/>
      <c r="J491" s="3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"/>
      <c r="AV491" s="3"/>
      <c r="AW491" s="3"/>
      <c r="AX491" s="3"/>
      <c r="AY491" s="3"/>
      <c r="AZ491" s="3"/>
      <c r="BA491" s="3"/>
    </row>
    <row r="492" ht="12.75" spans="1:53">
      <c r="A492" s="3"/>
      <c r="B492" s="3"/>
      <c r="C492" s="3"/>
      <c r="D492" s="30"/>
      <c r="E492" s="30"/>
      <c r="F492" s="30"/>
      <c r="G492" s="30"/>
      <c r="H492" s="30"/>
      <c r="I492" s="30"/>
      <c r="J492" s="3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"/>
      <c r="AV492" s="3"/>
      <c r="AW492" s="3"/>
      <c r="AX492" s="3"/>
      <c r="AY492" s="3"/>
      <c r="AZ492" s="3"/>
      <c r="BA492" s="3"/>
    </row>
    <row r="493" ht="12.75" spans="1:53">
      <c r="A493" s="3"/>
      <c r="B493" s="3"/>
      <c r="C493" s="3"/>
      <c r="D493" s="30"/>
      <c r="E493" s="30"/>
      <c r="F493" s="30"/>
      <c r="G493" s="30"/>
      <c r="H493" s="30"/>
      <c r="I493" s="30"/>
      <c r="J493" s="3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"/>
      <c r="AV493" s="3"/>
      <c r="AW493" s="3"/>
      <c r="AX493" s="3"/>
      <c r="AY493" s="3"/>
      <c r="AZ493" s="3"/>
      <c r="BA493" s="3"/>
    </row>
    <row r="494" ht="12.75" spans="1:53">
      <c r="A494" s="3"/>
      <c r="B494" s="3"/>
      <c r="C494" s="3"/>
      <c r="D494" s="30"/>
      <c r="E494" s="30"/>
      <c r="F494" s="30"/>
      <c r="G494" s="30"/>
      <c r="H494" s="30"/>
      <c r="I494" s="30"/>
      <c r="J494" s="3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"/>
      <c r="AV494" s="3"/>
      <c r="AW494" s="3"/>
      <c r="AX494" s="3"/>
      <c r="AY494" s="3"/>
      <c r="AZ494" s="3"/>
      <c r="BA494" s="3"/>
    </row>
    <row r="495" ht="12.75" spans="1:53">
      <c r="A495" s="3"/>
      <c r="B495" s="3"/>
      <c r="C495" s="3"/>
      <c r="D495" s="30"/>
      <c r="E495" s="30"/>
      <c r="F495" s="30"/>
      <c r="G495" s="30"/>
      <c r="H495" s="30"/>
      <c r="I495" s="30"/>
      <c r="J495" s="3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"/>
      <c r="AV495" s="3"/>
      <c r="AW495" s="3"/>
      <c r="AX495" s="3"/>
      <c r="AY495" s="3"/>
      <c r="AZ495" s="3"/>
      <c r="BA495" s="3"/>
    </row>
    <row r="496" ht="12.75" spans="1:53">
      <c r="A496" s="3"/>
      <c r="B496" s="3"/>
      <c r="C496" s="3"/>
      <c r="D496" s="30"/>
      <c r="E496" s="30"/>
      <c r="F496" s="30"/>
      <c r="G496" s="30"/>
      <c r="H496" s="30"/>
      <c r="I496" s="30"/>
      <c r="J496" s="3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"/>
      <c r="AV496" s="3"/>
      <c r="AW496" s="3"/>
      <c r="AX496" s="3"/>
      <c r="AY496" s="3"/>
      <c r="AZ496" s="3"/>
      <c r="BA496" s="3"/>
    </row>
    <row r="497" ht="12.75" spans="1:53">
      <c r="A497" s="3"/>
      <c r="B497" s="3"/>
      <c r="C497" s="3"/>
      <c r="D497" s="30"/>
      <c r="E497" s="30"/>
      <c r="F497" s="30"/>
      <c r="G497" s="30"/>
      <c r="H497" s="30"/>
      <c r="I497" s="30"/>
      <c r="J497" s="3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"/>
      <c r="AV497" s="3"/>
      <c r="AW497" s="3"/>
      <c r="AX497" s="3"/>
      <c r="AY497" s="3"/>
      <c r="AZ497" s="3"/>
      <c r="BA497" s="3"/>
    </row>
    <row r="498" ht="12.75" spans="1:53">
      <c r="A498" s="3"/>
      <c r="B498" s="3"/>
      <c r="C498" s="3"/>
      <c r="D498" s="30"/>
      <c r="E498" s="30"/>
      <c r="F498" s="30"/>
      <c r="G498" s="30"/>
      <c r="H498" s="30"/>
      <c r="I498" s="30"/>
      <c r="J498" s="3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"/>
      <c r="AV498" s="3"/>
      <c r="AW498" s="3"/>
      <c r="AX498" s="3"/>
      <c r="AY498" s="3"/>
      <c r="AZ498" s="3"/>
      <c r="BA498" s="3"/>
    </row>
    <row r="499" ht="12.75" spans="1:53">
      <c r="A499" s="3"/>
      <c r="B499" s="3"/>
      <c r="C499" s="3"/>
      <c r="D499" s="30"/>
      <c r="E499" s="30"/>
      <c r="F499" s="30"/>
      <c r="G499" s="30"/>
      <c r="H499" s="30"/>
      <c r="I499" s="30"/>
      <c r="J499" s="3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"/>
      <c r="AV499" s="3"/>
      <c r="AW499" s="3"/>
      <c r="AX499" s="3"/>
      <c r="AY499" s="3"/>
      <c r="AZ499" s="3"/>
      <c r="BA499" s="3"/>
    </row>
    <row r="500" ht="12.75" spans="1:53">
      <c r="A500" s="3"/>
      <c r="B500" s="3"/>
      <c r="C500" s="3"/>
      <c r="D500" s="30"/>
      <c r="E500" s="30"/>
      <c r="F500" s="30"/>
      <c r="G500" s="30"/>
      <c r="H500" s="30"/>
      <c r="I500" s="30"/>
      <c r="J500" s="3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"/>
      <c r="AV500" s="3"/>
      <c r="AW500" s="3"/>
      <c r="AX500" s="3"/>
      <c r="AY500" s="3"/>
      <c r="AZ500" s="3"/>
      <c r="BA500" s="3"/>
    </row>
    <row r="501" ht="12.75" spans="1:53">
      <c r="A501" s="3"/>
      <c r="B501" s="3"/>
      <c r="C501" s="3"/>
      <c r="D501" s="30"/>
      <c r="E501" s="30"/>
      <c r="F501" s="30"/>
      <c r="G501" s="30"/>
      <c r="H501" s="30"/>
      <c r="I501" s="30"/>
      <c r="J501" s="3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"/>
      <c r="AV501" s="3"/>
      <c r="AW501" s="3"/>
      <c r="AX501" s="3"/>
      <c r="AY501" s="3"/>
      <c r="AZ501" s="3"/>
      <c r="BA501" s="3"/>
    </row>
    <row r="502" ht="12.75" spans="1:53">
      <c r="A502" s="3"/>
      <c r="B502" s="3"/>
      <c r="C502" s="3"/>
      <c r="D502" s="30"/>
      <c r="E502" s="30"/>
      <c r="F502" s="30"/>
      <c r="G502" s="30"/>
      <c r="H502" s="30"/>
      <c r="I502" s="30"/>
      <c r="J502" s="3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"/>
      <c r="AV502" s="3"/>
      <c r="AW502" s="3"/>
      <c r="AX502" s="3"/>
      <c r="AY502" s="3"/>
      <c r="AZ502" s="3"/>
      <c r="BA502" s="3"/>
    </row>
    <row r="503" ht="12.75" spans="1:53">
      <c r="A503" s="3"/>
      <c r="B503" s="3"/>
      <c r="C503" s="3"/>
      <c r="D503" s="30"/>
      <c r="E503" s="30"/>
      <c r="F503" s="30"/>
      <c r="G503" s="30"/>
      <c r="H503" s="30"/>
      <c r="I503" s="30"/>
      <c r="J503" s="3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"/>
      <c r="AV503" s="3"/>
      <c r="AW503" s="3"/>
      <c r="AX503" s="3"/>
      <c r="AY503" s="3"/>
      <c r="AZ503" s="3"/>
      <c r="BA503" s="3"/>
    </row>
    <row r="504" ht="12.75" spans="1:53">
      <c r="A504" s="3"/>
      <c r="B504" s="3"/>
      <c r="C504" s="3"/>
      <c r="D504" s="30"/>
      <c r="E504" s="30"/>
      <c r="F504" s="30"/>
      <c r="G504" s="30"/>
      <c r="H504" s="30"/>
      <c r="I504" s="30"/>
      <c r="J504" s="3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"/>
      <c r="AV504" s="3"/>
      <c r="AW504" s="3"/>
      <c r="AX504" s="3"/>
      <c r="AY504" s="3"/>
      <c r="AZ504" s="3"/>
      <c r="BA504" s="3"/>
    </row>
    <row r="505" ht="12.75" spans="1:53">
      <c r="A505" s="3"/>
      <c r="B505" s="3"/>
      <c r="C505" s="3"/>
      <c r="D505" s="30"/>
      <c r="E505" s="30"/>
      <c r="F505" s="30"/>
      <c r="G505" s="30"/>
      <c r="H505" s="30"/>
      <c r="I505" s="30"/>
      <c r="J505" s="3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"/>
      <c r="AV505" s="3"/>
      <c r="AW505" s="3"/>
      <c r="AX505" s="3"/>
      <c r="AY505" s="3"/>
      <c r="AZ505" s="3"/>
      <c r="BA505" s="3"/>
    </row>
    <row r="506" ht="12.75" spans="1:53">
      <c r="A506" s="3"/>
      <c r="B506" s="3"/>
      <c r="C506" s="3"/>
      <c r="D506" s="30"/>
      <c r="E506" s="30"/>
      <c r="F506" s="30"/>
      <c r="G506" s="30"/>
      <c r="H506" s="30"/>
      <c r="I506" s="30"/>
      <c r="J506" s="3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"/>
      <c r="AV506" s="3"/>
      <c r="AW506" s="3"/>
      <c r="AX506" s="3"/>
      <c r="AY506" s="3"/>
      <c r="AZ506" s="3"/>
      <c r="BA506" s="3"/>
    </row>
    <row r="507" ht="12.75" spans="1:53">
      <c r="A507" s="3"/>
      <c r="B507" s="3"/>
      <c r="C507" s="3"/>
      <c r="D507" s="30"/>
      <c r="E507" s="30"/>
      <c r="F507" s="30"/>
      <c r="G507" s="30"/>
      <c r="H507" s="30"/>
      <c r="I507" s="30"/>
      <c r="J507" s="3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"/>
      <c r="AV507" s="3"/>
      <c r="AW507" s="3"/>
      <c r="AX507" s="3"/>
      <c r="AY507" s="3"/>
      <c r="AZ507" s="3"/>
      <c r="BA507" s="3"/>
    </row>
    <row r="508" ht="12.75" spans="1:53">
      <c r="A508" s="3"/>
      <c r="B508" s="3"/>
      <c r="C508" s="3"/>
      <c r="D508" s="30"/>
      <c r="E508" s="30"/>
      <c r="F508" s="30"/>
      <c r="G508" s="30"/>
      <c r="H508" s="30"/>
      <c r="I508" s="30"/>
      <c r="J508" s="3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"/>
      <c r="AV508" s="3"/>
      <c r="AW508" s="3"/>
      <c r="AX508" s="3"/>
      <c r="AY508" s="3"/>
      <c r="AZ508" s="3"/>
      <c r="BA508" s="3"/>
    </row>
    <row r="509" ht="12.75" spans="1:53">
      <c r="A509" s="3"/>
      <c r="B509" s="3"/>
      <c r="C509" s="3"/>
      <c r="D509" s="30"/>
      <c r="E509" s="30"/>
      <c r="F509" s="30"/>
      <c r="G509" s="30"/>
      <c r="H509" s="30"/>
      <c r="I509" s="30"/>
      <c r="J509" s="3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"/>
      <c r="AV509" s="3"/>
      <c r="AW509" s="3"/>
      <c r="AX509" s="3"/>
      <c r="AY509" s="3"/>
      <c r="AZ509" s="3"/>
      <c r="BA509" s="3"/>
    </row>
    <row r="510" ht="12.75" spans="1:53">
      <c r="A510" s="3"/>
      <c r="B510" s="3"/>
      <c r="C510" s="3"/>
      <c r="D510" s="30"/>
      <c r="E510" s="30"/>
      <c r="F510" s="30"/>
      <c r="G510" s="30"/>
      <c r="H510" s="30"/>
      <c r="I510" s="30"/>
      <c r="J510" s="3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"/>
      <c r="AV510" s="3"/>
      <c r="AW510" s="3"/>
      <c r="AX510" s="3"/>
      <c r="AY510" s="3"/>
      <c r="AZ510" s="3"/>
      <c r="BA510" s="3"/>
    </row>
    <row r="511" ht="12.75" spans="1:53">
      <c r="A511" s="3"/>
      <c r="B511" s="3"/>
      <c r="C511" s="3"/>
      <c r="D511" s="30"/>
      <c r="E511" s="30"/>
      <c r="F511" s="30"/>
      <c r="G511" s="30"/>
      <c r="H511" s="30"/>
      <c r="I511" s="30"/>
      <c r="J511" s="3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"/>
      <c r="AV511" s="3"/>
      <c r="AW511" s="3"/>
      <c r="AX511" s="3"/>
      <c r="AY511" s="3"/>
      <c r="AZ511" s="3"/>
      <c r="BA511" s="3"/>
    </row>
    <row r="512" ht="12.75" spans="1:53">
      <c r="A512" s="3"/>
      <c r="B512" s="3"/>
      <c r="C512" s="3"/>
      <c r="D512" s="30"/>
      <c r="E512" s="30"/>
      <c r="F512" s="30"/>
      <c r="G512" s="30"/>
      <c r="H512" s="30"/>
      <c r="I512" s="30"/>
      <c r="J512" s="3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"/>
      <c r="AV512" s="3"/>
      <c r="AW512" s="3"/>
      <c r="AX512" s="3"/>
      <c r="AY512" s="3"/>
      <c r="AZ512" s="3"/>
      <c r="BA512" s="3"/>
    </row>
    <row r="513" ht="12.75" spans="1:53">
      <c r="A513" s="3"/>
      <c r="B513" s="3"/>
      <c r="C513" s="3"/>
      <c r="D513" s="30"/>
      <c r="E513" s="30"/>
      <c r="F513" s="30"/>
      <c r="G513" s="30"/>
      <c r="H513" s="30"/>
      <c r="I513" s="30"/>
      <c r="J513" s="3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"/>
      <c r="AV513" s="3"/>
      <c r="AW513" s="3"/>
      <c r="AX513" s="3"/>
      <c r="AY513" s="3"/>
      <c r="AZ513" s="3"/>
      <c r="BA513" s="3"/>
    </row>
    <row r="514" ht="12.75" spans="1:53">
      <c r="A514" s="3"/>
      <c r="B514" s="3"/>
      <c r="C514" s="3"/>
      <c r="D514" s="30"/>
      <c r="E514" s="30"/>
      <c r="F514" s="30"/>
      <c r="G514" s="30"/>
      <c r="H514" s="30"/>
      <c r="I514" s="30"/>
      <c r="J514" s="3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"/>
      <c r="AV514" s="3"/>
      <c r="AW514" s="3"/>
      <c r="AX514" s="3"/>
      <c r="AY514" s="3"/>
      <c r="AZ514" s="3"/>
      <c r="BA514" s="3"/>
    </row>
    <row r="515" ht="12.75" spans="1:53">
      <c r="A515" s="3"/>
      <c r="B515" s="3"/>
      <c r="C515" s="3"/>
      <c r="D515" s="30"/>
      <c r="E515" s="30"/>
      <c r="F515" s="30"/>
      <c r="G515" s="30"/>
      <c r="H515" s="30"/>
      <c r="I515" s="30"/>
      <c r="J515" s="3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"/>
      <c r="AV515" s="3"/>
      <c r="AW515" s="3"/>
      <c r="AX515" s="3"/>
      <c r="AY515" s="3"/>
      <c r="AZ515" s="3"/>
      <c r="BA515" s="3"/>
    </row>
    <row r="516" ht="12.75" spans="1:53">
      <c r="A516" s="3"/>
      <c r="B516" s="3"/>
      <c r="C516" s="3"/>
      <c r="D516" s="30"/>
      <c r="E516" s="30"/>
      <c r="F516" s="30"/>
      <c r="G516" s="30"/>
      <c r="H516" s="30"/>
      <c r="I516" s="30"/>
      <c r="J516" s="3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"/>
      <c r="AV516" s="3"/>
      <c r="AW516" s="3"/>
      <c r="AX516" s="3"/>
      <c r="AY516" s="3"/>
      <c r="AZ516" s="3"/>
      <c r="BA516" s="3"/>
    </row>
    <row r="517" ht="12.75" spans="1:53">
      <c r="A517" s="3"/>
      <c r="B517" s="3"/>
      <c r="C517" s="3"/>
      <c r="D517" s="30"/>
      <c r="E517" s="30"/>
      <c r="F517" s="30"/>
      <c r="G517" s="30"/>
      <c r="H517" s="30"/>
      <c r="I517" s="30"/>
      <c r="J517" s="3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"/>
      <c r="AV517" s="3"/>
      <c r="AW517" s="3"/>
      <c r="AX517" s="3"/>
      <c r="AY517" s="3"/>
      <c r="AZ517" s="3"/>
      <c r="BA517" s="3"/>
    </row>
    <row r="518" ht="12.75" spans="1:53">
      <c r="A518" s="3"/>
      <c r="B518" s="3"/>
      <c r="C518" s="3"/>
      <c r="D518" s="30"/>
      <c r="E518" s="30"/>
      <c r="F518" s="30"/>
      <c r="G518" s="30"/>
      <c r="H518" s="30"/>
      <c r="I518" s="30"/>
      <c r="J518" s="3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"/>
      <c r="AV518" s="3"/>
      <c r="AW518" s="3"/>
      <c r="AX518" s="3"/>
      <c r="AY518" s="3"/>
      <c r="AZ518" s="3"/>
      <c r="BA518" s="3"/>
    </row>
    <row r="519" ht="12.75" spans="1:53">
      <c r="A519" s="3"/>
      <c r="B519" s="3"/>
      <c r="C519" s="3"/>
      <c r="D519" s="30"/>
      <c r="E519" s="30"/>
      <c r="F519" s="30"/>
      <c r="G519" s="30"/>
      <c r="H519" s="30"/>
      <c r="I519" s="30"/>
      <c r="J519" s="3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"/>
      <c r="AV519" s="3"/>
      <c r="AW519" s="3"/>
      <c r="AX519" s="3"/>
      <c r="AY519" s="3"/>
      <c r="AZ519" s="3"/>
      <c r="BA519" s="3"/>
    </row>
    <row r="520" ht="12.75" spans="1:53">
      <c r="A520" s="3"/>
      <c r="B520" s="3"/>
      <c r="C520" s="3"/>
      <c r="D520" s="30"/>
      <c r="E520" s="30"/>
      <c r="F520" s="30"/>
      <c r="G520" s="30"/>
      <c r="H520" s="30"/>
      <c r="I520" s="30"/>
      <c r="J520" s="3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"/>
      <c r="AV520" s="3"/>
      <c r="AW520" s="3"/>
      <c r="AX520" s="3"/>
      <c r="AY520" s="3"/>
      <c r="AZ520" s="3"/>
      <c r="BA520" s="3"/>
    </row>
    <row r="521" ht="12.75" spans="1:53">
      <c r="A521" s="3"/>
      <c r="B521" s="3"/>
      <c r="C521" s="3"/>
      <c r="D521" s="30"/>
      <c r="E521" s="30"/>
      <c r="F521" s="30"/>
      <c r="G521" s="30"/>
      <c r="H521" s="30"/>
      <c r="I521" s="30"/>
      <c r="J521" s="3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"/>
      <c r="AV521" s="3"/>
      <c r="AW521" s="3"/>
      <c r="AX521" s="3"/>
      <c r="AY521" s="3"/>
      <c r="AZ521" s="3"/>
      <c r="BA521" s="3"/>
    </row>
    <row r="522" ht="12.75" spans="1:53">
      <c r="A522" s="3"/>
      <c r="B522" s="3"/>
      <c r="C522" s="3"/>
      <c r="D522" s="30"/>
      <c r="E522" s="30"/>
      <c r="F522" s="30"/>
      <c r="G522" s="30"/>
      <c r="H522" s="30"/>
      <c r="I522" s="30"/>
      <c r="J522" s="3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"/>
      <c r="AV522" s="3"/>
      <c r="AW522" s="3"/>
      <c r="AX522" s="3"/>
      <c r="AY522" s="3"/>
      <c r="AZ522" s="3"/>
      <c r="BA522" s="3"/>
    </row>
    <row r="523" ht="12.75" spans="1:53">
      <c r="A523" s="3"/>
      <c r="B523" s="3"/>
      <c r="C523" s="3"/>
      <c r="D523" s="30"/>
      <c r="E523" s="30"/>
      <c r="F523" s="30"/>
      <c r="G523" s="30"/>
      <c r="H523" s="30"/>
      <c r="I523" s="30"/>
      <c r="J523" s="3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"/>
      <c r="AV523" s="3"/>
      <c r="AW523" s="3"/>
      <c r="AX523" s="3"/>
      <c r="AY523" s="3"/>
      <c r="AZ523" s="3"/>
      <c r="BA523" s="3"/>
    </row>
    <row r="524" ht="12.75" spans="1:53">
      <c r="A524" s="3"/>
      <c r="B524" s="3"/>
      <c r="C524" s="3"/>
      <c r="D524" s="30"/>
      <c r="E524" s="30"/>
      <c r="F524" s="30"/>
      <c r="G524" s="30"/>
      <c r="H524" s="30"/>
      <c r="I524" s="30"/>
      <c r="J524" s="3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"/>
      <c r="AV524" s="3"/>
      <c r="AW524" s="3"/>
      <c r="AX524" s="3"/>
      <c r="AY524" s="3"/>
      <c r="AZ524" s="3"/>
      <c r="BA524" s="3"/>
    </row>
    <row r="525" ht="12.75" spans="1:53">
      <c r="A525" s="3"/>
      <c r="B525" s="3"/>
      <c r="C525" s="3"/>
      <c r="D525" s="30"/>
      <c r="E525" s="30"/>
      <c r="F525" s="30"/>
      <c r="G525" s="30"/>
      <c r="H525" s="30"/>
      <c r="I525" s="30"/>
      <c r="J525" s="3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"/>
      <c r="AV525" s="3"/>
      <c r="AW525" s="3"/>
      <c r="AX525" s="3"/>
      <c r="AY525" s="3"/>
      <c r="AZ525" s="3"/>
      <c r="BA525" s="3"/>
    </row>
    <row r="526" ht="12.75" spans="1:53">
      <c r="A526" s="3"/>
      <c r="B526" s="3"/>
      <c r="C526" s="3"/>
      <c r="D526" s="30"/>
      <c r="E526" s="30"/>
      <c r="F526" s="30"/>
      <c r="G526" s="30"/>
      <c r="H526" s="30"/>
      <c r="I526" s="30"/>
      <c r="J526" s="3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"/>
      <c r="AV526" s="3"/>
      <c r="AW526" s="3"/>
      <c r="AX526" s="3"/>
      <c r="AY526" s="3"/>
      <c r="AZ526" s="3"/>
      <c r="BA526" s="3"/>
    </row>
    <row r="527" ht="12.75" spans="1:53">
      <c r="A527" s="3"/>
      <c r="B527" s="3"/>
      <c r="C527" s="3"/>
      <c r="D527" s="30"/>
      <c r="E527" s="30"/>
      <c r="F527" s="30"/>
      <c r="G527" s="30"/>
      <c r="H527" s="30"/>
      <c r="I527" s="30"/>
      <c r="J527" s="3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"/>
      <c r="AV527" s="3"/>
      <c r="AW527" s="3"/>
      <c r="AX527" s="3"/>
      <c r="AY527" s="3"/>
      <c r="AZ527" s="3"/>
      <c r="BA527" s="3"/>
    </row>
    <row r="528" ht="12.75" spans="1:53">
      <c r="A528" s="3"/>
      <c r="B528" s="3"/>
      <c r="C528" s="3"/>
      <c r="D528" s="30"/>
      <c r="E528" s="30"/>
      <c r="F528" s="30"/>
      <c r="G528" s="30"/>
      <c r="H528" s="30"/>
      <c r="I528" s="30"/>
      <c r="J528" s="3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"/>
      <c r="AV528" s="3"/>
      <c r="AW528" s="3"/>
      <c r="AX528" s="3"/>
      <c r="AY528" s="3"/>
      <c r="AZ528" s="3"/>
      <c r="BA528" s="3"/>
    </row>
    <row r="529" ht="12.75" spans="1:53">
      <c r="A529" s="3"/>
      <c r="B529" s="3"/>
      <c r="C529" s="3"/>
      <c r="D529" s="30"/>
      <c r="E529" s="30"/>
      <c r="F529" s="30"/>
      <c r="G529" s="30"/>
      <c r="H529" s="30"/>
      <c r="I529" s="30"/>
      <c r="J529" s="3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"/>
      <c r="AV529" s="3"/>
      <c r="AW529" s="3"/>
      <c r="AX529" s="3"/>
      <c r="AY529" s="3"/>
      <c r="AZ529" s="3"/>
      <c r="BA529" s="3"/>
    </row>
    <row r="530" ht="12.75" spans="1:53">
      <c r="A530" s="3"/>
      <c r="B530" s="3"/>
      <c r="C530" s="3"/>
      <c r="D530" s="30"/>
      <c r="E530" s="30"/>
      <c r="F530" s="30"/>
      <c r="G530" s="30"/>
      <c r="H530" s="30"/>
      <c r="I530" s="30"/>
      <c r="J530" s="3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"/>
      <c r="AV530" s="3"/>
      <c r="AW530" s="3"/>
      <c r="AX530" s="3"/>
      <c r="AY530" s="3"/>
      <c r="AZ530" s="3"/>
      <c r="BA530" s="3"/>
    </row>
    <row r="531" ht="12.75" spans="1:53">
      <c r="A531" s="3"/>
      <c r="B531" s="3"/>
      <c r="C531" s="3"/>
      <c r="D531" s="30"/>
      <c r="E531" s="30"/>
      <c r="F531" s="30"/>
      <c r="G531" s="30"/>
      <c r="H531" s="30"/>
      <c r="I531" s="30"/>
      <c r="J531" s="3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"/>
      <c r="AV531" s="3"/>
      <c r="AW531" s="3"/>
      <c r="AX531" s="3"/>
      <c r="AY531" s="3"/>
      <c r="AZ531" s="3"/>
      <c r="BA531" s="3"/>
    </row>
    <row r="532" ht="12.75" spans="1:53">
      <c r="A532" s="3"/>
      <c r="B532" s="3"/>
      <c r="C532" s="3"/>
      <c r="D532" s="30"/>
      <c r="E532" s="30"/>
      <c r="F532" s="30"/>
      <c r="G532" s="30"/>
      <c r="H532" s="30"/>
      <c r="I532" s="30"/>
      <c r="J532" s="3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"/>
      <c r="AV532" s="3"/>
      <c r="AW532" s="3"/>
      <c r="AX532" s="3"/>
      <c r="AY532" s="3"/>
      <c r="AZ532" s="3"/>
      <c r="BA532" s="3"/>
    </row>
    <row r="533" ht="12.75" spans="1:53">
      <c r="A533" s="3"/>
      <c r="B533" s="3"/>
      <c r="C533" s="3"/>
      <c r="D533" s="30"/>
      <c r="E533" s="30"/>
      <c r="F533" s="30"/>
      <c r="G533" s="30"/>
      <c r="H533" s="30"/>
      <c r="I533" s="30"/>
      <c r="J533" s="3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"/>
      <c r="AV533" s="3"/>
      <c r="AW533" s="3"/>
      <c r="AX533" s="3"/>
      <c r="AY533" s="3"/>
      <c r="AZ533" s="3"/>
      <c r="BA533" s="3"/>
    </row>
    <row r="534" ht="12.75" spans="1:53">
      <c r="A534" s="3"/>
      <c r="B534" s="3"/>
      <c r="C534" s="3"/>
      <c r="D534" s="30"/>
      <c r="E534" s="30"/>
      <c r="F534" s="30"/>
      <c r="G534" s="30"/>
      <c r="H534" s="30"/>
      <c r="I534" s="30"/>
      <c r="J534" s="3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"/>
      <c r="AV534" s="3"/>
      <c r="AW534" s="3"/>
      <c r="AX534" s="3"/>
      <c r="AY534" s="3"/>
      <c r="AZ534" s="3"/>
      <c r="BA534" s="3"/>
    </row>
    <row r="535" ht="12.75" spans="1:53">
      <c r="A535" s="3"/>
      <c r="B535" s="3"/>
      <c r="C535" s="3"/>
      <c r="D535" s="30"/>
      <c r="E535" s="30"/>
      <c r="F535" s="30"/>
      <c r="G535" s="30"/>
      <c r="H535" s="30"/>
      <c r="I535" s="30"/>
      <c r="J535" s="3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"/>
      <c r="AV535" s="3"/>
      <c r="AW535" s="3"/>
      <c r="AX535" s="3"/>
      <c r="AY535" s="3"/>
      <c r="AZ535" s="3"/>
      <c r="BA535" s="3"/>
    </row>
    <row r="536" ht="12.75" spans="1:53">
      <c r="A536" s="3"/>
      <c r="B536" s="3"/>
      <c r="C536" s="3"/>
      <c r="D536" s="30"/>
      <c r="E536" s="30"/>
      <c r="F536" s="30"/>
      <c r="G536" s="30"/>
      <c r="H536" s="30"/>
      <c r="I536" s="30"/>
      <c r="J536" s="3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"/>
      <c r="AV536" s="3"/>
      <c r="AW536" s="3"/>
      <c r="AX536" s="3"/>
      <c r="AY536" s="3"/>
      <c r="AZ536" s="3"/>
      <c r="BA536" s="3"/>
    </row>
    <row r="537" ht="12.75" spans="1:53">
      <c r="A537" s="3"/>
      <c r="B537" s="3"/>
      <c r="C537" s="3"/>
      <c r="D537" s="30"/>
      <c r="E537" s="30"/>
      <c r="F537" s="30"/>
      <c r="G537" s="30"/>
      <c r="H537" s="30"/>
      <c r="I537" s="30"/>
      <c r="J537" s="3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"/>
      <c r="AV537" s="3"/>
      <c r="AW537" s="3"/>
      <c r="AX537" s="3"/>
      <c r="AY537" s="3"/>
      <c r="AZ537" s="3"/>
      <c r="BA537" s="3"/>
    </row>
    <row r="538" ht="12.75" spans="1:53">
      <c r="A538" s="3"/>
      <c r="B538" s="3"/>
      <c r="C538" s="3"/>
      <c r="D538" s="30"/>
      <c r="E538" s="30"/>
      <c r="F538" s="30"/>
      <c r="G538" s="30"/>
      <c r="H538" s="30"/>
      <c r="I538" s="30"/>
      <c r="J538" s="3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"/>
      <c r="AV538" s="3"/>
      <c r="AW538" s="3"/>
      <c r="AX538" s="3"/>
      <c r="AY538" s="3"/>
      <c r="AZ538" s="3"/>
      <c r="BA538" s="3"/>
    </row>
    <row r="539" ht="12.75" spans="1:53">
      <c r="A539" s="3"/>
      <c r="B539" s="3"/>
      <c r="C539" s="3"/>
      <c r="D539" s="30"/>
      <c r="E539" s="30"/>
      <c r="F539" s="30"/>
      <c r="G539" s="30"/>
      <c r="H539" s="30"/>
      <c r="I539" s="30"/>
      <c r="J539" s="3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"/>
      <c r="AV539" s="3"/>
      <c r="AW539" s="3"/>
      <c r="AX539" s="3"/>
      <c r="AY539" s="3"/>
      <c r="AZ539" s="3"/>
      <c r="BA539" s="3"/>
    </row>
    <row r="540" ht="12.75" spans="1:53">
      <c r="A540" s="3"/>
      <c r="B540" s="3"/>
      <c r="C540" s="3"/>
      <c r="D540" s="30"/>
      <c r="E540" s="30"/>
      <c r="F540" s="30"/>
      <c r="G540" s="30"/>
      <c r="H540" s="30"/>
      <c r="I540" s="30"/>
      <c r="J540" s="3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"/>
      <c r="AV540" s="3"/>
      <c r="AW540" s="3"/>
      <c r="AX540" s="3"/>
      <c r="AY540" s="3"/>
      <c r="AZ540" s="3"/>
      <c r="BA540" s="3"/>
    </row>
    <row r="541" ht="12.75" spans="1:53">
      <c r="A541" s="3"/>
      <c r="B541" s="3"/>
      <c r="C541" s="3"/>
      <c r="D541" s="30"/>
      <c r="E541" s="30"/>
      <c r="F541" s="30"/>
      <c r="G541" s="30"/>
      <c r="H541" s="30"/>
      <c r="I541" s="30"/>
      <c r="J541" s="3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"/>
      <c r="AV541" s="3"/>
      <c r="AW541" s="3"/>
      <c r="AX541" s="3"/>
      <c r="AY541" s="3"/>
      <c r="AZ541" s="3"/>
      <c r="BA541" s="3"/>
    </row>
    <row r="542" ht="12.75" spans="1:53">
      <c r="A542" s="3"/>
      <c r="B542" s="3"/>
      <c r="C542" s="3"/>
      <c r="D542" s="30"/>
      <c r="E542" s="30"/>
      <c r="F542" s="30"/>
      <c r="G542" s="30"/>
      <c r="H542" s="30"/>
      <c r="I542" s="30"/>
      <c r="J542" s="3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"/>
      <c r="AV542" s="3"/>
      <c r="AW542" s="3"/>
      <c r="AX542" s="3"/>
      <c r="AY542" s="3"/>
      <c r="AZ542" s="3"/>
      <c r="BA542" s="3"/>
    </row>
    <row r="543" ht="12.75" spans="1:53">
      <c r="A543" s="3"/>
      <c r="B543" s="3"/>
      <c r="C543" s="3"/>
      <c r="D543" s="30"/>
      <c r="E543" s="30"/>
      <c r="F543" s="30"/>
      <c r="G543" s="30"/>
      <c r="H543" s="30"/>
      <c r="I543" s="30"/>
      <c r="J543" s="3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"/>
      <c r="AV543" s="3"/>
      <c r="AW543" s="3"/>
      <c r="AX543" s="3"/>
      <c r="AY543" s="3"/>
      <c r="AZ543" s="3"/>
      <c r="BA543" s="3"/>
    </row>
    <row r="544" ht="12.75" spans="1:53">
      <c r="A544" s="3"/>
      <c r="B544" s="3"/>
      <c r="C544" s="3"/>
      <c r="D544" s="30"/>
      <c r="E544" s="30"/>
      <c r="F544" s="30"/>
      <c r="G544" s="30"/>
      <c r="H544" s="30"/>
      <c r="I544" s="30"/>
      <c r="J544" s="3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"/>
      <c r="AV544" s="3"/>
      <c r="AW544" s="3"/>
      <c r="AX544" s="3"/>
      <c r="AY544" s="3"/>
      <c r="AZ544" s="3"/>
      <c r="BA544" s="3"/>
    </row>
    <row r="545" ht="12.75" spans="1:53">
      <c r="A545" s="3"/>
      <c r="B545" s="3"/>
      <c r="C545" s="3"/>
      <c r="D545" s="30"/>
      <c r="E545" s="30"/>
      <c r="F545" s="30"/>
      <c r="G545" s="30"/>
      <c r="H545" s="30"/>
      <c r="I545" s="30"/>
      <c r="J545" s="3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"/>
      <c r="AV545" s="3"/>
      <c r="AW545" s="3"/>
      <c r="AX545" s="3"/>
      <c r="AY545" s="3"/>
      <c r="AZ545" s="3"/>
      <c r="BA545" s="3"/>
    </row>
    <row r="546" ht="12.75" spans="1:53">
      <c r="A546" s="3"/>
      <c r="B546" s="3"/>
      <c r="C546" s="3"/>
      <c r="D546" s="30"/>
      <c r="E546" s="30"/>
      <c r="F546" s="30"/>
      <c r="G546" s="30"/>
      <c r="H546" s="30"/>
      <c r="I546" s="30"/>
      <c r="J546" s="3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"/>
      <c r="AV546" s="3"/>
      <c r="AW546" s="3"/>
      <c r="AX546" s="3"/>
      <c r="AY546" s="3"/>
      <c r="AZ546" s="3"/>
      <c r="BA546" s="3"/>
    </row>
    <row r="547" ht="12.75" spans="1:53">
      <c r="A547" s="3"/>
      <c r="B547" s="3"/>
      <c r="C547" s="3"/>
      <c r="D547" s="30"/>
      <c r="E547" s="30"/>
      <c r="F547" s="30"/>
      <c r="G547" s="30"/>
      <c r="H547" s="30"/>
      <c r="I547" s="30"/>
      <c r="J547" s="3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"/>
      <c r="AV547" s="3"/>
      <c r="AW547" s="3"/>
      <c r="AX547" s="3"/>
      <c r="AY547" s="3"/>
      <c r="AZ547" s="3"/>
      <c r="BA547" s="3"/>
    </row>
    <row r="548" ht="12.75" spans="1:53">
      <c r="A548" s="3"/>
      <c r="B548" s="3"/>
      <c r="C548" s="3"/>
      <c r="D548" s="30"/>
      <c r="E548" s="30"/>
      <c r="F548" s="30"/>
      <c r="G548" s="30"/>
      <c r="H548" s="30"/>
      <c r="I548" s="30"/>
      <c r="J548" s="3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"/>
      <c r="AV548" s="3"/>
      <c r="AW548" s="3"/>
      <c r="AX548" s="3"/>
      <c r="AY548" s="3"/>
      <c r="AZ548" s="3"/>
      <c r="BA548" s="3"/>
    </row>
    <row r="549" ht="12.75" spans="1:53">
      <c r="A549" s="3"/>
      <c r="B549" s="3"/>
      <c r="C549" s="3"/>
      <c r="D549" s="30"/>
      <c r="E549" s="30"/>
      <c r="F549" s="30"/>
      <c r="G549" s="30"/>
      <c r="H549" s="30"/>
      <c r="I549" s="30"/>
      <c r="J549" s="3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"/>
      <c r="AV549" s="3"/>
      <c r="AW549" s="3"/>
      <c r="AX549" s="3"/>
      <c r="AY549" s="3"/>
      <c r="AZ549" s="3"/>
      <c r="BA549" s="3"/>
    </row>
    <row r="550" ht="12.75" spans="1:53">
      <c r="A550" s="3"/>
      <c r="B550" s="3"/>
      <c r="C550" s="3"/>
      <c r="D550" s="30"/>
      <c r="E550" s="30"/>
      <c r="F550" s="30"/>
      <c r="G550" s="30"/>
      <c r="H550" s="30"/>
      <c r="I550" s="30"/>
      <c r="J550" s="3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"/>
      <c r="AV550" s="3"/>
      <c r="AW550" s="3"/>
      <c r="AX550" s="3"/>
      <c r="AY550" s="3"/>
      <c r="AZ550" s="3"/>
      <c r="BA550" s="3"/>
    </row>
    <row r="551" ht="12.75" spans="1:53">
      <c r="A551" s="3"/>
      <c r="B551" s="3"/>
      <c r="C551" s="3"/>
      <c r="D551" s="30"/>
      <c r="E551" s="30"/>
      <c r="F551" s="30"/>
      <c r="G551" s="30"/>
      <c r="H551" s="30"/>
      <c r="I551" s="30"/>
      <c r="J551" s="3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"/>
      <c r="AV551" s="3"/>
      <c r="AW551" s="3"/>
      <c r="AX551" s="3"/>
      <c r="AY551" s="3"/>
      <c r="AZ551" s="3"/>
      <c r="BA551" s="3"/>
    </row>
    <row r="552" ht="12.75" spans="1:53">
      <c r="A552" s="3"/>
      <c r="B552" s="3"/>
      <c r="C552" s="3"/>
      <c r="D552" s="30"/>
      <c r="E552" s="30"/>
      <c r="F552" s="30"/>
      <c r="G552" s="30"/>
      <c r="H552" s="30"/>
      <c r="I552" s="30"/>
      <c r="J552" s="3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"/>
      <c r="AV552" s="3"/>
      <c r="AW552" s="3"/>
      <c r="AX552" s="3"/>
      <c r="AY552" s="3"/>
      <c r="AZ552" s="3"/>
      <c r="BA552" s="3"/>
    </row>
    <row r="553" ht="12.75" spans="1:53">
      <c r="A553" s="3"/>
      <c r="B553" s="3"/>
      <c r="C553" s="3"/>
      <c r="D553" s="30"/>
      <c r="E553" s="30"/>
      <c r="F553" s="30"/>
      <c r="G553" s="30"/>
      <c r="H553" s="30"/>
      <c r="I553" s="30"/>
      <c r="J553" s="3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"/>
      <c r="AV553" s="3"/>
      <c r="AW553" s="3"/>
      <c r="AX553" s="3"/>
      <c r="AY553" s="3"/>
      <c r="AZ553" s="3"/>
      <c r="BA553" s="3"/>
    </row>
    <row r="554" ht="12.75" spans="1:53">
      <c r="A554" s="3"/>
      <c r="B554" s="3"/>
      <c r="C554" s="3"/>
      <c r="D554" s="30"/>
      <c r="E554" s="30"/>
      <c r="F554" s="30"/>
      <c r="G554" s="30"/>
      <c r="H554" s="30"/>
      <c r="I554" s="30"/>
      <c r="J554" s="3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"/>
      <c r="AV554" s="3"/>
      <c r="AW554" s="3"/>
      <c r="AX554" s="3"/>
      <c r="AY554" s="3"/>
      <c r="AZ554" s="3"/>
      <c r="BA554" s="3"/>
    </row>
    <row r="555" ht="12.75" spans="1:53">
      <c r="A555" s="3"/>
      <c r="B555" s="3"/>
      <c r="C555" s="3"/>
      <c r="D555" s="30"/>
      <c r="E555" s="30"/>
      <c r="F555" s="30"/>
      <c r="G555" s="30"/>
      <c r="H555" s="30"/>
      <c r="I555" s="30"/>
      <c r="J555" s="3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"/>
      <c r="AV555" s="3"/>
      <c r="AW555" s="3"/>
      <c r="AX555" s="3"/>
      <c r="AY555" s="3"/>
      <c r="AZ555" s="3"/>
      <c r="BA555" s="3"/>
    </row>
    <row r="556" ht="12.75" spans="1:53">
      <c r="A556" s="3"/>
      <c r="B556" s="3"/>
      <c r="C556" s="3"/>
      <c r="D556" s="30"/>
      <c r="E556" s="30"/>
      <c r="F556" s="30"/>
      <c r="G556" s="30"/>
      <c r="H556" s="30"/>
      <c r="I556" s="30"/>
      <c r="J556" s="3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"/>
      <c r="AV556" s="3"/>
      <c r="AW556" s="3"/>
      <c r="AX556" s="3"/>
      <c r="AY556" s="3"/>
      <c r="AZ556" s="3"/>
      <c r="BA556" s="3"/>
    </row>
    <row r="557" ht="12.75" spans="1:53">
      <c r="A557" s="3"/>
      <c r="B557" s="3"/>
      <c r="C557" s="3"/>
      <c r="D557" s="30"/>
      <c r="E557" s="30"/>
      <c r="F557" s="30"/>
      <c r="G557" s="30"/>
      <c r="H557" s="30"/>
      <c r="I557" s="30"/>
      <c r="J557" s="3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"/>
      <c r="AV557" s="3"/>
      <c r="AW557" s="3"/>
      <c r="AX557" s="3"/>
      <c r="AY557" s="3"/>
      <c r="AZ557" s="3"/>
      <c r="BA557" s="3"/>
    </row>
    <row r="558" ht="12.75" spans="1:53">
      <c r="A558" s="3"/>
      <c r="B558" s="3"/>
      <c r="C558" s="3"/>
      <c r="D558" s="30"/>
      <c r="E558" s="30"/>
      <c r="F558" s="30"/>
      <c r="G558" s="30"/>
      <c r="H558" s="30"/>
      <c r="I558" s="30"/>
      <c r="J558" s="3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"/>
      <c r="AV558" s="3"/>
      <c r="AW558" s="3"/>
      <c r="AX558" s="3"/>
      <c r="AY558" s="3"/>
      <c r="AZ558" s="3"/>
      <c r="BA558" s="3"/>
    </row>
    <row r="559" ht="12.75" spans="1:53">
      <c r="A559" s="3"/>
      <c r="B559" s="3"/>
      <c r="C559" s="3"/>
      <c r="D559" s="30"/>
      <c r="E559" s="30"/>
      <c r="F559" s="30"/>
      <c r="G559" s="30"/>
      <c r="H559" s="30"/>
      <c r="I559" s="30"/>
      <c r="J559" s="3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"/>
      <c r="AV559" s="3"/>
      <c r="AW559" s="3"/>
      <c r="AX559" s="3"/>
      <c r="AY559" s="3"/>
      <c r="AZ559" s="3"/>
      <c r="BA559" s="3"/>
    </row>
    <row r="560" ht="12.75" spans="1:53">
      <c r="A560" s="3"/>
      <c r="B560" s="3"/>
      <c r="C560" s="3"/>
      <c r="D560" s="30"/>
      <c r="E560" s="30"/>
      <c r="F560" s="30"/>
      <c r="G560" s="30"/>
      <c r="H560" s="30"/>
      <c r="I560" s="30"/>
      <c r="J560" s="3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"/>
      <c r="AV560" s="3"/>
      <c r="AW560" s="3"/>
      <c r="AX560" s="3"/>
      <c r="AY560" s="3"/>
      <c r="AZ560" s="3"/>
      <c r="BA560" s="3"/>
    </row>
    <row r="561" ht="12.75" spans="1:53">
      <c r="A561" s="3"/>
      <c r="B561" s="3"/>
      <c r="C561" s="3"/>
      <c r="D561" s="30"/>
      <c r="E561" s="30"/>
      <c r="F561" s="30"/>
      <c r="G561" s="30"/>
      <c r="H561" s="30"/>
      <c r="I561" s="30"/>
      <c r="J561" s="3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"/>
      <c r="AV561" s="3"/>
      <c r="AW561" s="3"/>
      <c r="AX561" s="3"/>
      <c r="AY561" s="3"/>
      <c r="AZ561" s="3"/>
      <c r="BA561" s="3"/>
    </row>
    <row r="562" ht="12.75" spans="1:53">
      <c r="A562" s="3"/>
      <c r="B562" s="3"/>
      <c r="C562" s="3"/>
      <c r="D562" s="30"/>
      <c r="E562" s="30"/>
      <c r="F562" s="30"/>
      <c r="G562" s="30"/>
      <c r="H562" s="30"/>
      <c r="I562" s="30"/>
      <c r="J562" s="3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"/>
      <c r="AV562" s="3"/>
      <c r="AW562" s="3"/>
      <c r="AX562" s="3"/>
      <c r="AY562" s="3"/>
      <c r="AZ562" s="3"/>
      <c r="BA562" s="3"/>
    </row>
    <row r="563" ht="12.75" spans="1:53">
      <c r="A563" s="3"/>
      <c r="B563" s="3"/>
      <c r="C563" s="3"/>
      <c r="D563" s="30"/>
      <c r="E563" s="30"/>
      <c r="F563" s="30"/>
      <c r="G563" s="30"/>
      <c r="H563" s="30"/>
      <c r="I563" s="30"/>
      <c r="J563" s="3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"/>
      <c r="AV563" s="3"/>
      <c r="AW563" s="3"/>
      <c r="AX563" s="3"/>
      <c r="AY563" s="3"/>
      <c r="AZ563" s="3"/>
      <c r="BA563" s="3"/>
    </row>
    <row r="564" ht="12.75" spans="1:53">
      <c r="A564" s="3"/>
      <c r="B564" s="3"/>
      <c r="C564" s="3"/>
      <c r="D564" s="30"/>
      <c r="E564" s="30"/>
      <c r="F564" s="30"/>
      <c r="G564" s="30"/>
      <c r="H564" s="30"/>
      <c r="I564" s="30"/>
      <c r="J564" s="3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"/>
      <c r="AV564" s="3"/>
      <c r="AW564" s="3"/>
      <c r="AX564" s="3"/>
      <c r="AY564" s="3"/>
      <c r="AZ564" s="3"/>
      <c r="BA564" s="3"/>
    </row>
    <row r="565" ht="12.75" spans="1:53">
      <c r="A565" s="3"/>
      <c r="B565" s="3"/>
      <c r="C565" s="3"/>
      <c r="D565" s="30"/>
      <c r="E565" s="30"/>
      <c r="F565" s="30"/>
      <c r="G565" s="30"/>
      <c r="H565" s="30"/>
      <c r="I565" s="30"/>
      <c r="J565" s="3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"/>
      <c r="AV565" s="3"/>
      <c r="AW565" s="3"/>
      <c r="AX565" s="3"/>
      <c r="AY565" s="3"/>
      <c r="AZ565" s="3"/>
      <c r="BA565" s="3"/>
    </row>
    <row r="566" ht="12.75" spans="1:53">
      <c r="A566" s="3"/>
      <c r="B566" s="3"/>
      <c r="C566" s="3"/>
      <c r="D566" s="30"/>
      <c r="E566" s="30"/>
      <c r="F566" s="30"/>
      <c r="G566" s="30"/>
      <c r="H566" s="30"/>
      <c r="I566" s="30"/>
      <c r="J566" s="3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"/>
      <c r="AV566" s="3"/>
      <c r="AW566" s="3"/>
      <c r="AX566" s="3"/>
      <c r="AY566" s="3"/>
      <c r="AZ566" s="3"/>
      <c r="BA566" s="3"/>
    </row>
    <row r="567" ht="12.75" spans="1:53">
      <c r="A567" s="3"/>
      <c r="B567" s="3"/>
      <c r="C567" s="3"/>
      <c r="D567" s="30"/>
      <c r="E567" s="30"/>
      <c r="F567" s="30"/>
      <c r="G567" s="30"/>
      <c r="H567" s="30"/>
      <c r="I567" s="30"/>
      <c r="J567" s="3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"/>
      <c r="AV567" s="3"/>
      <c r="AW567" s="3"/>
      <c r="AX567" s="3"/>
      <c r="AY567" s="3"/>
      <c r="AZ567" s="3"/>
      <c r="BA567" s="3"/>
    </row>
    <row r="568" ht="12.75" spans="1:53">
      <c r="A568" s="3"/>
      <c r="B568" s="3"/>
      <c r="C568" s="3"/>
      <c r="D568" s="30"/>
      <c r="E568" s="30"/>
      <c r="F568" s="30"/>
      <c r="G568" s="30"/>
      <c r="H568" s="30"/>
      <c r="I568" s="30"/>
      <c r="J568" s="3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"/>
      <c r="AV568" s="3"/>
      <c r="AW568" s="3"/>
      <c r="AX568" s="3"/>
      <c r="AY568" s="3"/>
      <c r="AZ568" s="3"/>
      <c r="BA568" s="3"/>
    </row>
    <row r="569" ht="12.75" spans="1:53">
      <c r="A569" s="3"/>
      <c r="B569" s="3"/>
      <c r="C569" s="3"/>
      <c r="D569" s="30"/>
      <c r="E569" s="30"/>
      <c r="F569" s="30"/>
      <c r="G569" s="30"/>
      <c r="H569" s="30"/>
      <c r="I569" s="30"/>
      <c r="J569" s="3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"/>
      <c r="AV569" s="3"/>
      <c r="AW569" s="3"/>
      <c r="AX569" s="3"/>
      <c r="AY569" s="3"/>
      <c r="AZ569" s="3"/>
      <c r="BA569" s="3"/>
    </row>
    <row r="570" ht="12.75" spans="1:53">
      <c r="A570" s="3"/>
      <c r="B570" s="3"/>
      <c r="C570" s="3"/>
      <c r="D570" s="30"/>
      <c r="E570" s="30"/>
      <c r="F570" s="30"/>
      <c r="G570" s="30"/>
      <c r="H570" s="30"/>
      <c r="I570" s="30"/>
      <c r="J570" s="3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"/>
      <c r="AV570" s="3"/>
      <c r="AW570" s="3"/>
      <c r="AX570" s="3"/>
      <c r="AY570" s="3"/>
      <c r="AZ570" s="3"/>
      <c r="BA570" s="3"/>
    </row>
    <row r="571" ht="12.75" spans="1:53">
      <c r="A571" s="3"/>
      <c r="B571" s="3"/>
      <c r="C571" s="3"/>
      <c r="D571" s="30"/>
      <c r="E571" s="30"/>
      <c r="F571" s="30"/>
      <c r="G571" s="30"/>
      <c r="H571" s="30"/>
      <c r="I571" s="30"/>
      <c r="J571" s="3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"/>
      <c r="AV571" s="3"/>
      <c r="AW571" s="3"/>
      <c r="AX571" s="3"/>
      <c r="AY571" s="3"/>
      <c r="AZ571" s="3"/>
      <c r="BA571" s="3"/>
    </row>
    <row r="572" ht="12.75" spans="1:53">
      <c r="A572" s="3"/>
      <c r="B572" s="3"/>
      <c r="C572" s="3"/>
      <c r="D572" s="30"/>
      <c r="E572" s="30"/>
      <c r="F572" s="30"/>
      <c r="G572" s="30"/>
      <c r="H572" s="30"/>
      <c r="I572" s="30"/>
      <c r="J572" s="3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"/>
      <c r="AV572" s="3"/>
      <c r="AW572" s="3"/>
      <c r="AX572" s="3"/>
      <c r="AY572" s="3"/>
      <c r="AZ572" s="3"/>
      <c r="BA572" s="3"/>
    </row>
    <row r="573" ht="12.75" spans="1:53">
      <c r="A573" s="3"/>
      <c r="B573" s="3"/>
      <c r="C573" s="3"/>
      <c r="D573" s="30"/>
      <c r="E573" s="30"/>
      <c r="F573" s="30"/>
      <c r="G573" s="30"/>
      <c r="H573" s="30"/>
      <c r="I573" s="30"/>
      <c r="J573" s="3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"/>
      <c r="AV573" s="3"/>
      <c r="AW573" s="3"/>
      <c r="AX573" s="3"/>
      <c r="AY573" s="3"/>
      <c r="AZ573" s="3"/>
      <c r="BA573" s="3"/>
    </row>
    <row r="574" ht="12.75" spans="1:53">
      <c r="A574" s="3"/>
      <c r="B574" s="3"/>
      <c r="C574" s="3"/>
      <c r="D574" s="30"/>
      <c r="E574" s="30"/>
      <c r="F574" s="30"/>
      <c r="G574" s="30"/>
      <c r="H574" s="30"/>
      <c r="I574" s="30"/>
      <c r="J574" s="3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"/>
      <c r="AV574" s="3"/>
      <c r="AW574" s="3"/>
      <c r="AX574" s="3"/>
      <c r="AY574" s="3"/>
      <c r="AZ574" s="3"/>
      <c r="BA574" s="3"/>
    </row>
    <row r="575" ht="12.75" spans="1:53">
      <c r="A575" s="3"/>
      <c r="B575" s="3"/>
      <c r="C575" s="3"/>
      <c r="D575" s="30"/>
      <c r="E575" s="30"/>
      <c r="F575" s="30"/>
      <c r="G575" s="30"/>
      <c r="H575" s="30"/>
      <c r="I575" s="30"/>
      <c r="J575" s="3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"/>
      <c r="AV575" s="3"/>
      <c r="AW575" s="3"/>
      <c r="AX575" s="3"/>
      <c r="AY575" s="3"/>
      <c r="AZ575" s="3"/>
      <c r="BA575" s="3"/>
    </row>
    <row r="576" ht="12.75" spans="1:53">
      <c r="A576" s="3"/>
      <c r="B576" s="3"/>
      <c r="C576" s="3"/>
      <c r="D576" s="30"/>
      <c r="E576" s="30"/>
      <c r="F576" s="30"/>
      <c r="G576" s="30"/>
      <c r="H576" s="30"/>
      <c r="I576" s="30"/>
      <c r="J576" s="3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"/>
      <c r="AV576" s="3"/>
      <c r="AW576" s="3"/>
      <c r="AX576" s="3"/>
      <c r="AY576" s="3"/>
      <c r="AZ576" s="3"/>
      <c r="BA576" s="3"/>
    </row>
    <row r="577" ht="12.75" spans="1:53">
      <c r="A577" s="3"/>
      <c r="B577" s="3"/>
      <c r="C577" s="3"/>
      <c r="D577" s="30"/>
      <c r="E577" s="30"/>
      <c r="F577" s="30"/>
      <c r="G577" s="30"/>
      <c r="H577" s="30"/>
      <c r="I577" s="30"/>
      <c r="J577" s="3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"/>
      <c r="AV577" s="3"/>
      <c r="AW577" s="3"/>
      <c r="AX577" s="3"/>
      <c r="AY577" s="3"/>
      <c r="AZ577" s="3"/>
      <c r="BA577" s="3"/>
    </row>
    <row r="578" ht="12.75" spans="1:53">
      <c r="A578" s="3"/>
      <c r="B578" s="3"/>
      <c r="C578" s="3"/>
      <c r="D578" s="30"/>
      <c r="E578" s="30"/>
      <c r="F578" s="30"/>
      <c r="G578" s="30"/>
      <c r="H578" s="30"/>
      <c r="I578" s="30"/>
      <c r="J578" s="3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"/>
      <c r="AV578" s="3"/>
      <c r="AW578" s="3"/>
      <c r="AX578" s="3"/>
      <c r="AY578" s="3"/>
      <c r="AZ578" s="3"/>
      <c r="BA578" s="3"/>
    </row>
    <row r="579" ht="12.75" spans="1:53">
      <c r="A579" s="3"/>
      <c r="B579" s="3"/>
      <c r="C579" s="3"/>
      <c r="D579" s="30"/>
      <c r="E579" s="30"/>
      <c r="F579" s="30"/>
      <c r="G579" s="30"/>
      <c r="H579" s="30"/>
      <c r="I579" s="30"/>
      <c r="J579" s="3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"/>
      <c r="AV579" s="3"/>
      <c r="AW579" s="3"/>
      <c r="AX579" s="3"/>
      <c r="AY579" s="3"/>
      <c r="AZ579" s="3"/>
      <c r="BA579" s="3"/>
    </row>
    <row r="580" ht="12.75" spans="1:53">
      <c r="A580" s="3"/>
      <c r="B580" s="3"/>
      <c r="C580" s="3"/>
      <c r="D580" s="30"/>
      <c r="E580" s="30"/>
      <c r="F580" s="30"/>
      <c r="G580" s="30"/>
      <c r="H580" s="30"/>
      <c r="I580" s="30"/>
      <c r="J580" s="3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"/>
      <c r="AV580" s="3"/>
      <c r="AW580" s="3"/>
      <c r="AX580" s="3"/>
      <c r="AY580" s="3"/>
      <c r="AZ580" s="3"/>
      <c r="BA580" s="3"/>
    </row>
    <row r="581" ht="12.75" spans="1:53">
      <c r="A581" s="3"/>
      <c r="B581" s="3"/>
      <c r="C581" s="3"/>
      <c r="D581" s="30"/>
      <c r="E581" s="30"/>
      <c r="F581" s="30"/>
      <c r="G581" s="30"/>
      <c r="H581" s="30"/>
      <c r="I581" s="30"/>
      <c r="J581" s="3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"/>
      <c r="AV581" s="3"/>
      <c r="AW581" s="3"/>
      <c r="AX581" s="3"/>
      <c r="AY581" s="3"/>
      <c r="AZ581" s="3"/>
      <c r="BA581" s="3"/>
    </row>
    <row r="582" ht="12.75" spans="1:53">
      <c r="A582" s="3"/>
      <c r="B582" s="3"/>
      <c r="C582" s="3"/>
      <c r="D582" s="30"/>
      <c r="E582" s="30"/>
      <c r="F582" s="30"/>
      <c r="G582" s="30"/>
      <c r="H582" s="30"/>
      <c r="I582" s="30"/>
      <c r="J582" s="3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"/>
      <c r="AV582" s="3"/>
      <c r="AW582" s="3"/>
      <c r="AX582" s="3"/>
      <c r="AY582" s="3"/>
      <c r="AZ582" s="3"/>
      <c r="BA582" s="3"/>
    </row>
    <row r="583" ht="12.75" spans="1:53">
      <c r="A583" s="3"/>
      <c r="B583" s="3"/>
      <c r="C583" s="3"/>
      <c r="D583" s="30"/>
      <c r="E583" s="30"/>
      <c r="F583" s="30"/>
      <c r="G583" s="30"/>
      <c r="H583" s="30"/>
      <c r="I583" s="30"/>
      <c r="J583" s="3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"/>
      <c r="AV583" s="3"/>
      <c r="AW583" s="3"/>
      <c r="AX583" s="3"/>
      <c r="AY583" s="3"/>
      <c r="AZ583" s="3"/>
      <c r="BA583" s="3"/>
    </row>
    <row r="584" ht="12.75" spans="1:53">
      <c r="A584" s="3"/>
      <c r="B584" s="3"/>
      <c r="C584" s="3"/>
      <c r="D584" s="30"/>
      <c r="E584" s="30"/>
      <c r="F584" s="30"/>
      <c r="G584" s="30"/>
      <c r="H584" s="30"/>
      <c r="I584" s="30"/>
      <c r="J584" s="3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"/>
      <c r="AV584" s="3"/>
      <c r="AW584" s="3"/>
      <c r="AX584" s="3"/>
      <c r="AY584" s="3"/>
      <c r="AZ584" s="3"/>
      <c r="BA584" s="3"/>
    </row>
    <row r="585" ht="12.75" spans="1:53">
      <c r="A585" s="3"/>
      <c r="B585" s="3"/>
      <c r="C585" s="3"/>
      <c r="D585" s="30"/>
      <c r="E585" s="30"/>
      <c r="F585" s="30"/>
      <c r="G585" s="30"/>
      <c r="H585" s="30"/>
      <c r="I585" s="30"/>
      <c r="J585" s="3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"/>
      <c r="AV585" s="3"/>
      <c r="AW585" s="3"/>
      <c r="AX585" s="3"/>
      <c r="AY585" s="3"/>
      <c r="AZ585" s="3"/>
      <c r="BA585" s="3"/>
    </row>
    <row r="586" ht="12.75" spans="1:53">
      <c r="A586" s="3"/>
      <c r="B586" s="3"/>
      <c r="C586" s="3"/>
      <c r="D586" s="30"/>
      <c r="E586" s="30"/>
      <c r="F586" s="30"/>
      <c r="G586" s="30"/>
      <c r="H586" s="30"/>
      <c r="I586" s="30"/>
      <c r="J586" s="3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"/>
      <c r="AV586" s="3"/>
      <c r="AW586" s="3"/>
      <c r="AX586" s="3"/>
      <c r="AY586" s="3"/>
      <c r="AZ586" s="3"/>
      <c r="BA586" s="3"/>
    </row>
    <row r="587" ht="12.75" spans="1:53">
      <c r="A587" s="3"/>
      <c r="B587" s="3"/>
      <c r="C587" s="3"/>
      <c r="D587" s="30"/>
      <c r="E587" s="30"/>
      <c r="F587" s="30"/>
      <c r="G587" s="30"/>
      <c r="H587" s="30"/>
      <c r="I587" s="30"/>
      <c r="J587" s="3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"/>
      <c r="AV587" s="3"/>
      <c r="AW587" s="3"/>
      <c r="AX587" s="3"/>
      <c r="AY587" s="3"/>
      <c r="AZ587" s="3"/>
      <c r="BA587" s="3"/>
    </row>
    <row r="588" ht="12.75" spans="1:53">
      <c r="A588" s="3"/>
      <c r="B588" s="3"/>
      <c r="C588" s="3"/>
      <c r="D588" s="30"/>
      <c r="E588" s="30"/>
      <c r="F588" s="30"/>
      <c r="G588" s="30"/>
      <c r="H588" s="30"/>
      <c r="I588" s="30"/>
      <c r="J588" s="3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"/>
      <c r="AV588" s="3"/>
      <c r="AW588" s="3"/>
      <c r="AX588" s="3"/>
      <c r="AY588" s="3"/>
      <c r="AZ588" s="3"/>
      <c r="BA588" s="3"/>
    </row>
    <row r="589" ht="12.75" spans="1:53">
      <c r="A589" s="3"/>
      <c r="B589" s="3"/>
      <c r="C589" s="3"/>
      <c r="D589" s="30"/>
      <c r="E589" s="30"/>
      <c r="F589" s="30"/>
      <c r="G589" s="30"/>
      <c r="H589" s="30"/>
      <c r="I589" s="30"/>
      <c r="J589" s="3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"/>
      <c r="AV589" s="3"/>
      <c r="AW589" s="3"/>
      <c r="AX589" s="3"/>
      <c r="AY589" s="3"/>
      <c r="AZ589" s="3"/>
      <c r="BA589" s="3"/>
    </row>
    <row r="590" ht="12.75" spans="1:53">
      <c r="A590" s="3"/>
      <c r="B590" s="3"/>
      <c r="C590" s="3"/>
      <c r="D590" s="30"/>
      <c r="E590" s="30"/>
      <c r="F590" s="30"/>
      <c r="G590" s="30"/>
      <c r="H590" s="30"/>
      <c r="I590" s="30"/>
      <c r="J590" s="3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"/>
      <c r="AV590" s="3"/>
      <c r="AW590" s="3"/>
      <c r="AX590" s="3"/>
      <c r="AY590" s="3"/>
      <c r="AZ590" s="3"/>
      <c r="BA590" s="3"/>
    </row>
    <row r="591" ht="12.75" spans="1:53">
      <c r="A591" s="3"/>
      <c r="B591" s="3"/>
      <c r="C591" s="3"/>
      <c r="D591" s="30"/>
      <c r="E591" s="30"/>
      <c r="F591" s="30"/>
      <c r="G591" s="30"/>
      <c r="H591" s="30"/>
      <c r="I591" s="30"/>
      <c r="J591" s="3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"/>
      <c r="AV591" s="3"/>
      <c r="AW591" s="3"/>
      <c r="AX591" s="3"/>
      <c r="AY591" s="3"/>
      <c r="AZ591" s="3"/>
      <c r="BA591" s="3"/>
    </row>
    <row r="592" ht="12.75" spans="1:53">
      <c r="A592" s="3"/>
      <c r="B592" s="3"/>
      <c r="C592" s="3"/>
      <c r="D592" s="30"/>
      <c r="E592" s="30"/>
      <c r="F592" s="30"/>
      <c r="G592" s="30"/>
      <c r="H592" s="30"/>
      <c r="I592" s="30"/>
      <c r="J592" s="3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"/>
      <c r="AV592" s="3"/>
      <c r="AW592" s="3"/>
      <c r="AX592" s="3"/>
      <c r="AY592" s="3"/>
      <c r="AZ592" s="3"/>
      <c r="BA592" s="3"/>
    </row>
    <row r="593" ht="12.75" spans="1:53">
      <c r="A593" s="3"/>
      <c r="B593" s="3"/>
      <c r="C593" s="3"/>
      <c r="D593" s="30"/>
      <c r="E593" s="30"/>
      <c r="F593" s="30"/>
      <c r="G593" s="30"/>
      <c r="H593" s="30"/>
      <c r="I593" s="30"/>
      <c r="J593" s="3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"/>
      <c r="AV593" s="3"/>
      <c r="AW593" s="3"/>
      <c r="AX593" s="3"/>
      <c r="AY593" s="3"/>
      <c r="AZ593" s="3"/>
      <c r="BA593" s="3"/>
    </row>
    <row r="594" ht="12.75" spans="1:53">
      <c r="A594" s="3"/>
      <c r="B594" s="3"/>
      <c r="C594" s="3"/>
      <c r="D594" s="30"/>
      <c r="E594" s="30"/>
      <c r="F594" s="30"/>
      <c r="G594" s="30"/>
      <c r="H594" s="30"/>
      <c r="I594" s="30"/>
      <c r="J594" s="3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"/>
      <c r="AV594" s="3"/>
      <c r="AW594" s="3"/>
      <c r="AX594" s="3"/>
      <c r="AY594" s="3"/>
      <c r="AZ594" s="3"/>
      <c r="BA594" s="3"/>
    </row>
    <row r="595" ht="12.75" spans="1:53">
      <c r="A595" s="3"/>
      <c r="B595" s="3"/>
      <c r="C595" s="3"/>
      <c r="D595" s="30"/>
      <c r="E595" s="30"/>
      <c r="F595" s="30"/>
      <c r="G595" s="30"/>
      <c r="H595" s="30"/>
      <c r="I595" s="30"/>
      <c r="J595" s="3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"/>
      <c r="AV595" s="3"/>
      <c r="AW595" s="3"/>
      <c r="AX595" s="3"/>
      <c r="AY595" s="3"/>
      <c r="AZ595" s="3"/>
      <c r="BA595" s="3"/>
    </row>
    <row r="596" ht="12.75" spans="1:53">
      <c r="A596" s="3"/>
      <c r="B596" s="3"/>
      <c r="C596" s="3"/>
      <c r="D596" s="30"/>
      <c r="E596" s="30"/>
      <c r="F596" s="30"/>
      <c r="G596" s="30"/>
      <c r="H596" s="30"/>
      <c r="I596" s="30"/>
      <c r="J596" s="3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"/>
      <c r="AV596" s="3"/>
      <c r="AW596" s="3"/>
      <c r="AX596" s="3"/>
      <c r="AY596" s="3"/>
      <c r="AZ596" s="3"/>
      <c r="BA596" s="3"/>
    </row>
    <row r="597" ht="12.75" spans="1:53">
      <c r="A597" s="3"/>
      <c r="B597" s="3"/>
      <c r="C597" s="3"/>
      <c r="D597" s="30"/>
      <c r="E597" s="30"/>
      <c r="F597" s="30"/>
      <c r="G597" s="30"/>
      <c r="H597" s="30"/>
      <c r="I597" s="30"/>
      <c r="J597" s="3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"/>
      <c r="AV597" s="3"/>
      <c r="AW597" s="3"/>
      <c r="AX597" s="3"/>
      <c r="AY597" s="3"/>
      <c r="AZ597" s="3"/>
      <c r="BA597" s="3"/>
    </row>
    <row r="598" ht="12.75" spans="1:53">
      <c r="A598" s="3"/>
      <c r="B598" s="3"/>
      <c r="C598" s="3"/>
      <c r="D598" s="30"/>
      <c r="E598" s="30"/>
      <c r="F598" s="30"/>
      <c r="G598" s="30"/>
      <c r="H598" s="30"/>
      <c r="I598" s="30"/>
      <c r="J598" s="3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"/>
      <c r="AV598" s="3"/>
      <c r="AW598" s="3"/>
      <c r="AX598" s="3"/>
      <c r="AY598" s="3"/>
      <c r="AZ598" s="3"/>
      <c r="BA598" s="3"/>
    </row>
    <row r="599" ht="12.75" spans="1:53">
      <c r="A599" s="3"/>
      <c r="B599" s="3"/>
      <c r="C599" s="3"/>
      <c r="D599" s="30"/>
      <c r="E599" s="30"/>
      <c r="F599" s="30"/>
      <c r="G599" s="30"/>
      <c r="H599" s="30"/>
      <c r="I599" s="30"/>
      <c r="J599" s="3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"/>
      <c r="AV599" s="3"/>
      <c r="AW599" s="3"/>
      <c r="AX599" s="3"/>
      <c r="AY599" s="3"/>
      <c r="AZ599" s="3"/>
      <c r="BA599" s="3"/>
    </row>
    <row r="600" ht="12.75" spans="1:53">
      <c r="A600" s="3"/>
      <c r="B600" s="3"/>
      <c r="C600" s="3"/>
      <c r="D600" s="30"/>
      <c r="E600" s="30"/>
      <c r="F600" s="30"/>
      <c r="G600" s="30"/>
      <c r="H600" s="30"/>
      <c r="I600" s="30"/>
      <c r="J600" s="3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"/>
      <c r="AV600" s="3"/>
      <c r="AW600" s="3"/>
      <c r="AX600" s="3"/>
      <c r="AY600" s="3"/>
      <c r="AZ600" s="3"/>
      <c r="BA600" s="3"/>
    </row>
    <row r="601" ht="12.75" spans="1:53">
      <c r="A601" s="3"/>
      <c r="B601" s="3"/>
      <c r="C601" s="3"/>
      <c r="D601" s="30"/>
      <c r="E601" s="30"/>
      <c r="F601" s="30"/>
      <c r="G601" s="30"/>
      <c r="H601" s="30"/>
      <c r="I601" s="30"/>
      <c r="J601" s="3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"/>
      <c r="AV601" s="3"/>
      <c r="AW601" s="3"/>
      <c r="AX601" s="3"/>
      <c r="AY601" s="3"/>
      <c r="AZ601" s="3"/>
      <c r="BA601" s="3"/>
    </row>
    <row r="602" ht="12.75" spans="1:53">
      <c r="A602" s="3"/>
      <c r="B602" s="3"/>
      <c r="C602" s="3"/>
      <c r="D602" s="30"/>
      <c r="E602" s="30"/>
      <c r="F602" s="30"/>
      <c r="G602" s="30"/>
      <c r="H602" s="30"/>
      <c r="I602" s="30"/>
      <c r="J602" s="3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"/>
      <c r="AV602" s="3"/>
      <c r="AW602" s="3"/>
      <c r="AX602" s="3"/>
      <c r="AY602" s="3"/>
      <c r="AZ602" s="3"/>
      <c r="BA602" s="3"/>
    </row>
    <row r="603" ht="12.75" spans="1:53">
      <c r="A603" s="3"/>
      <c r="B603" s="3"/>
      <c r="C603" s="3"/>
      <c r="D603" s="30"/>
      <c r="E603" s="30"/>
      <c r="F603" s="30"/>
      <c r="G603" s="30"/>
      <c r="H603" s="30"/>
      <c r="I603" s="30"/>
      <c r="J603" s="3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"/>
      <c r="AV603" s="3"/>
      <c r="AW603" s="3"/>
      <c r="AX603" s="3"/>
      <c r="AY603" s="3"/>
      <c r="AZ603" s="3"/>
      <c r="BA603" s="3"/>
    </row>
    <row r="604" ht="12.75" spans="1:53">
      <c r="A604" s="3"/>
      <c r="B604" s="3"/>
      <c r="C604" s="3"/>
      <c r="D604" s="30"/>
      <c r="E604" s="30"/>
      <c r="F604" s="30"/>
      <c r="G604" s="30"/>
      <c r="H604" s="30"/>
      <c r="I604" s="30"/>
      <c r="J604" s="3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"/>
      <c r="AV604" s="3"/>
      <c r="AW604" s="3"/>
      <c r="AX604" s="3"/>
      <c r="AY604" s="3"/>
      <c r="AZ604" s="3"/>
      <c r="BA604" s="3"/>
    </row>
    <row r="605" ht="12.75" spans="1:53">
      <c r="A605" s="3"/>
      <c r="B605" s="3"/>
      <c r="C605" s="3"/>
      <c r="D605" s="30"/>
      <c r="E605" s="30"/>
      <c r="F605" s="30"/>
      <c r="G605" s="30"/>
      <c r="H605" s="30"/>
      <c r="I605" s="30"/>
      <c r="J605" s="3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"/>
      <c r="AV605" s="3"/>
      <c r="AW605" s="3"/>
      <c r="AX605" s="3"/>
      <c r="AY605" s="3"/>
      <c r="AZ605" s="3"/>
      <c r="BA605" s="3"/>
    </row>
    <row r="606" ht="12.75" spans="1:53">
      <c r="A606" s="3"/>
      <c r="B606" s="3"/>
      <c r="C606" s="3"/>
      <c r="D606" s="30"/>
      <c r="E606" s="30"/>
      <c r="F606" s="30"/>
      <c r="G606" s="30"/>
      <c r="H606" s="30"/>
      <c r="I606" s="30"/>
      <c r="J606" s="3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"/>
      <c r="AV606" s="3"/>
      <c r="AW606" s="3"/>
      <c r="AX606" s="3"/>
      <c r="AY606" s="3"/>
      <c r="AZ606" s="3"/>
      <c r="BA606" s="3"/>
    </row>
    <row r="607" ht="12.75" spans="1:53">
      <c r="A607" s="3"/>
      <c r="B607" s="3"/>
      <c r="C607" s="3"/>
      <c r="D607" s="30"/>
      <c r="E607" s="30"/>
      <c r="F607" s="30"/>
      <c r="G607" s="30"/>
      <c r="H607" s="30"/>
      <c r="I607" s="30"/>
      <c r="J607" s="3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"/>
      <c r="AV607" s="3"/>
      <c r="AW607" s="3"/>
      <c r="AX607" s="3"/>
      <c r="AY607" s="3"/>
      <c r="AZ607" s="3"/>
      <c r="BA607" s="3"/>
    </row>
    <row r="608" ht="12.75" spans="1:53">
      <c r="A608" s="3"/>
      <c r="B608" s="3"/>
      <c r="C608" s="3"/>
      <c r="D608" s="30"/>
      <c r="E608" s="30"/>
      <c r="F608" s="30"/>
      <c r="G608" s="30"/>
      <c r="H608" s="30"/>
      <c r="I608" s="30"/>
      <c r="J608" s="3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"/>
      <c r="AV608" s="3"/>
      <c r="AW608" s="3"/>
      <c r="AX608" s="3"/>
      <c r="AY608" s="3"/>
      <c r="AZ608" s="3"/>
      <c r="BA608" s="3"/>
    </row>
    <row r="609" ht="12.75" spans="1:53">
      <c r="A609" s="3"/>
      <c r="B609" s="3"/>
      <c r="C609" s="3"/>
      <c r="D609" s="30"/>
      <c r="E609" s="30"/>
      <c r="F609" s="30"/>
      <c r="G609" s="30"/>
      <c r="H609" s="30"/>
      <c r="I609" s="30"/>
      <c r="J609" s="3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"/>
      <c r="AV609" s="3"/>
      <c r="AW609" s="3"/>
      <c r="AX609" s="3"/>
      <c r="AY609" s="3"/>
      <c r="AZ609" s="3"/>
      <c r="BA609" s="3"/>
    </row>
    <row r="610" ht="12.75" spans="1:53">
      <c r="A610" s="3"/>
      <c r="B610" s="3"/>
      <c r="C610" s="3"/>
      <c r="D610" s="30"/>
      <c r="E610" s="30"/>
      <c r="F610" s="30"/>
      <c r="G610" s="30"/>
      <c r="H610" s="30"/>
      <c r="I610" s="30"/>
      <c r="J610" s="3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"/>
      <c r="AV610" s="3"/>
      <c r="AW610" s="3"/>
      <c r="AX610" s="3"/>
      <c r="AY610" s="3"/>
      <c r="AZ610" s="3"/>
      <c r="BA610" s="3"/>
    </row>
    <row r="611" ht="12.75" spans="1:53">
      <c r="A611" s="3"/>
      <c r="B611" s="3"/>
      <c r="C611" s="3"/>
      <c r="D611" s="30"/>
      <c r="E611" s="30"/>
      <c r="F611" s="30"/>
      <c r="G611" s="30"/>
      <c r="H611" s="30"/>
      <c r="I611" s="30"/>
      <c r="J611" s="3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"/>
      <c r="AV611" s="3"/>
      <c r="AW611" s="3"/>
      <c r="AX611" s="3"/>
      <c r="AY611" s="3"/>
      <c r="AZ611" s="3"/>
      <c r="BA611" s="3"/>
    </row>
    <row r="612" ht="12.75" spans="1:53">
      <c r="A612" s="3"/>
      <c r="B612" s="3"/>
      <c r="C612" s="3"/>
      <c r="D612" s="30"/>
      <c r="E612" s="30"/>
      <c r="F612" s="30"/>
      <c r="G612" s="30"/>
      <c r="H612" s="30"/>
      <c r="I612" s="30"/>
      <c r="J612" s="3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"/>
      <c r="AV612" s="3"/>
      <c r="AW612" s="3"/>
      <c r="AX612" s="3"/>
      <c r="AY612" s="3"/>
      <c r="AZ612" s="3"/>
      <c r="BA612" s="3"/>
    </row>
    <row r="613" ht="12.75" spans="1:53">
      <c r="A613" s="3"/>
      <c r="B613" s="3"/>
      <c r="C613" s="3"/>
      <c r="D613" s="30"/>
      <c r="E613" s="30"/>
      <c r="F613" s="30"/>
      <c r="G613" s="30"/>
      <c r="H613" s="30"/>
      <c r="I613" s="30"/>
      <c r="J613" s="3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"/>
      <c r="AV613" s="3"/>
      <c r="AW613" s="3"/>
      <c r="AX613" s="3"/>
      <c r="AY613" s="3"/>
      <c r="AZ613" s="3"/>
      <c r="BA613" s="3"/>
    </row>
    <row r="614" ht="12.75" spans="1:53">
      <c r="A614" s="3"/>
      <c r="B614" s="3"/>
      <c r="C614" s="3"/>
      <c r="D614" s="30"/>
      <c r="E614" s="30"/>
      <c r="F614" s="30"/>
      <c r="G614" s="30"/>
      <c r="H614" s="30"/>
      <c r="I614" s="30"/>
      <c r="J614" s="3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"/>
      <c r="AV614" s="3"/>
      <c r="AW614" s="3"/>
      <c r="AX614" s="3"/>
      <c r="AY614" s="3"/>
      <c r="AZ614" s="3"/>
      <c r="BA614" s="3"/>
    </row>
    <row r="615" ht="12.75" spans="1:53">
      <c r="A615" s="3"/>
      <c r="B615" s="3"/>
      <c r="C615" s="3"/>
      <c r="D615" s="30"/>
      <c r="E615" s="30"/>
      <c r="F615" s="30"/>
      <c r="G615" s="30"/>
      <c r="H615" s="30"/>
      <c r="I615" s="30"/>
      <c r="J615" s="3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"/>
      <c r="AV615" s="3"/>
      <c r="AW615" s="3"/>
      <c r="AX615" s="3"/>
      <c r="AY615" s="3"/>
      <c r="AZ615" s="3"/>
      <c r="BA615" s="3"/>
    </row>
    <row r="616" ht="12.75" spans="1:53">
      <c r="A616" s="3"/>
      <c r="B616" s="3"/>
      <c r="C616" s="3"/>
      <c r="D616" s="30"/>
      <c r="E616" s="30"/>
      <c r="F616" s="30"/>
      <c r="G616" s="30"/>
      <c r="H616" s="30"/>
      <c r="I616" s="30"/>
      <c r="J616" s="3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"/>
      <c r="AV616" s="3"/>
      <c r="AW616" s="3"/>
      <c r="AX616" s="3"/>
      <c r="AY616" s="3"/>
      <c r="AZ616" s="3"/>
      <c r="BA616" s="3"/>
    </row>
    <row r="617" ht="12.75" spans="1:53">
      <c r="A617" s="3"/>
      <c r="B617" s="3"/>
      <c r="C617" s="3"/>
      <c r="D617" s="30"/>
      <c r="E617" s="30"/>
      <c r="F617" s="30"/>
      <c r="G617" s="30"/>
      <c r="H617" s="30"/>
      <c r="I617" s="30"/>
      <c r="J617" s="3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"/>
      <c r="AV617" s="3"/>
      <c r="AW617" s="3"/>
      <c r="AX617" s="3"/>
      <c r="AY617" s="3"/>
      <c r="AZ617" s="3"/>
      <c r="BA617" s="3"/>
    </row>
    <row r="618" ht="12.75" spans="1:53">
      <c r="A618" s="3"/>
      <c r="B618" s="3"/>
      <c r="C618" s="3"/>
      <c r="D618" s="30"/>
      <c r="E618" s="30"/>
      <c r="F618" s="30"/>
      <c r="G618" s="30"/>
      <c r="H618" s="30"/>
      <c r="I618" s="30"/>
      <c r="J618" s="3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"/>
      <c r="AV618" s="3"/>
      <c r="AW618" s="3"/>
      <c r="AX618" s="3"/>
      <c r="AY618" s="3"/>
      <c r="AZ618" s="3"/>
      <c r="BA618" s="3"/>
    </row>
    <row r="619" ht="12.75" spans="1:53">
      <c r="A619" s="3"/>
      <c r="B619" s="3"/>
      <c r="C619" s="3"/>
      <c r="D619" s="30"/>
      <c r="E619" s="30"/>
      <c r="F619" s="30"/>
      <c r="G619" s="30"/>
      <c r="H619" s="30"/>
      <c r="I619" s="30"/>
      <c r="J619" s="3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"/>
      <c r="AV619" s="3"/>
      <c r="AW619" s="3"/>
      <c r="AX619" s="3"/>
      <c r="AY619" s="3"/>
      <c r="AZ619" s="3"/>
      <c r="BA619" s="3"/>
    </row>
    <row r="620" ht="12.75" spans="1:53">
      <c r="A620" s="3"/>
      <c r="B620" s="3"/>
      <c r="C620" s="3"/>
      <c r="D620" s="30"/>
      <c r="E620" s="30"/>
      <c r="F620" s="30"/>
      <c r="G620" s="30"/>
      <c r="H620" s="30"/>
      <c r="I620" s="30"/>
      <c r="J620" s="3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"/>
      <c r="AV620" s="3"/>
      <c r="AW620" s="3"/>
      <c r="AX620" s="3"/>
      <c r="AY620" s="3"/>
      <c r="AZ620" s="3"/>
      <c r="BA620" s="3"/>
    </row>
    <row r="621" ht="12.75" spans="1:53">
      <c r="A621" s="3"/>
      <c r="B621" s="3"/>
      <c r="C621" s="3"/>
      <c r="D621" s="30"/>
      <c r="E621" s="30"/>
      <c r="F621" s="30"/>
      <c r="G621" s="30"/>
      <c r="H621" s="30"/>
      <c r="I621" s="30"/>
      <c r="J621" s="3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"/>
      <c r="AV621" s="3"/>
      <c r="AW621" s="3"/>
      <c r="AX621" s="3"/>
      <c r="AY621" s="3"/>
      <c r="AZ621" s="3"/>
      <c r="BA621" s="3"/>
    </row>
    <row r="622" ht="12.75" spans="1:53">
      <c r="A622" s="3"/>
      <c r="B622" s="3"/>
      <c r="C622" s="3"/>
      <c r="D622" s="30"/>
      <c r="E622" s="30"/>
      <c r="F622" s="30"/>
      <c r="G622" s="30"/>
      <c r="H622" s="30"/>
      <c r="I622" s="30"/>
      <c r="J622" s="3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"/>
      <c r="AV622" s="3"/>
      <c r="AW622" s="3"/>
      <c r="AX622" s="3"/>
      <c r="AY622" s="3"/>
      <c r="AZ622" s="3"/>
      <c r="BA622" s="3"/>
    </row>
    <row r="623" ht="12.75" spans="1:53">
      <c r="A623" s="3"/>
      <c r="B623" s="3"/>
      <c r="C623" s="3"/>
      <c r="D623" s="30"/>
      <c r="E623" s="30"/>
      <c r="F623" s="30"/>
      <c r="G623" s="30"/>
      <c r="H623" s="30"/>
      <c r="I623" s="30"/>
      <c r="J623" s="3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"/>
      <c r="AV623" s="3"/>
      <c r="AW623" s="3"/>
      <c r="AX623" s="3"/>
      <c r="AY623" s="3"/>
      <c r="AZ623" s="3"/>
      <c r="BA623" s="3"/>
    </row>
    <row r="624" ht="12.75" spans="1:53">
      <c r="A624" s="3"/>
      <c r="B624" s="3"/>
      <c r="C624" s="3"/>
      <c r="D624" s="30"/>
      <c r="E624" s="30"/>
      <c r="F624" s="30"/>
      <c r="G624" s="30"/>
      <c r="H624" s="30"/>
      <c r="I624" s="30"/>
      <c r="J624" s="3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"/>
      <c r="AV624" s="3"/>
      <c r="AW624" s="3"/>
      <c r="AX624" s="3"/>
      <c r="AY624" s="3"/>
      <c r="AZ624" s="3"/>
      <c r="BA624" s="3"/>
    </row>
    <row r="625" ht="12.75" spans="1:53">
      <c r="A625" s="3"/>
      <c r="B625" s="3"/>
      <c r="C625" s="3"/>
      <c r="D625" s="30"/>
      <c r="E625" s="30"/>
      <c r="F625" s="30"/>
      <c r="G625" s="30"/>
      <c r="H625" s="30"/>
      <c r="I625" s="30"/>
      <c r="J625" s="3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"/>
      <c r="AV625" s="3"/>
      <c r="AW625" s="3"/>
      <c r="AX625" s="3"/>
      <c r="AY625" s="3"/>
      <c r="AZ625" s="3"/>
      <c r="BA625" s="3"/>
    </row>
    <row r="626" ht="12.75" spans="1:53">
      <c r="A626" s="3"/>
      <c r="B626" s="3"/>
      <c r="C626" s="3"/>
      <c r="D626" s="30"/>
      <c r="E626" s="30"/>
      <c r="F626" s="30"/>
      <c r="G626" s="30"/>
      <c r="H626" s="30"/>
      <c r="I626" s="30"/>
      <c r="J626" s="3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"/>
      <c r="AV626" s="3"/>
      <c r="AW626" s="3"/>
      <c r="AX626" s="3"/>
      <c r="AY626" s="3"/>
      <c r="AZ626" s="3"/>
      <c r="BA626" s="3"/>
    </row>
    <row r="627" ht="12.75" spans="1:53">
      <c r="A627" s="3"/>
      <c r="B627" s="3"/>
      <c r="C627" s="3"/>
      <c r="D627" s="30"/>
      <c r="E627" s="30"/>
      <c r="F627" s="30"/>
      <c r="G627" s="30"/>
      <c r="H627" s="30"/>
      <c r="I627" s="30"/>
      <c r="J627" s="3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"/>
      <c r="AV627" s="3"/>
      <c r="AW627" s="3"/>
      <c r="AX627" s="3"/>
      <c r="AY627" s="3"/>
      <c r="AZ627" s="3"/>
      <c r="BA627" s="3"/>
    </row>
    <row r="628" ht="12.75" spans="1:53">
      <c r="A628" s="3"/>
      <c r="B628" s="3"/>
      <c r="C628" s="3"/>
      <c r="D628" s="30"/>
      <c r="E628" s="30"/>
      <c r="F628" s="30"/>
      <c r="G628" s="30"/>
      <c r="H628" s="30"/>
      <c r="I628" s="30"/>
      <c r="J628" s="3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"/>
      <c r="AV628" s="3"/>
      <c r="AW628" s="3"/>
      <c r="AX628" s="3"/>
      <c r="AY628" s="3"/>
      <c r="AZ628" s="3"/>
      <c r="BA628" s="3"/>
    </row>
    <row r="629" ht="12.75" spans="1:53">
      <c r="A629" s="3"/>
      <c r="B629" s="3"/>
      <c r="C629" s="3"/>
      <c r="D629" s="30"/>
      <c r="E629" s="30"/>
      <c r="F629" s="30"/>
      <c r="G629" s="30"/>
      <c r="H629" s="30"/>
      <c r="I629" s="30"/>
      <c r="J629" s="3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"/>
      <c r="AV629" s="3"/>
      <c r="AW629" s="3"/>
      <c r="AX629" s="3"/>
      <c r="AY629" s="3"/>
      <c r="AZ629" s="3"/>
      <c r="BA629" s="3"/>
    </row>
    <row r="630" ht="12.75" spans="1:53">
      <c r="A630" s="3"/>
      <c r="B630" s="3"/>
      <c r="C630" s="3"/>
      <c r="D630" s="30"/>
      <c r="E630" s="30"/>
      <c r="F630" s="30"/>
      <c r="G630" s="30"/>
      <c r="H630" s="30"/>
      <c r="I630" s="30"/>
      <c r="J630" s="3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"/>
      <c r="AV630" s="3"/>
      <c r="AW630" s="3"/>
      <c r="AX630" s="3"/>
      <c r="AY630" s="3"/>
      <c r="AZ630" s="3"/>
      <c r="BA630" s="3"/>
    </row>
    <row r="631" ht="12.75" spans="1:53">
      <c r="A631" s="3"/>
      <c r="B631" s="3"/>
      <c r="C631" s="3"/>
      <c r="D631" s="30"/>
      <c r="E631" s="30"/>
      <c r="F631" s="30"/>
      <c r="G631" s="30"/>
      <c r="H631" s="30"/>
      <c r="I631" s="30"/>
      <c r="J631" s="3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"/>
      <c r="AV631" s="3"/>
      <c r="AW631" s="3"/>
      <c r="AX631" s="3"/>
      <c r="AY631" s="3"/>
      <c r="AZ631" s="3"/>
      <c r="BA631" s="3"/>
    </row>
    <row r="632" ht="12.75" spans="1:53">
      <c r="A632" s="3"/>
      <c r="B632" s="3"/>
      <c r="C632" s="3"/>
      <c r="D632" s="30"/>
      <c r="E632" s="30"/>
      <c r="F632" s="30"/>
      <c r="G632" s="30"/>
      <c r="H632" s="30"/>
      <c r="I632" s="30"/>
      <c r="J632" s="3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"/>
      <c r="AV632" s="3"/>
      <c r="AW632" s="3"/>
      <c r="AX632" s="3"/>
      <c r="AY632" s="3"/>
      <c r="AZ632" s="3"/>
      <c r="BA632" s="3"/>
    </row>
    <row r="633" ht="12.75" spans="1:53">
      <c r="A633" s="3"/>
      <c r="B633" s="3"/>
      <c r="C633" s="3"/>
      <c r="D633" s="30"/>
      <c r="E633" s="30"/>
      <c r="F633" s="30"/>
      <c r="G633" s="30"/>
      <c r="H633" s="30"/>
      <c r="I633" s="30"/>
      <c r="J633" s="3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"/>
      <c r="AV633" s="3"/>
      <c r="AW633" s="3"/>
      <c r="AX633" s="3"/>
      <c r="AY633" s="3"/>
      <c r="AZ633" s="3"/>
      <c r="BA633" s="3"/>
    </row>
    <row r="634" ht="12.75" spans="1:53">
      <c r="A634" s="3"/>
      <c r="B634" s="3"/>
      <c r="C634" s="3"/>
      <c r="D634" s="30"/>
      <c r="E634" s="30"/>
      <c r="F634" s="30"/>
      <c r="G634" s="30"/>
      <c r="H634" s="30"/>
      <c r="I634" s="30"/>
      <c r="J634" s="3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"/>
      <c r="AV634" s="3"/>
      <c r="AW634" s="3"/>
      <c r="AX634" s="3"/>
      <c r="AY634" s="3"/>
      <c r="AZ634" s="3"/>
      <c r="BA634" s="3"/>
    </row>
    <row r="635" ht="12.75" spans="1:53">
      <c r="A635" s="3"/>
      <c r="B635" s="3"/>
      <c r="C635" s="3"/>
      <c r="D635" s="30"/>
      <c r="E635" s="30"/>
      <c r="F635" s="30"/>
      <c r="G635" s="30"/>
      <c r="H635" s="30"/>
      <c r="I635" s="30"/>
      <c r="J635" s="3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"/>
      <c r="AV635" s="3"/>
      <c r="AW635" s="3"/>
      <c r="AX635" s="3"/>
      <c r="AY635" s="3"/>
      <c r="AZ635" s="3"/>
      <c r="BA635" s="3"/>
    </row>
    <row r="636" ht="12.75" spans="1:53">
      <c r="A636" s="3"/>
      <c r="B636" s="3"/>
      <c r="C636" s="3"/>
      <c r="D636" s="30"/>
      <c r="E636" s="30"/>
      <c r="F636" s="30"/>
      <c r="G636" s="30"/>
      <c r="H636" s="30"/>
      <c r="I636" s="30"/>
      <c r="J636" s="3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"/>
      <c r="AV636" s="3"/>
      <c r="AW636" s="3"/>
      <c r="AX636" s="3"/>
      <c r="AY636" s="3"/>
      <c r="AZ636" s="3"/>
      <c r="BA636" s="3"/>
    </row>
    <row r="637" ht="12.75" spans="1:53">
      <c r="A637" s="3"/>
      <c r="B637" s="3"/>
      <c r="C637" s="3"/>
      <c r="D637" s="30"/>
      <c r="E637" s="30"/>
      <c r="F637" s="30"/>
      <c r="G637" s="30"/>
      <c r="H637" s="30"/>
      <c r="I637" s="30"/>
      <c r="J637" s="3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"/>
      <c r="AV637" s="3"/>
      <c r="AW637" s="3"/>
      <c r="AX637" s="3"/>
      <c r="AY637" s="3"/>
      <c r="AZ637" s="3"/>
      <c r="BA637" s="3"/>
    </row>
    <row r="638" ht="12.75" spans="1:53">
      <c r="A638" s="3"/>
      <c r="B638" s="3"/>
      <c r="C638" s="3"/>
      <c r="D638" s="30"/>
      <c r="E638" s="30"/>
      <c r="F638" s="30"/>
      <c r="G638" s="30"/>
      <c r="H638" s="30"/>
      <c r="I638" s="30"/>
      <c r="J638" s="3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"/>
      <c r="AV638" s="3"/>
      <c r="AW638" s="3"/>
      <c r="AX638" s="3"/>
      <c r="AY638" s="3"/>
      <c r="AZ638" s="3"/>
      <c r="BA638" s="3"/>
    </row>
    <row r="639" ht="12.75" spans="1:53">
      <c r="A639" s="3"/>
      <c r="B639" s="3"/>
      <c r="C639" s="3"/>
      <c r="D639" s="30"/>
      <c r="E639" s="30"/>
      <c r="F639" s="30"/>
      <c r="G639" s="30"/>
      <c r="H639" s="30"/>
      <c r="I639" s="30"/>
      <c r="J639" s="3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"/>
      <c r="AV639" s="3"/>
      <c r="AW639" s="3"/>
      <c r="AX639" s="3"/>
      <c r="AY639" s="3"/>
      <c r="AZ639" s="3"/>
      <c r="BA639" s="3"/>
    </row>
    <row r="640" ht="12.75" spans="1:53">
      <c r="A640" s="3"/>
      <c r="B640" s="3"/>
      <c r="C640" s="3"/>
      <c r="D640" s="30"/>
      <c r="E640" s="30"/>
      <c r="F640" s="30"/>
      <c r="G640" s="30"/>
      <c r="H640" s="30"/>
      <c r="I640" s="30"/>
      <c r="J640" s="3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"/>
      <c r="AV640" s="3"/>
      <c r="AW640" s="3"/>
      <c r="AX640" s="3"/>
      <c r="AY640" s="3"/>
      <c r="AZ640" s="3"/>
      <c r="BA640" s="3"/>
    </row>
    <row r="641" ht="12.75" spans="1:53">
      <c r="A641" s="3"/>
      <c r="B641" s="3"/>
      <c r="C641" s="3"/>
      <c r="D641" s="30"/>
      <c r="E641" s="30"/>
      <c r="F641" s="30"/>
      <c r="G641" s="30"/>
      <c r="H641" s="30"/>
      <c r="I641" s="30"/>
      <c r="J641" s="3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"/>
      <c r="AV641" s="3"/>
      <c r="AW641" s="3"/>
      <c r="AX641" s="3"/>
      <c r="AY641" s="3"/>
      <c r="AZ641" s="3"/>
      <c r="BA641" s="3"/>
    </row>
    <row r="642" ht="12.75" spans="1:53">
      <c r="A642" s="3"/>
      <c r="B642" s="3"/>
      <c r="C642" s="3"/>
      <c r="D642" s="30"/>
      <c r="E642" s="30"/>
      <c r="F642" s="30"/>
      <c r="G642" s="30"/>
      <c r="H642" s="30"/>
      <c r="I642" s="30"/>
      <c r="J642" s="3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"/>
      <c r="AV642" s="3"/>
      <c r="AW642" s="3"/>
      <c r="AX642" s="3"/>
      <c r="AY642" s="3"/>
      <c r="AZ642" s="3"/>
      <c r="BA642" s="3"/>
    </row>
    <row r="643" ht="12.75" spans="1:53">
      <c r="A643" s="3"/>
      <c r="B643" s="3"/>
      <c r="C643" s="3"/>
      <c r="D643" s="30"/>
      <c r="E643" s="30"/>
      <c r="F643" s="30"/>
      <c r="G643" s="30"/>
      <c r="H643" s="30"/>
      <c r="I643" s="30"/>
      <c r="J643" s="3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"/>
      <c r="AV643" s="3"/>
      <c r="AW643" s="3"/>
      <c r="AX643" s="3"/>
      <c r="AY643" s="3"/>
      <c r="AZ643" s="3"/>
      <c r="BA643" s="3"/>
    </row>
    <row r="644" ht="12.75" spans="1:53">
      <c r="A644" s="3"/>
      <c r="B644" s="3"/>
      <c r="C644" s="3"/>
      <c r="D644" s="30"/>
      <c r="E644" s="30"/>
      <c r="F644" s="30"/>
      <c r="G644" s="30"/>
      <c r="H644" s="30"/>
      <c r="I644" s="30"/>
      <c r="J644" s="3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"/>
      <c r="AV644" s="3"/>
      <c r="AW644" s="3"/>
      <c r="AX644" s="3"/>
      <c r="AY644" s="3"/>
      <c r="AZ644" s="3"/>
      <c r="BA644" s="3"/>
    </row>
    <row r="645" ht="12.75" spans="1:53">
      <c r="A645" s="3"/>
      <c r="B645" s="3"/>
      <c r="C645" s="3"/>
      <c r="D645" s="30"/>
      <c r="E645" s="30"/>
      <c r="F645" s="30"/>
      <c r="G645" s="30"/>
      <c r="H645" s="30"/>
      <c r="I645" s="30"/>
      <c r="J645" s="3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"/>
      <c r="AV645" s="3"/>
      <c r="AW645" s="3"/>
      <c r="AX645" s="3"/>
      <c r="AY645" s="3"/>
      <c r="AZ645" s="3"/>
      <c r="BA645" s="3"/>
    </row>
    <row r="646" ht="12.75" spans="1:53">
      <c r="A646" s="3"/>
      <c r="B646" s="3"/>
      <c r="C646" s="3"/>
      <c r="D646" s="30"/>
      <c r="E646" s="30"/>
      <c r="F646" s="30"/>
      <c r="G646" s="30"/>
      <c r="H646" s="30"/>
      <c r="I646" s="30"/>
      <c r="J646" s="3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"/>
      <c r="AV646" s="3"/>
      <c r="AW646" s="3"/>
      <c r="AX646" s="3"/>
      <c r="AY646" s="3"/>
      <c r="AZ646" s="3"/>
      <c r="BA646" s="3"/>
    </row>
    <row r="647" ht="12.75" spans="1:53">
      <c r="A647" s="3"/>
      <c r="B647" s="3"/>
      <c r="C647" s="3"/>
      <c r="D647" s="30"/>
      <c r="E647" s="30"/>
      <c r="F647" s="30"/>
      <c r="G647" s="30"/>
      <c r="H647" s="30"/>
      <c r="I647" s="30"/>
      <c r="J647" s="3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"/>
      <c r="AV647" s="3"/>
      <c r="AW647" s="3"/>
      <c r="AX647" s="3"/>
      <c r="AY647" s="3"/>
      <c r="AZ647" s="3"/>
      <c r="BA647" s="3"/>
    </row>
    <row r="648" ht="12.75" spans="1:53">
      <c r="A648" s="3"/>
      <c r="B648" s="3"/>
      <c r="C648" s="3"/>
      <c r="D648" s="30"/>
      <c r="E648" s="30"/>
      <c r="F648" s="30"/>
      <c r="G648" s="30"/>
      <c r="H648" s="30"/>
      <c r="I648" s="30"/>
      <c r="J648" s="3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"/>
      <c r="AV648" s="3"/>
      <c r="AW648" s="3"/>
      <c r="AX648" s="3"/>
      <c r="AY648" s="3"/>
      <c r="AZ648" s="3"/>
      <c r="BA648" s="3"/>
    </row>
    <row r="649" ht="12.75" spans="1:53">
      <c r="A649" s="3"/>
      <c r="B649" s="3"/>
      <c r="C649" s="3"/>
      <c r="D649" s="30"/>
      <c r="E649" s="30"/>
      <c r="F649" s="30"/>
      <c r="G649" s="30"/>
      <c r="H649" s="30"/>
      <c r="I649" s="30"/>
      <c r="J649" s="3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"/>
      <c r="AV649" s="3"/>
      <c r="AW649" s="3"/>
      <c r="AX649" s="3"/>
      <c r="AY649" s="3"/>
      <c r="AZ649" s="3"/>
      <c r="BA649" s="3"/>
    </row>
    <row r="650" ht="12.75" spans="1:53">
      <c r="A650" s="3"/>
      <c r="B650" s="3"/>
      <c r="C650" s="3"/>
      <c r="D650" s="30"/>
      <c r="E650" s="30"/>
      <c r="F650" s="30"/>
      <c r="G650" s="30"/>
      <c r="H650" s="30"/>
      <c r="I650" s="30"/>
      <c r="J650" s="3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"/>
      <c r="AV650" s="3"/>
      <c r="AW650" s="3"/>
      <c r="AX650" s="3"/>
      <c r="AY650" s="3"/>
      <c r="AZ650" s="3"/>
      <c r="BA650" s="3"/>
    </row>
    <row r="651" ht="12.75" spans="1:53">
      <c r="A651" s="3"/>
      <c r="B651" s="3"/>
      <c r="C651" s="3"/>
      <c r="D651" s="30"/>
      <c r="E651" s="30"/>
      <c r="F651" s="30"/>
      <c r="G651" s="30"/>
      <c r="H651" s="30"/>
      <c r="I651" s="30"/>
      <c r="J651" s="3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"/>
      <c r="AV651" s="3"/>
      <c r="AW651" s="3"/>
      <c r="AX651" s="3"/>
      <c r="AY651" s="3"/>
      <c r="AZ651" s="3"/>
      <c r="BA651" s="3"/>
    </row>
    <row r="652" ht="12.75" spans="1:53">
      <c r="A652" s="3"/>
      <c r="B652" s="3"/>
      <c r="C652" s="3"/>
      <c r="D652" s="30"/>
      <c r="E652" s="30"/>
      <c r="F652" s="30"/>
      <c r="G652" s="30"/>
      <c r="H652" s="30"/>
      <c r="I652" s="30"/>
      <c r="J652" s="3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"/>
      <c r="AV652" s="3"/>
      <c r="AW652" s="3"/>
      <c r="AX652" s="3"/>
      <c r="AY652" s="3"/>
      <c r="AZ652" s="3"/>
      <c r="BA652" s="3"/>
    </row>
    <row r="653" ht="12.75" spans="1:53">
      <c r="A653" s="3"/>
      <c r="B653" s="3"/>
      <c r="C653" s="3"/>
      <c r="D653" s="30"/>
      <c r="E653" s="30"/>
      <c r="F653" s="30"/>
      <c r="G653" s="30"/>
      <c r="H653" s="30"/>
      <c r="I653" s="30"/>
      <c r="J653" s="3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"/>
      <c r="AV653" s="3"/>
      <c r="AW653" s="3"/>
      <c r="AX653" s="3"/>
      <c r="AY653" s="3"/>
      <c r="AZ653" s="3"/>
      <c r="BA653" s="3"/>
    </row>
    <row r="654" ht="12.75" spans="1:53">
      <c r="A654" s="3"/>
      <c r="B654" s="3"/>
      <c r="C654" s="3"/>
      <c r="D654" s="30"/>
      <c r="E654" s="30"/>
      <c r="F654" s="30"/>
      <c r="G654" s="30"/>
      <c r="H654" s="30"/>
      <c r="I654" s="30"/>
      <c r="J654" s="3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"/>
      <c r="AV654" s="3"/>
      <c r="AW654" s="3"/>
      <c r="AX654" s="3"/>
      <c r="AY654" s="3"/>
      <c r="AZ654" s="3"/>
      <c r="BA654" s="3"/>
    </row>
    <row r="655" ht="12.75" spans="1:53">
      <c r="A655" s="3"/>
      <c r="B655" s="3"/>
      <c r="C655" s="3"/>
      <c r="D655" s="30"/>
      <c r="E655" s="30"/>
      <c r="F655" s="30"/>
      <c r="G655" s="30"/>
      <c r="H655" s="30"/>
      <c r="I655" s="30"/>
      <c r="J655" s="3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"/>
      <c r="AV655" s="3"/>
      <c r="AW655" s="3"/>
      <c r="AX655" s="3"/>
      <c r="AY655" s="3"/>
      <c r="AZ655" s="3"/>
      <c r="BA655" s="3"/>
    </row>
    <row r="656" ht="12.75" spans="1:53">
      <c r="A656" s="3"/>
      <c r="B656" s="3"/>
      <c r="C656" s="3"/>
      <c r="D656" s="30"/>
      <c r="E656" s="30"/>
      <c r="F656" s="30"/>
      <c r="G656" s="30"/>
      <c r="H656" s="30"/>
      <c r="I656" s="30"/>
      <c r="J656" s="3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"/>
      <c r="AV656" s="3"/>
      <c r="AW656" s="3"/>
      <c r="AX656" s="3"/>
      <c r="AY656" s="3"/>
      <c r="AZ656" s="3"/>
      <c r="BA656" s="3"/>
    </row>
    <row r="657" ht="12.75" spans="1:53">
      <c r="A657" s="3"/>
      <c r="B657" s="3"/>
      <c r="C657" s="3"/>
      <c r="D657" s="30"/>
      <c r="E657" s="30"/>
      <c r="F657" s="30"/>
      <c r="G657" s="30"/>
      <c r="H657" s="30"/>
      <c r="I657" s="30"/>
      <c r="J657" s="3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"/>
      <c r="AV657" s="3"/>
      <c r="AW657" s="3"/>
      <c r="AX657" s="3"/>
      <c r="AY657" s="3"/>
      <c r="AZ657" s="3"/>
      <c r="BA657" s="3"/>
    </row>
    <row r="658" ht="12.75" spans="1:53">
      <c r="A658" s="3"/>
      <c r="B658" s="3"/>
      <c r="C658" s="3"/>
      <c r="D658" s="30"/>
      <c r="E658" s="30"/>
      <c r="F658" s="30"/>
      <c r="G658" s="30"/>
      <c r="H658" s="30"/>
      <c r="I658" s="30"/>
      <c r="J658" s="3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"/>
      <c r="AV658" s="3"/>
      <c r="AW658" s="3"/>
      <c r="AX658" s="3"/>
      <c r="AY658" s="3"/>
      <c r="AZ658" s="3"/>
      <c r="BA658" s="3"/>
    </row>
    <row r="659" ht="12.75" spans="1:53">
      <c r="A659" s="3"/>
      <c r="B659" s="3"/>
      <c r="C659" s="3"/>
      <c r="D659" s="30"/>
      <c r="E659" s="30"/>
      <c r="F659" s="30"/>
      <c r="G659" s="30"/>
      <c r="H659" s="30"/>
      <c r="I659" s="30"/>
      <c r="J659" s="3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"/>
      <c r="AV659" s="3"/>
      <c r="AW659" s="3"/>
      <c r="AX659" s="3"/>
      <c r="AY659" s="3"/>
      <c r="AZ659" s="3"/>
      <c r="BA659" s="3"/>
    </row>
    <row r="660" ht="12.75" spans="1:53">
      <c r="A660" s="3"/>
      <c r="B660" s="3"/>
      <c r="C660" s="3"/>
      <c r="D660" s="30"/>
      <c r="E660" s="30"/>
      <c r="F660" s="30"/>
      <c r="G660" s="30"/>
      <c r="H660" s="30"/>
      <c r="I660" s="30"/>
      <c r="J660" s="3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"/>
      <c r="AV660" s="3"/>
      <c r="AW660" s="3"/>
      <c r="AX660" s="3"/>
      <c r="AY660" s="3"/>
      <c r="AZ660" s="3"/>
      <c r="BA660" s="3"/>
    </row>
    <row r="661" ht="12.75" spans="1:53">
      <c r="A661" s="3"/>
      <c r="B661" s="3"/>
      <c r="C661" s="3"/>
      <c r="D661" s="30"/>
      <c r="E661" s="30"/>
      <c r="F661" s="30"/>
      <c r="G661" s="30"/>
      <c r="H661" s="30"/>
      <c r="I661" s="30"/>
      <c r="J661" s="3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"/>
      <c r="AV661" s="3"/>
      <c r="AW661" s="3"/>
      <c r="AX661" s="3"/>
      <c r="AY661" s="3"/>
      <c r="AZ661" s="3"/>
      <c r="BA661" s="3"/>
    </row>
    <row r="662" ht="12.75" spans="1:53">
      <c r="A662" s="3"/>
      <c r="B662" s="3"/>
      <c r="C662" s="3"/>
      <c r="D662" s="30"/>
      <c r="E662" s="30"/>
      <c r="F662" s="30"/>
      <c r="G662" s="30"/>
      <c r="H662" s="30"/>
      <c r="I662" s="30"/>
      <c r="J662" s="3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"/>
      <c r="AV662" s="3"/>
      <c r="AW662" s="3"/>
      <c r="AX662" s="3"/>
      <c r="AY662" s="3"/>
      <c r="AZ662" s="3"/>
      <c r="BA662" s="3"/>
    </row>
    <row r="663" ht="12.75" spans="1:53">
      <c r="A663" s="3"/>
      <c r="B663" s="3"/>
      <c r="C663" s="3"/>
      <c r="D663" s="30"/>
      <c r="E663" s="30"/>
      <c r="F663" s="30"/>
      <c r="G663" s="30"/>
      <c r="H663" s="30"/>
      <c r="I663" s="30"/>
      <c r="J663" s="3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"/>
      <c r="AV663" s="3"/>
      <c r="AW663" s="3"/>
      <c r="AX663" s="3"/>
      <c r="AY663" s="3"/>
      <c r="AZ663" s="3"/>
      <c r="BA663" s="3"/>
    </row>
    <row r="664" ht="12.75" spans="1:53">
      <c r="A664" s="3"/>
      <c r="B664" s="3"/>
      <c r="C664" s="3"/>
      <c r="D664" s="30"/>
      <c r="E664" s="30"/>
      <c r="F664" s="30"/>
      <c r="G664" s="30"/>
      <c r="H664" s="30"/>
      <c r="I664" s="30"/>
      <c r="J664" s="3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"/>
      <c r="AV664" s="3"/>
      <c r="AW664" s="3"/>
      <c r="AX664" s="3"/>
      <c r="AY664" s="3"/>
      <c r="AZ664" s="3"/>
      <c r="BA664" s="3"/>
    </row>
    <row r="665" ht="12.75" spans="1:53">
      <c r="A665" s="3"/>
      <c r="B665" s="3"/>
      <c r="C665" s="3"/>
      <c r="D665" s="30"/>
      <c r="E665" s="30"/>
      <c r="F665" s="30"/>
      <c r="G665" s="30"/>
      <c r="H665" s="30"/>
      <c r="I665" s="30"/>
      <c r="J665" s="3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"/>
      <c r="AV665" s="3"/>
      <c r="AW665" s="3"/>
      <c r="AX665" s="3"/>
      <c r="AY665" s="3"/>
      <c r="AZ665" s="3"/>
      <c r="BA665" s="3"/>
    </row>
    <row r="666" ht="12.75" spans="1:53">
      <c r="A666" s="3"/>
      <c r="B666" s="3"/>
      <c r="C666" s="3"/>
      <c r="D666" s="30"/>
      <c r="E666" s="30"/>
      <c r="F666" s="30"/>
      <c r="G666" s="30"/>
      <c r="H666" s="30"/>
      <c r="I666" s="30"/>
      <c r="J666" s="3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"/>
      <c r="AV666" s="3"/>
      <c r="AW666" s="3"/>
      <c r="AX666" s="3"/>
      <c r="AY666" s="3"/>
      <c r="AZ666" s="3"/>
      <c r="BA666" s="3"/>
    </row>
    <row r="667" ht="12.75" spans="1:53">
      <c r="A667" s="3"/>
      <c r="B667" s="3"/>
      <c r="C667" s="3"/>
      <c r="D667" s="30"/>
      <c r="E667" s="30"/>
      <c r="F667" s="30"/>
      <c r="G667" s="30"/>
      <c r="H667" s="30"/>
      <c r="I667" s="30"/>
      <c r="J667" s="3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"/>
      <c r="AV667" s="3"/>
      <c r="AW667" s="3"/>
      <c r="AX667" s="3"/>
      <c r="AY667" s="3"/>
      <c r="AZ667" s="3"/>
      <c r="BA667" s="3"/>
    </row>
    <row r="668" ht="12.75" spans="1:53">
      <c r="A668" s="3"/>
      <c r="B668" s="3"/>
      <c r="C668" s="3"/>
      <c r="D668" s="30"/>
      <c r="E668" s="30"/>
      <c r="F668" s="30"/>
      <c r="G668" s="30"/>
      <c r="H668" s="30"/>
      <c r="I668" s="30"/>
      <c r="J668" s="3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"/>
      <c r="AV668" s="3"/>
      <c r="AW668" s="3"/>
      <c r="AX668" s="3"/>
      <c r="AY668" s="3"/>
      <c r="AZ668" s="3"/>
      <c r="BA668" s="3"/>
    </row>
    <row r="669" ht="12.75" spans="1:53">
      <c r="A669" s="3"/>
      <c r="B669" s="3"/>
      <c r="C669" s="3"/>
      <c r="D669" s="30"/>
      <c r="E669" s="30"/>
      <c r="F669" s="30"/>
      <c r="G669" s="30"/>
      <c r="H669" s="30"/>
      <c r="I669" s="30"/>
      <c r="J669" s="3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"/>
      <c r="AV669" s="3"/>
      <c r="AW669" s="3"/>
      <c r="AX669" s="3"/>
      <c r="AY669" s="3"/>
      <c r="AZ669" s="3"/>
      <c r="BA669" s="3"/>
    </row>
    <row r="670" ht="12.75" spans="1:53">
      <c r="A670" s="3"/>
      <c r="B670" s="3"/>
      <c r="C670" s="3"/>
      <c r="D670" s="30"/>
      <c r="E670" s="30"/>
      <c r="F670" s="30"/>
      <c r="G670" s="30"/>
      <c r="H670" s="30"/>
      <c r="I670" s="30"/>
      <c r="J670" s="3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"/>
      <c r="AV670" s="3"/>
      <c r="AW670" s="3"/>
      <c r="AX670" s="3"/>
      <c r="AY670" s="3"/>
      <c r="AZ670" s="3"/>
      <c r="BA670" s="3"/>
    </row>
    <row r="671" ht="12.75" spans="1:53">
      <c r="A671" s="3"/>
      <c r="B671" s="3"/>
      <c r="C671" s="3"/>
      <c r="D671" s="30"/>
      <c r="E671" s="30"/>
      <c r="F671" s="30"/>
      <c r="G671" s="30"/>
      <c r="H671" s="30"/>
      <c r="I671" s="30"/>
      <c r="J671" s="3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"/>
      <c r="AV671" s="3"/>
      <c r="AW671" s="3"/>
      <c r="AX671" s="3"/>
      <c r="AY671" s="3"/>
      <c r="AZ671" s="3"/>
      <c r="BA671" s="3"/>
    </row>
    <row r="672" ht="12.75" spans="1:53">
      <c r="A672" s="3"/>
      <c r="B672" s="3"/>
      <c r="C672" s="3"/>
      <c r="D672" s="30"/>
      <c r="E672" s="30"/>
      <c r="F672" s="30"/>
      <c r="G672" s="30"/>
      <c r="H672" s="30"/>
      <c r="I672" s="30"/>
      <c r="J672" s="3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"/>
      <c r="AV672" s="3"/>
      <c r="AW672" s="3"/>
      <c r="AX672" s="3"/>
      <c r="AY672" s="3"/>
      <c r="AZ672" s="3"/>
      <c r="BA672" s="3"/>
    </row>
    <row r="673" ht="12.75" spans="1:53">
      <c r="A673" s="3"/>
      <c r="B673" s="3"/>
      <c r="C673" s="3"/>
      <c r="D673" s="30"/>
      <c r="E673" s="30"/>
      <c r="F673" s="30"/>
      <c r="G673" s="30"/>
      <c r="H673" s="30"/>
      <c r="I673" s="30"/>
      <c r="J673" s="3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"/>
      <c r="AV673" s="3"/>
      <c r="AW673" s="3"/>
      <c r="AX673" s="3"/>
      <c r="AY673" s="3"/>
      <c r="AZ673" s="3"/>
      <c r="BA673" s="3"/>
    </row>
    <row r="674" ht="12.75" spans="1:53">
      <c r="A674" s="3"/>
      <c r="B674" s="3"/>
      <c r="C674" s="3"/>
      <c r="D674" s="30"/>
      <c r="E674" s="30"/>
      <c r="F674" s="30"/>
      <c r="G674" s="30"/>
      <c r="H674" s="30"/>
      <c r="I674" s="30"/>
      <c r="J674" s="3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"/>
      <c r="AV674" s="3"/>
      <c r="AW674" s="3"/>
      <c r="AX674" s="3"/>
      <c r="AY674" s="3"/>
      <c r="AZ674" s="3"/>
      <c r="BA674" s="3"/>
    </row>
    <row r="675" ht="12.75" spans="1:53">
      <c r="A675" s="3"/>
      <c r="B675" s="3"/>
      <c r="C675" s="3"/>
      <c r="D675" s="30"/>
      <c r="E675" s="30"/>
      <c r="F675" s="30"/>
      <c r="G675" s="30"/>
      <c r="H675" s="30"/>
      <c r="I675" s="30"/>
      <c r="J675" s="3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"/>
      <c r="AV675" s="3"/>
      <c r="AW675" s="3"/>
      <c r="AX675" s="3"/>
      <c r="AY675" s="3"/>
      <c r="AZ675" s="3"/>
      <c r="BA675" s="3"/>
    </row>
    <row r="676" ht="12.75" spans="1:53">
      <c r="A676" s="3"/>
      <c r="B676" s="3"/>
      <c r="C676" s="3"/>
      <c r="D676" s="30"/>
      <c r="E676" s="30"/>
      <c r="F676" s="30"/>
      <c r="G676" s="30"/>
      <c r="H676" s="30"/>
      <c r="I676" s="30"/>
      <c r="J676" s="3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"/>
      <c r="AV676" s="3"/>
      <c r="AW676" s="3"/>
      <c r="AX676" s="3"/>
      <c r="AY676" s="3"/>
      <c r="AZ676" s="3"/>
      <c r="BA676" s="3"/>
    </row>
    <row r="677" ht="12.75" spans="1:53">
      <c r="A677" s="3"/>
      <c r="B677" s="3"/>
      <c r="C677" s="3"/>
      <c r="D677" s="30"/>
      <c r="E677" s="30"/>
      <c r="F677" s="30"/>
      <c r="G677" s="30"/>
      <c r="H677" s="30"/>
      <c r="I677" s="30"/>
      <c r="J677" s="3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"/>
      <c r="AV677" s="3"/>
      <c r="AW677" s="3"/>
      <c r="AX677" s="3"/>
      <c r="AY677" s="3"/>
      <c r="AZ677" s="3"/>
      <c r="BA677" s="3"/>
    </row>
    <row r="678" ht="12.75" spans="1:53">
      <c r="A678" s="3"/>
      <c r="B678" s="3"/>
      <c r="C678" s="3"/>
      <c r="D678" s="30"/>
      <c r="E678" s="30"/>
      <c r="F678" s="30"/>
      <c r="G678" s="30"/>
      <c r="H678" s="30"/>
      <c r="I678" s="30"/>
      <c r="J678" s="3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"/>
      <c r="AV678" s="3"/>
      <c r="AW678" s="3"/>
      <c r="AX678" s="3"/>
      <c r="AY678" s="3"/>
      <c r="AZ678" s="3"/>
      <c r="BA678" s="3"/>
    </row>
    <row r="679" ht="12.75" spans="1:53">
      <c r="A679" s="3"/>
      <c r="B679" s="3"/>
      <c r="C679" s="3"/>
      <c r="D679" s="30"/>
      <c r="E679" s="30"/>
      <c r="F679" s="30"/>
      <c r="G679" s="30"/>
      <c r="H679" s="30"/>
      <c r="I679" s="30"/>
      <c r="J679" s="3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"/>
      <c r="AV679" s="3"/>
      <c r="AW679" s="3"/>
      <c r="AX679" s="3"/>
      <c r="AY679" s="3"/>
      <c r="AZ679" s="3"/>
      <c r="BA679" s="3"/>
    </row>
    <row r="680" ht="12.75" spans="1:53">
      <c r="A680" s="3"/>
      <c r="B680" s="3"/>
      <c r="C680" s="3"/>
      <c r="D680" s="30"/>
      <c r="E680" s="30"/>
      <c r="F680" s="30"/>
      <c r="G680" s="30"/>
      <c r="H680" s="30"/>
      <c r="I680" s="30"/>
      <c r="J680" s="3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"/>
      <c r="AV680" s="3"/>
      <c r="AW680" s="3"/>
      <c r="AX680" s="3"/>
      <c r="AY680" s="3"/>
      <c r="AZ680" s="3"/>
      <c r="BA680" s="3"/>
    </row>
    <row r="681" ht="12.75" spans="1:53">
      <c r="A681" s="3"/>
      <c r="B681" s="3"/>
      <c r="C681" s="3"/>
      <c r="D681" s="30"/>
      <c r="E681" s="30"/>
      <c r="F681" s="30"/>
      <c r="G681" s="30"/>
      <c r="H681" s="30"/>
      <c r="I681" s="30"/>
      <c r="J681" s="3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"/>
      <c r="AV681" s="3"/>
      <c r="AW681" s="3"/>
      <c r="AX681" s="3"/>
      <c r="AY681" s="3"/>
      <c r="AZ681" s="3"/>
      <c r="BA681" s="3"/>
    </row>
    <row r="682" ht="12.75" spans="1:53">
      <c r="A682" s="3"/>
      <c r="B682" s="3"/>
      <c r="C682" s="3"/>
      <c r="D682" s="30"/>
      <c r="E682" s="30"/>
      <c r="F682" s="30"/>
      <c r="G682" s="30"/>
      <c r="H682" s="30"/>
      <c r="I682" s="30"/>
      <c r="J682" s="3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"/>
      <c r="AV682" s="3"/>
      <c r="AW682" s="3"/>
      <c r="AX682" s="3"/>
      <c r="AY682" s="3"/>
      <c r="AZ682" s="3"/>
      <c r="BA682" s="3"/>
    </row>
    <row r="683" ht="12.75" spans="1:53">
      <c r="A683" s="3"/>
      <c r="B683" s="3"/>
      <c r="C683" s="3"/>
      <c r="D683" s="30"/>
      <c r="E683" s="30"/>
      <c r="F683" s="30"/>
      <c r="G683" s="30"/>
      <c r="H683" s="30"/>
      <c r="I683" s="30"/>
      <c r="J683" s="3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"/>
      <c r="AV683" s="3"/>
      <c r="AW683" s="3"/>
      <c r="AX683" s="3"/>
      <c r="AY683" s="3"/>
      <c r="AZ683" s="3"/>
      <c r="BA683" s="3"/>
    </row>
    <row r="684" ht="12.75" spans="1:53">
      <c r="A684" s="3"/>
      <c r="B684" s="3"/>
      <c r="C684" s="3"/>
      <c r="D684" s="30"/>
      <c r="E684" s="30"/>
      <c r="F684" s="30"/>
      <c r="G684" s="30"/>
      <c r="H684" s="30"/>
      <c r="I684" s="30"/>
      <c r="J684" s="3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"/>
      <c r="AV684" s="3"/>
      <c r="AW684" s="3"/>
      <c r="AX684" s="3"/>
      <c r="AY684" s="3"/>
      <c r="AZ684" s="3"/>
      <c r="BA684" s="3"/>
    </row>
    <row r="685" ht="12.75" spans="1:53">
      <c r="A685" s="3"/>
      <c r="B685" s="3"/>
      <c r="C685" s="3"/>
      <c r="D685" s="30"/>
      <c r="E685" s="30"/>
      <c r="F685" s="30"/>
      <c r="G685" s="30"/>
      <c r="H685" s="30"/>
      <c r="I685" s="30"/>
      <c r="J685" s="3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"/>
      <c r="AV685" s="3"/>
      <c r="AW685" s="3"/>
      <c r="AX685" s="3"/>
      <c r="AY685" s="3"/>
      <c r="AZ685" s="3"/>
      <c r="BA685" s="3"/>
    </row>
    <row r="686" ht="12.75" spans="1:53">
      <c r="A686" s="3"/>
      <c r="B686" s="3"/>
      <c r="C686" s="3"/>
      <c r="D686" s="30"/>
      <c r="E686" s="30"/>
      <c r="F686" s="30"/>
      <c r="G686" s="30"/>
      <c r="H686" s="30"/>
      <c r="I686" s="30"/>
      <c r="J686" s="3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"/>
      <c r="AV686" s="3"/>
      <c r="AW686" s="3"/>
      <c r="AX686" s="3"/>
      <c r="AY686" s="3"/>
      <c r="AZ686" s="3"/>
      <c r="BA686" s="3"/>
    </row>
    <row r="687" ht="12.75" spans="1:53">
      <c r="A687" s="3"/>
      <c r="B687" s="3"/>
      <c r="C687" s="3"/>
      <c r="D687" s="30"/>
      <c r="E687" s="30"/>
      <c r="F687" s="30"/>
      <c r="G687" s="30"/>
      <c r="H687" s="30"/>
      <c r="I687" s="30"/>
      <c r="J687" s="3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"/>
      <c r="AV687" s="3"/>
      <c r="AW687" s="3"/>
      <c r="AX687" s="3"/>
      <c r="AY687" s="3"/>
      <c r="AZ687" s="3"/>
      <c r="BA687" s="3"/>
    </row>
    <row r="688" ht="12.75" spans="1:53">
      <c r="A688" s="3"/>
      <c r="B688" s="3"/>
      <c r="C688" s="3"/>
      <c r="D688" s="30"/>
      <c r="E688" s="30"/>
      <c r="F688" s="30"/>
      <c r="G688" s="30"/>
      <c r="H688" s="30"/>
      <c r="I688" s="30"/>
      <c r="J688" s="3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"/>
      <c r="AV688" s="3"/>
      <c r="AW688" s="3"/>
      <c r="AX688" s="3"/>
      <c r="AY688" s="3"/>
      <c r="AZ688" s="3"/>
      <c r="BA688" s="3"/>
    </row>
    <row r="689" ht="12.75" spans="1:53">
      <c r="A689" s="3"/>
      <c r="B689" s="3"/>
      <c r="C689" s="3"/>
      <c r="D689" s="30"/>
      <c r="E689" s="30"/>
      <c r="F689" s="30"/>
      <c r="G689" s="30"/>
      <c r="H689" s="30"/>
      <c r="I689" s="30"/>
      <c r="J689" s="3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"/>
      <c r="AV689" s="3"/>
      <c r="AW689" s="3"/>
      <c r="AX689" s="3"/>
      <c r="AY689" s="3"/>
      <c r="AZ689" s="3"/>
      <c r="BA689" s="3"/>
    </row>
    <row r="690" ht="12.75" spans="1:53">
      <c r="A690" s="3"/>
      <c r="B690" s="3"/>
      <c r="C690" s="3"/>
      <c r="D690" s="30"/>
      <c r="E690" s="30"/>
      <c r="F690" s="30"/>
      <c r="G690" s="30"/>
      <c r="H690" s="30"/>
      <c r="I690" s="30"/>
      <c r="J690" s="3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"/>
      <c r="AV690" s="3"/>
      <c r="AW690" s="3"/>
      <c r="AX690" s="3"/>
      <c r="AY690" s="3"/>
      <c r="AZ690" s="3"/>
      <c r="BA690" s="3"/>
    </row>
    <row r="691" ht="12.75" spans="1:53">
      <c r="A691" s="3"/>
      <c r="B691" s="3"/>
      <c r="C691" s="3"/>
      <c r="D691" s="30"/>
      <c r="E691" s="30"/>
      <c r="F691" s="30"/>
      <c r="G691" s="30"/>
      <c r="H691" s="30"/>
      <c r="I691" s="30"/>
      <c r="J691" s="3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"/>
      <c r="AV691" s="3"/>
      <c r="AW691" s="3"/>
      <c r="AX691" s="3"/>
      <c r="AY691" s="3"/>
      <c r="AZ691" s="3"/>
      <c r="BA691" s="3"/>
    </row>
    <row r="692" ht="12.75" spans="1:53">
      <c r="A692" s="3"/>
      <c r="B692" s="3"/>
      <c r="C692" s="3"/>
      <c r="D692" s="30"/>
      <c r="E692" s="30"/>
      <c r="F692" s="30"/>
      <c r="G692" s="30"/>
      <c r="H692" s="30"/>
      <c r="I692" s="30"/>
      <c r="J692" s="3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"/>
      <c r="AV692" s="3"/>
      <c r="AW692" s="3"/>
      <c r="AX692" s="3"/>
      <c r="AY692" s="3"/>
      <c r="AZ692" s="3"/>
      <c r="BA692" s="3"/>
    </row>
    <row r="693" ht="12.75" spans="1:53">
      <c r="A693" s="3"/>
      <c r="B693" s="3"/>
      <c r="C693" s="3"/>
      <c r="D693" s="30"/>
      <c r="E693" s="30"/>
      <c r="F693" s="30"/>
      <c r="G693" s="30"/>
      <c r="H693" s="30"/>
      <c r="I693" s="30"/>
      <c r="J693" s="3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"/>
      <c r="AV693" s="3"/>
      <c r="AW693" s="3"/>
      <c r="AX693" s="3"/>
      <c r="AY693" s="3"/>
      <c r="AZ693" s="3"/>
      <c r="BA693" s="3"/>
    </row>
    <row r="694" ht="12.75" spans="1:53">
      <c r="A694" s="3"/>
      <c r="B694" s="3"/>
      <c r="C694" s="3"/>
      <c r="D694" s="30"/>
      <c r="E694" s="30"/>
      <c r="F694" s="30"/>
      <c r="G694" s="30"/>
      <c r="H694" s="30"/>
      <c r="I694" s="30"/>
      <c r="J694" s="3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"/>
      <c r="AV694" s="3"/>
      <c r="AW694" s="3"/>
      <c r="AX694" s="3"/>
      <c r="AY694" s="3"/>
      <c r="AZ694" s="3"/>
      <c r="BA694" s="3"/>
    </row>
    <row r="695" ht="12.75" spans="1:53">
      <c r="A695" s="3"/>
      <c r="B695" s="3"/>
      <c r="C695" s="3"/>
      <c r="D695" s="30"/>
      <c r="E695" s="30"/>
      <c r="F695" s="30"/>
      <c r="G695" s="30"/>
      <c r="H695" s="30"/>
      <c r="I695" s="30"/>
      <c r="J695" s="3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"/>
      <c r="AV695" s="3"/>
      <c r="AW695" s="3"/>
      <c r="AX695" s="3"/>
      <c r="AY695" s="3"/>
      <c r="AZ695" s="3"/>
      <c r="BA695" s="3"/>
    </row>
    <row r="696" ht="12.75" spans="1:53">
      <c r="A696" s="3"/>
      <c r="B696" s="3"/>
      <c r="C696" s="3"/>
      <c r="D696" s="30"/>
      <c r="E696" s="30"/>
      <c r="F696" s="30"/>
      <c r="G696" s="30"/>
      <c r="H696" s="30"/>
      <c r="I696" s="30"/>
      <c r="J696" s="3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"/>
      <c r="AV696" s="3"/>
      <c r="AW696" s="3"/>
      <c r="AX696" s="3"/>
      <c r="AY696" s="3"/>
      <c r="AZ696" s="3"/>
      <c r="BA696" s="3"/>
    </row>
    <row r="697" ht="12.75" spans="1:53">
      <c r="A697" s="3"/>
      <c r="B697" s="3"/>
      <c r="C697" s="3"/>
      <c r="D697" s="30"/>
      <c r="E697" s="30"/>
      <c r="F697" s="30"/>
      <c r="G697" s="30"/>
      <c r="H697" s="30"/>
      <c r="I697" s="30"/>
      <c r="J697" s="3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"/>
      <c r="AV697" s="3"/>
      <c r="AW697" s="3"/>
      <c r="AX697" s="3"/>
      <c r="AY697" s="3"/>
      <c r="AZ697" s="3"/>
      <c r="BA697" s="3"/>
    </row>
    <row r="698" ht="12.75" spans="1:53">
      <c r="A698" s="3"/>
      <c r="B698" s="3"/>
      <c r="C698" s="3"/>
      <c r="D698" s="30"/>
      <c r="E698" s="30"/>
      <c r="F698" s="30"/>
      <c r="G698" s="30"/>
      <c r="H698" s="30"/>
      <c r="I698" s="30"/>
      <c r="J698" s="3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"/>
      <c r="AV698" s="3"/>
      <c r="AW698" s="3"/>
      <c r="AX698" s="3"/>
      <c r="AY698" s="3"/>
      <c r="AZ698" s="3"/>
      <c r="BA698" s="3"/>
    </row>
    <row r="699" ht="12.75" spans="1:53">
      <c r="A699" s="3"/>
      <c r="B699" s="3"/>
      <c r="C699" s="3"/>
      <c r="D699" s="30"/>
      <c r="E699" s="30"/>
      <c r="F699" s="30"/>
      <c r="G699" s="30"/>
      <c r="H699" s="30"/>
      <c r="I699" s="30"/>
      <c r="J699" s="3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"/>
      <c r="AV699" s="3"/>
      <c r="AW699" s="3"/>
      <c r="AX699" s="3"/>
      <c r="AY699" s="3"/>
      <c r="AZ699" s="3"/>
      <c r="BA699" s="3"/>
    </row>
    <row r="700" ht="12.75" spans="1:53">
      <c r="A700" s="3"/>
      <c r="B700" s="3"/>
      <c r="C700" s="3"/>
      <c r="D700" s="30"/>
      <c r="E700" s="30"/>
      <c r="F700" s="30"/>
      <c r="G700" s="30"/>
      <c r="H700" s="30"/>
      <c r="I700" s="30"/>
      <c r="J700" s="3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"/>
      <c r="AV700" s="3"/>
      <c r="AW700" s="3"/>
      <c r="AX700" s="3"/>
      <c r="AY700" s="3"/>
      <c r="AZ700" s="3"/>
      <c r="BA700" s="3"/>
    </row>
    <row r="701" ht="12.75" spans="1:53">
      <c r="A701" s="3"/>
      <c r="B701" s="3"/>
      <c r="C701" s="3"/>
      <c r="D701" s="30"/>
      <c r="E701" s="30"/>
      <c r="F701" s="30"/>
      <c r="G701" s="30"/>
      <c r="H701" s="30"/>
      <c r="I701" s="30"/>
      <c r="J701" s="3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"/>
      <c r="AV701" s="3"/>
      <c r="AW701" s="3"/>
      <c r="AX701" s="3"/>
      <c r="AY701" s="3"/>
      <c r="AZ701" s="3"/>
      <c r="BA701" s="3"/>
    </row>
    <row r="702" ht="12.75" spans="1:53">
      <c r="A702" s="3"/>
      <c r="B702" s="3"/>
      <c r="C702" s="3"/>
      <c r="D702" s="30"/>
      <c r="E702" s="30"/>
      <c r="F702" s="30"/>
      <c r="G702" s="30"/>
      <c r="H702" s="30"/>
      <c r="I702" s="30"/>
      <c r="J702" s="3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"/>
      <c r="AV702" s="3"/>
      <c r="AW702" s="3"/>
      <c r="AX702" s="3"/>
      <c r="AY702" s="3"/>
      <c r="AZ702" s="3"/>
      <c r="BA702" s="3"/>
    </row>
    <row r="703" ht="12.75" spans="1:53">
      <c r="A703" s="3"/>
      <c r="B703" s="3"/>
      <c r="C703" s="3"/>
      <c r="D703" s="30"/>
      <c r="E703" s="30"/>
      <c r="F703" s="30"/>
      <c r="G703" s="30"/>
      <c r="H703" s="30"/>
      <c r="I703" s="30"/>
      <c r="J703" s="3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"/>
      <c r="AV703" s="3"/>
      <c r="AW703" s="3"/>
      <c r="AX703" s="3"/>
      <c r="AY703" s="3"/>
      <c r="AZ703" s="3"/>
      <c r="BA703" s="3"/>
    </row>
    <row r="704" ht="12.75" spans="1:53">
      <c r="A704" s="3"/>
      <c r="B704" s="3"/>
      <c r="C704" s="3"/>
      <c r="D704" s="30"/>
      <c r="E704" s="30"/>
      <c r="F704" s="30"/>
      <c r="G704" s="30"/>
      <c r="H704" s="30"/>
      <c r="I704" s="30"/>
      <c r="J704" s="3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"/>
      <c r="AV704" s="3"/>
      <c r="AW704" s="3"/>
      <c r="AX704" s="3"/>
      <c r="AY704" s="3"/>
      <c r="AZ704" s="3"/>
      <c r="BA704" s="3"/>
    </row>
    <row r="705" ht="12.75" spans="1:53">
      <c r="A705" s="3"/>
      <c r="B705" s="3"/>
      <c r="C705" s="3"/>
      <c r="D705" s="30"/>
      <c r="E705" s="30"/>
      <c r="F705" s="30"/>
      <c r="G705" s="30"/>
      <c r="H705" s="30"/>
      <c r="I705" s="30"/>
      <c r="J705" s="3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"/>
      <c r="AV705" s="3"/>
      <c r="AW705" s="3"/>
      <c r="AX705" s="3"/>
      <c r="AY705" s="3"/>
      <c r="AZ705" s="3"/>
      <c r="BA705" s="3"/>
    </row>
    <row r="706" ht="12.75" spans="1:53">
      <c r="A706" s="3"/>
      <c r="B706" s="3"/>
      <c r="C706" s="3"/>
      <c r="D706" s="30"/>
      <c r="E706" s="30"/>
      <c r="F706" s="30"/>
      <c r="G706" s="30"/>
      <c r="H706" s="30"/>
      <c r="I706" s="30"/>
      <c r="J706" s="3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"/>
      <c r="AV706" s="3"/>
      <c r="AW706" s="3"/>
      <c r="AX706" s="3"/>
      <c r="AY706" s="3"/>
      <c r="AZ706" s="3"/>
      <c r="BA706" s="3"/>
    </row>
    <row r="707" ht="12.75" spans="1:53">
      <c r="A707" s="3"/>
      <c r="B707" s="3"/>
      <c r="C707" s="3"/>
      <c r="D707" s="30"/>
      <c r="E707" s="30"/>
      <c r="F707" s="30"/>
      <c r="G707" s="30"/>
      <c r="H707" s="30"/>
      <c r="I707" s="30"/>
      <c r="J707" s="3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"/>
      <c r="AV707" s="3"/>
      <c r="AW707" s="3"/>
      <c r="AX707" s="3"/>
      <c r="AY707" s="3"/>
      <c r="AZ707" s="3"/>
      <c r="BA707" s="3"/>
    </row>
    <row r="708" ht="12.75" spans="1:53">
      <c r="A708" s="3"/>
      <c r="B708" s="3"/>
      <c r="C708" s="3"/>
      <c r="D708" s="30"/>
      <c r="E708" s="30"/>
      <c r="F708" s="30"/>
      <c r="G708" s="30"/>
      <c r="H708" s="30"/>
      <c r="I708" s="30"/>
      <c r="J708" s="3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"/>
      <c r="AV708" s="3"/>
      <c r="AW708" s="3"/>
      <c r="AX708" s="3"/>
      <c r="AY708" s="3"/>
      <c r="AZ708" s="3"/>
      <c r="BA708" s="3"/>
    </row>
    <row r="709" ht="12.75" spans="1:53">
      <c r="A709" s="3"/>
      <c r="B709" s="3"/>
      <c r="C709" s="3"/>
      <c r="D709" s="30"/>
      <c r="E709" s="30"/>
      <c r="F709" s="30"/>
      <c r="G709" s="30"/>
      <c r="H709" s="30"/>
      <c r="I709" s="30"/>
      <c r="J709" s="3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"/>
      <c r="AV709" s="3"/>
      <c r="AW709" s="3"/>
      <c r="AX709" s="3"/>
      <c r="AY709" s="3"/>
      <c r="AZ709" s="3"/>
      <c r="BA709" s="3"/>
    </row>
    <row r="710" ht="12.75" spans="1:53">
      <c r="A710" s="3"/>
      <c r="B710" s="3"/>
      <c r="C710" s="3"/>
      <c r="D710" s="30"/>
      <c r="E710" s="30"/>
      <c r="F710" s="30"/>
      <c r="G710" s="30"/>
      <c r="H710" s="30"/>
      <c r="I710" s="30"/>
      <c r="J710" s="3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"/>
      <c r="AV710" s="3"/>
      <c r="AW710" s="3"/>
      <c r="AX710" s="3"/>
      <c r="AY710" s="3"/>
      <c r="AZ710" s="3"/>
      <c r="BA710" s="3"/>
    </row>
    <row r="711" ht="12.75" spans="1:53">
      <c r="A711" s="3"/>
      <c r="B711" s="3"/>
      <c r="C711" s="3"/>
      <c r="D711" s="30"/>
      <c r="E711" s="30"/>
      <c r="F711" s="30"/>
      <c r="G711" s="30"/>
      <c r="H711" s="30"/>
      <c r="I711" s="30"/>
      <c r="J711" s="3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"/>
      <c r="AV711" s="3"/>
      <c r="AW711" s="3"/>
      <c r="AX711" s="3"/>
      <c r="AY711" s="3"/>
      <c r="AZ711" s="3"/>
      <c r="BA711" s="3"/>
    </row>
    <row r="712" ht="12.75" spans="1:53">
      <c r="A712" s="3"/>
      <c r="B712" s="3"/>
      <c r="C712" s="3"/>
      <c r="D712" s="30"/>
      <c r="E712" s="30"/>
      <c r="F712" s="30"/>
      <c r="G712" s="30"/>
      <c r="H712" s="30"/>
      <c r="I712" s="30"/>
      <c r="J712" s="3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"/>
      <c r="AV712" s="3"/>
      <c r="AW712" s="3"/>
      <c r="AX712" s="3"/>
      <c r="AY712" s="3"/>
      <c r="AZ712" s="3"/>
      <c r="BA712" s="3"/>
    </row>
    <row r="713" ht="12.75" spans="1:53">
      <c r="A713" s="3"/>
      <c r="B713" s="3"/>
      <c r="C713" s="3"/>
      <c r="D713" s="30"/>
      <c r="E713" s="30"/>
      <c r="F713" s="30"/>
      <c r="G713" s="30"/>
      <c r="H713" s="30"/>
      <c r="I713" s="30"/>
      <c r="J713" s="3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"/>
      <c r="AV713" s="3"/>
      <c r="AW713" s="3"/>
      <c r="AX713" s="3"/>
      <c r="AY713" s="3"/>
      <c r="AZ713" s="3"/>
      <c r="BA713" s="3"/>
    </row>
    <row r="714" ht="12.75" spans="1:53">
      <c r="A714" s="3"/>
      <c r="B714" s="3"/>
      <c r="C714" s="3"/>
      <c r="D714" s="30"/>
      <c r="E714" s="30"/>
      <c r="F714" s="30"/>
      <c r="G714" s="30"/>
      <c r="H714" s="30"/>
      <c r="I714" s="30"/>
      <c r="J714" s="3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"/>
      <c r="AV714" s="3"/>
      <c r="AW714" s="3"/>
      <c r="AX714" s="3"/>
      <c r="AY714" s="3"/>
      <c r="AZ714" s="3"/>
      <c r="BA714" s="3"/>
    </row>
    <row r="715" ht="12.75" spans="1:53">
      <c r="A715" s="3"/>
      <c r="B715" s="3"/>
      <c r="C715" s="3"/>
      <c r="D715" s="30"/>
      <c r="E715" s="30"/>
      <c r="F715" s="30"/>
      <c r="G715" s="30"/>
      <c r="H715" s="30"/>
      <c r="I715" s="30"/>
      <c r="J715" s="3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"/>
      <c r="AV715" s="3"/>
      <c r="AW715" s="3"/>
      <c r="AX715" s="3"/>
      <c r="AY715" s="3"/>
      <c r="AZ715" s="3"/>
      <c r="BA715" s="3"/>
    </row>
    <row r="716" ht="12.75" spans="1:53">
      <c r="A716" s="3"/>
      <c r="B716" s="3"/>
      <c r="C716" s="3"/>
      <c r="D716" s="30"/>
      <c r="E716" s="30"/>
      <c r="F716" s="30"/>
      <c r="G716" s="30"/>
      <c r="H716" s="30"/>
      <c r="I716" s="30"/>
      <c r="J716" s="3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"/>
      <c r="AV716" s="3"/>
      <c r="AW716" s="3"/>
      <c r="AX716" s="3"/>
      <c r="AY716" s="3"/>
      <c r="AZ716" s="3"/>
      <c r="BA716" s="3"/>
    </row>
    <row r="717" ht="12.75" spans="1:53">
      <c r="A717" s="3"/>
      <c r="B717" s="3"/>
      <c r="C717" s="3"/>
      <c r="D717" s="30"/>
      <c r="E717" s="30"/>
      <c r="F717" s="30"/>
      <c r="G717" s="30"/>
      <c r="H717" s="30"/>
      <c r="I717" s="30"/>
      <c r="J717" s="3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"/>
      <c r="AV717" s="3"/>
      <c r="AW717" s="3"/>
      <c r="AX717" s="3"/>
      <c r="AY717" s="3"/>
      <c r="AZ717" s="3"/>
      <c r="BA717" s="3"/>
    </row>
    <row r="718" ht="12.75" spans="1:53">
      <c r="A718" s="3"/>
      <c r="B718" s="3"/>
      <c r="C718" s="3"/>
      <c r="D718" s="30"/>
      <c r="E718" s="30"/>
      <c r="F718" s="30"/>
      <c r="G718" s="30"/>
      <c r="H718" s="30"/>
      <c r="I718" s="30"/>
      <c r="J718" s="3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"/>
      <c r="AV718" s="3"/>
      <c r="AW718" s="3"/>
      <c r="AX718" s="3"/>
      <c r="AY718" s="3"/>
      <c r="AZ718" s="3"/>
      <c r="BA718" s="3"/>
    </row>
    <row r="719" ht="12.75" spans="1:53">
      <c r="A719" s="3"/>
      <c r="B719" s="3"/>
      <c r="C719" s="3"/>
      <c r="D719" s="30"/>
      <c r="E719" s="30"/>
      <c r="F719" s="30"/>
      <c r="G719" s="30"/>
      <c r="H719" s="30"/>
      <c r="I719" s="30"/>
      <c r="J719" s="3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"/>
      <c r="AV719" s="3"/>
      <c r="AW719" s="3"/>
      <c r="AX719" s="3"/>
      <c r="AY719" s="3"/>
      <c r="AZ719" s="3"/>
      <c r="BA719" s="3"/>
    </row>
    <row r="720" ht="12.75" spans="1:53">
      <c r="A720" s="3"/>
      <c r="B720" s="3"/>
      <c r="C720" s="3"/>
      <c r="D720" s="30"/>
      <c r="E720" s="30"/>
      <c r="F720" s="30"/>
      <c r="G720" s="30"/>
      <c r="H720" s="30"/>
      <c r="I720" s="30"/>
      <c r="J720" s="3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"/>
      <c r="AV720" s="3"/>
      <c r="AW720" s="3"/>
      <c r="AX720" s="3"/>
      <c r="AY720" s="3"/>
      <c r="AZ720" s="3"/>
      <c r="BA720" s="3"/>
    </row>
    <row r="721" ht="12.75" spans="1:53">
      <c r="A721" s="3"/>
      <c r="B721" s="3"/>
      <c r="C721" s="3"/>
      <c r="D721" s="30"/>
      <c r="E721" s="30"/>
      <c r="F721" s="30"/>
      <c r="G721" s="30"/>
      <c r="H721" s="30"/>
      <c r="I721" s="30"/>
      <c r="J721" s="3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"/>
      <c r="AV721" s="3"/>
      <c r="AW721" s="3"/>
      <c r="AX721" s="3"/>
      <c r="AY721" s="3"/>
      <c r="AZ721" s="3"/>
      <c r="BA721" s="3"/>
    </row>
    <row r="722" ht="12.75" spans="1:53">
      <c r="A722" s="3"/>
      <c r="B722" s="3"/>
      <c r="C722" s="3"/>
      <c r="D722" s="30"/>
      <c r="E722" s="30"/>
      <c r="F722" s="30"/>
      <c r="G722" s="30"/>
      <c r="H722" s="30"/>
      <c r="I722" s="30"/>
      <c r="J722" s="3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"/>
      <c r="AV722" s="3"/>
      <c r="AW722" s="3"/>
      <c r="AX722" s="3"/>
      <c r="AY722" s="3"/>
      <c r="AZ722" s="3"/>
      <c r="BA722" s="3"/>
    </row>
    <row r="723" ht="12.75" spans="1:53">
      <c r="A723" s="3"/>
      <c r="B723" s="3"/>
      <c r="C723" s="3"/>
      <c r="D723" s="30"/>
      <c r="E723" s="30"/>
      <c r="F723" s="30"/>
      <c r="G723" s="30"/>
      <c r="H723" s="30"/>
      <c r="I723" s="30"/>
      <c r="J723" s="3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"/>
      <c r="AV723" s="3"/>
      <c r="AW723" s="3"/>
      <c r="AX723" s="3"/>
      <c r="AY723" s="3"/>
      <c r="AZ723" s="3"/>
      <c r="BA723" s="3"/>
    </row>
    <row r="724" ht="12.75" spans="1:53">
      <c r="A724" s="3"/>
      <c r="B724" s="3"/>
      <c r="C724" s="3"/>
      <c r="D724" s="30"/>
      <c r="E724" s="30"/>
      <c r="F724" s="30"/>
      <c r="G724" s="30"/>
      <c r="H724" s="30"/>
      <c r="I724" s="30"/>
      <c r="J724" s="3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"/>
      <c r="AV724" s="3"/>
      <c r="AW724" s="3"/>
      <c r="AX724" s="3"/>
      <c r="AY724" s="3"/>
      <c r="AZ724" s="3"/>
      <c r="BA724" s="3"/>
    </row>
    <row r="725" ht="12.75" spans="1:53">
      <c r="A725" s="3"/>
      <c r="B725" s="3"/>
      <c r="C725" s="3"/>
      <c r="D725" s="30"/>
      <c r="E725" s="30"/>
      <c r="F725" s="30"/>
      <c r="G725" s="30"/>
      <c r="H725" s="30"/>
      <c r="I725" s="30"/>
      <c r="J725" s="3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"/>
      <c r="AV725" s="3"/>
      <c r="AW725" s="3"/>
      <c r="AX725" s="3"/>
      <c r="AY725" s="3"/>
      <c r="AZ725" s="3"/>
      <c r="BA725" s="3"/>
    </row>
    <row r="726" ht="12.75" spans="1:53">
      <c r="A726" s="3"/>
      <c r="B726" s="3"/>
      <c r="C726" s="3"/>
      <c r="D726" s="30"/>
      <c r="E726" s="30"/>
      <c r="F726" s="30"/>
      <c r="G726" s="30"/>
      <c r="H726" s="30"/>
      <c r="I726" s="30"/>
      <c r="J726" s="3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"/>
      <c r="AV726" s="3"/>
      <c r="AW726" s="3"/>
      <c r="AX726" s="3"/>
      <c r="AY726" s="3"/>
      <c r="AZ726" s="3"/>
      <c r="BA726" s="3"/>
    </row>
    <row r="727" ht="12.75" spans="1:53">
      <c r="A727" s="3"/>
      <c r="B727" s="3"/>
      <c r="C727" s="3"/>
      <c r="D727" s="30"/>
      <c r="E727" s="30"/>
      <c r="F727" s="30"/>
      <c r="G727" s="30"/>
      <c r="H727" s="30"/>
      <c r="I727" s="30"/>
      <c r="J727" s="3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"/>
      <c r="AV727" s="3"/>
      <c r="AW727" s="3"/>
      <c r="AX727" s="3"/>
      <c r="AY727" s="3"/>
      <c r="AZ727" s="3"/>
      <c r="BA727" s="3"/>
    </row>
    <row r="728" ht="12.75" spans="1:53">
      <c r="A728" s="3"/>
      <c r="B728" s="3"/>
      <c r="C728" s="3"/>
      <c r="D728" s="30"/>
      <c r="E728" s="30"/>
      <c r="F728" s="30"/>
      <c r="G728" s="30"/>
      <c r="H728" s="30"/>
      <c r="I728" s="30"/>
      <c r="J728" s="3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"/>
      <c r="AV728" s="3"/>
      <c r="AW728" s="3"/>
      <c r="AX728" s="3"/>
      <c r="AY728" s="3"/>
      <c r="AZ728" s="3"/>
      <c r="BA728" s="3"/>
    </row>
    <row r="729" ht="12.75" spans="1:53">
      <c r="A729" s="3"/>
      <c r="B729" s="3"/>
      <c r="C729" s="3"/>
      <c r="D729" s="30"/>
      <c r="E729" s="30"/>
      <c r="F729" s="30"/>
      <c r="G729" s="30"/>
      <c r="H729" s="30"/>
      <c r="I729" s="30"/>
      <c r="J729" s="3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"/>
      <c r="AV729" s="3"/>
      <c r="AW729" s="3"/>
      <c r="AX729" s="3"/>
      <c r="AY729" s="3"/>
      <c r="AZ729" s="3"/>
      <c r="BA729" s="3"/>
    </row>
    <row r="730" ht="12.75" spans="1:53">
      <c r="A730" s="3"/>
      <c r="B730" s="3"/>
      <c r="C730" s="3"/>
      <c r="D730" s="30"/>
      <c r="E730" s="30"/>
      <c r="F730" s="30"/>
      <c r="G730" s="30"/>
      <c r="H730" s="30"/>
      <c r="I730" s="30"/>
      <c r="J730" s="3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"/>
      <c r="AV730" s="3"/>
      <c r="AW730" s="3"/>
      <c r="AX730" s="3"/>
      <c r="AY730" s="3"/>
      <c r="AZ730" s="3"/>
      <c r="BA730" s="3"/>
    </row>
    <row r="731" ht="12.75" spans="1:53">
      <c r="A731" s="3"/>
      <c r="B731" s="3"/>
      <c r="C731" s="3"/>
      <c r="D731" s="30"/>
      <c r="E731" s="30"/>
      <c r="F731" s="30"/>
      <c r="G731" s="30"/>
      <c r="H731" s="30"/>
      <c r="I731" s="30"/>
      <c r="J731" s="3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"/>
      <c r="AV731" s="3"/>
      <c r="AW731" s="3"/>
      <c r="AX731" s="3"/>
      <c r="AY731" s="3"/>
      <c r="AZ731" s="3"/>
      <c r="BA731" s="3"/>
    </row>
    <row r="732" ht="12.75" spans="1:53">
      <c r="A732" s="3"/>
      <c r="B732" s="3"/>
      <c r="C732" s="3"/>
      <c r="D732" s="30"/>
      <c r="E732" s="30"/>
      <c r="F732" s="30"/>
      <c r="G732" s="30"/>
      <c r="H732" s="30"/>
      <c r="I732" s="30"/>
      <c r="J732" s="3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"/>
      <c r="AV732" s="3"/>
      <c r="AW732" s="3"/>
      <c r="AX732" s="3"/>
      <c r="AY732" s="3"/>
      <c r="AZ732" s="3"/>
      <c r="BA732" s="3"/>
    </row>
    <row r="733" ht="12.75" spans="1:53">
      <c r="A733" s="3"/>
      <c r="B733" s="3"/>
      <c r="C733" s="3"/>
      <c r="D733" s="30"/>
      <c r="E733" s="30"/>
      <c r="F733" s="30"/>
      <c r="G733" s="30"/>
      <c r="H733" s="30"/>
      <c r="I733" s="30"/>
      <c r="J733" s="3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"/>
      <c r="AV733" s="3"/>
      <c r="AW733" s="3"/>
      <c r="AX733" s="3"/>
      <c r="AY733" s="3"/>
      <c r="AZ733" s="3"/>
      <c r="BA733" s="3"/>
    </row>
    <row r="734" ht="12.75" spans="1:53">
      <c r="A734" s="3"/>
      <c r="B734" s="3"/>
      <c r="C734" s="3"/>
      <c r="D734" s="30"/>
      <c r="E734" s="30"/>
      <c r="F734" s="30"/>
      <c r="G734" s="30"/>
      <c r="H734" s="30"/>
      <c r="I734" s="30"/>
      <c r="J734" s="3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"/>
      <c r="AV734" s="3"/>
      <c r="AW734" s="3"/>
      <c r="AX734" s="3"/>
      <c r="AY734" s="3"/>
      <c r="AZ734" s="3"/>
      <c r="BA734" s="3"/>
    </row>
    <row r="735" ht="12.75" spans="1:53">
      <c r="A735" s="3"/>
      <c r="B735" s="3"/>
      <c r="C735" s="3"/>
      <c r="D735" s="30"/>
      <c r="E735" s="30"/>
      <c r="F735" s="30"/>
      <c r="G735" s="30"/>
      <c r="H735" s="30"/>
      <c r="I735" s="30"/>
      <c r="J735" s="3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"/>
      <c r="AV735" s="3"/>
      <c r="AW735" s="3"/>
      <c r="AX735" s="3"/>
      <c r="AY735" s="3"/>
      <c r="AZ735" s="3"/>
      <c r="BA735" s="3"/>
    </row>
    <row r="736" ht="12.75" spans="1:53">
      <c r="A736" s="3"/>
      <c r="B736" s="3"/>
      <c r="C736" s="3"/>
      <c r="D736" s="30"/>
      <c r="E736" s="30"/>
      <c r="F736" s="30"/>
      <c r="G736" s="30"/>
      <c r="H736" s="30"/>
      <c r="I736" s="30"/>
      <c r="J736" s="3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"/>
      <c r="AV736" s="3"/>
      <c r="AW736" s="3"/>
      <c r="AX736" s="3"/>
      <c r="AY736" s="3"/>
      <c r="AZ736" s="3"/>
      <c r="BA736" s="3"/>
    </row>
    <row r="737" ht="12.75" spans="1:53">
      <c r="A737" s="3"/>
      <c r="B737" s="3"/>
      <c r="C737" s="3"/>
      <c r="D737" s="30"/>
      <c r="E737" s="30"/>
      <c r="F737" s="30"/>
      <c r="G737" s="30"/>
      <c r="H737" s="30"/>
      <c r="I737" s="30"/>
      <c r="J737" s="3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"/>
      <c r="AV737" s="3"/>
      <c r="AW737" s="3"/>
      <c r="AX737" s="3"/>
      <c r="AY737" s="3"/>
      <c r="AZ737" s="3"/>
      <c r="BA737" s="3"/>
    </row>
    <row r="738" ht="12.75" spans="1:53">
      <c r="A738" s="3"/>
      <c r="B738" s="3"/>
      <c r="C738" s="3"/>
      <c r="D738" s="30"/>
      <c r="E738" s="30"/>
      <c r="F738" s="30"/>
      <c r="G738" s="30"/>
      <c r="H738" s="30"/>
      <c r="I738" s="30"/>
      <c r="J738" s="3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"/>
      <c r="AV738" s="3"/>
      <c r="AW738" s="3"/>
      <c r="AX738" s="3"/>
      <c r="AY738" s="3"/>
      <c r="AZ738" s="3"/>
      <c r="BA738" s="3"/>
    </row>
    <row r="739" ht="12.75" spans="1:53">
      <c r="A739" s="3"/>
      <c r="B739" s="3"/>
      <c r="C739" s="3"/>
      <c r="D739" s="30"/>
      <c r="E739" s="30"/>
      <c r="F739" s="30"/>
      <c r="G739" s="30"/>
      <c r="H739" s="30"/>
      <c r="I739" s="30"/>
      <c r="J739" s="3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"/>
      <c r="AV739" s="3"/>
      <c r="AW739" s="3"/>
      <c r="AX739" s="3"/>
      <c r="AY739" s="3"/>
      <c r="AZ739" s="3"/>
      <c r="BA739" s="3"/>
    </row>
    <row r="740" ht="12.75" spans="1:53">
      <c r="A740" s="3"/>
      <c r="B740" s="3"/>
      <c r="C740" s="3"/>
      <c r="D740" s="30"/>
      <c r="E740" s="30"/>
      <c r="F740" s="30"/>
      <c r="G740" s="30"/>
      <c r="H740" s="30"/>
      <c r="I740" s="30"/>
      <c r="J740" s="3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"/>
      <c r="AV740" s="3"/>
      <c r="AW740" s="3"/>
      <c r="AX740" s="3"/>
      <c r="AY740" s="3"/>
      <c r="AZ740" s="3"/>
      <c r="BA740" s="3"/>
    </row>
    <row r="741" ht="12.75" spans="1:53">
      <c r="A741" s="3"/>
      <c r="B741" s="3"/>
      <c r="C741" s="3"/>
      <c r="D741" s="30"/>
      <c r="E741" s="30"/>
      <c r="F741" s="30"/>
      <c r="G741" s="30"/>
      <c r="H741" s="30"/>
      <c r="I741" s="30"/>
      <c r="J741" s="3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"/>
      <c r="AV741" s="3"/>
      <c r="AW741" s="3"/>
      <c r="AX741" s="3"/>
      <c r="AY741" s="3"/>
      <c r="AZ741" s="3"/>
      <c r="BA741" s="3"/>
    </row>
    <row r="742" ht="12.75" spans="1:53">
      <c r="A742" s="3"/>
      <c r="B742" s="3"/>
      <c r="C742" s="3"/>
      <c r="D742" s="30"/>
      <c r="E742" s="30"/>
      <c r="F742" s="30"/>
      <c r="G742" s="30"/>
      <c r="H742" s="30"/>
      <c r="I742" s="30"/>
      <c r="J742" s="3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"/>
      <c r="AV742" s="3"/>
      <c r="AW742" s="3"/>
      <c r="AX742" s="3"/>
      <c r="AY742" s="3"/>
      <c r="AZ742" s="3"/>
      <c r="BA742" s="3"/>
    </row>
    <row r="743" ht="12.75" spans="1:53">
      <c r="A743" s="3"/>
      <c r="B743" s="3"/>
      <c r="C743" s="3"/>
      <c r="D743" s="30"/>
      <c r="E743" s="30"/>
      <c r="F743" s="30"/>
      <c r="G743" s="30"/>
      <c r="H743" s="30"/>
      <c r="I743" s="30"/>
      <c r="J743" s="3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"/>
      <c r="AV743" s="3"/>
      <c r="AW743" s="3"/>
      <c r="AX743" s="3"/>
      <c r="AY743" s="3"/>
      <c r="AZ743" s="3"/>
      <c r="BA743" s="3"/>
    </row>
    <row r="744" ht="12.75" spans="1:53">
      <c r="A744" s="3"/>
      <c r="B744" s="3"/>
      <c r="C744" s="3"/>
      <c r="D744" s="30"/>
      <c r="E744" s="30"/>
      <c r="F744" s="30"/>
      <c r="G744" s="30"/>
      <c r="H744" s="30"/>
      <c r="I744" s="30"/>
      <c r="J744" s="3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"/>
      <c r="AV744" s="3"/>
      <c r="AW744" s="3"/>
      <c r="AX744" s="3"/>
      <c r="AY744" s="3"/>
      <c r="AZ744" s="3"/>
      <c r="BA744" s="3"/>
    </row>
    <row r="745" ht="12.75" spans="1:53">
      <c r="A745" s="3"/>
      <c r="B745" s="3"/>
      <c r="C745" s="3"/>
      <c r="D745" s="30"/>
      <c r="E745" s="30"/>
      <c r="F745" s="30"/>
      <c r="G745" s="30"/>
      <c r="H745" s="30"/>
      <c r="I745" s="30"/>
      <c r="J745" s="3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"/>
      <c r="AV745" s="3"/>
      <c r="AW745" s="3"/>
      <c r="AX745" s="3"/>
      <c r="AY745" s="3"/>
      <c r="AZ745" s="3"/>
      <c r="BA745" s="3"/>
    </row>
    <row r="746" ht="12.75" spans="1:53">
      <c r="A746" s="3"/>
      <c r="B746" s="3"/>
      <c r="C746" s="3"/>
      <c r="D746" s="30"/>
      <c r="E746" s="30"/>
      <c r="F746" s="30"/>
      <c r="G746" s="30"/>
      <c r="H746" s="30"/>
      <c r="I746" s="30"/>
      <c r="J746" s="3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"/>
      <c r="AV746" s="3"/>
      <c r="AW746" s="3"/>
      <c r="AX746" s="3"/>
      <c r="AY746" s="3"/>
      <c r="AZ746" s="3"/>
      <c r="BA746" s="3"/>
    </row>
    <row r="747" ht="12.75" spans="1:53">
      <c r="A747" s="3"/>
      <c r="B747" s="3"/>
      <c r="C747" s="3"/>
      <c r="D747" s="30"/>
      <c r="E747" s="30"/>
      <c r="F747" s="30"/>
      <c r="G747" s="30"/>
      <c r="H747" s="30"/>
      <c r="I747" s="30"/>
      <c r="J747" s="3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"/>
      <c r="AV747" s="3"/>
      <c r="AW747" s="3"/>
      <c r="AX747" s="3"/>
      <c r="AY747" s="3"/>
      <c r="AZ747" s="3"/>
      <c r="BA747" s="3"/>
    </row>
    <row r="748" ht="12.75" spans="1:53">
      <c r="A748" s="3"/>
      <c r="B748" s="3"/>
      <c r="C748" s="3"/>
      <c r="D748" s="30"/>
      <c r="E748" s="30"/>
      <c r="F748" s="30"/>
      <c r="G748" s="30"/>
      <c r="H748" s="30"/>
      <c r="I748" s="30"/>
      <c r="J748" s="3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"/>
      <c r="AV748" s="3"/>
      <c r="AW748" s="3"/>
      <c r="AX748" s="3"/>
      <c r="AY748" s="3"/>
      <c r="AZ748" s="3"/>
      <c r="BA748" s="3"/>
    </row>
    <row r="749" ht="12.75" spans="1:53">
      <c r="A749" s="3"/>
      <c r="B749" s="3"/>
      <c r="C749" s="3"/>
      <c r="D749" s="30"/>
      <c r="E749" s="30"/>
      <c r="F749" s="30"/>
      <c r="G749" s="30"/>
      <c r="H749" s="30"/>
      <c r="I749" s="30"/>
      <c r="J749" s="3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"/>
      <c r="AV749" s="3"/>
      <c r="AW749" s="3"/>
      <c r="AX749" s="3"/>
      <c r="AY749" s="3"/>
      <c r="AZ749" s="3"/>
      <c r="BA749" s="3"/>
    </row>
    <row r="750" ht="12.75" spans="1:53">
      <c r="A750" s="3"/>
      <c r="B750" s="3"/>
      <c r="C750" s="3"/>
      <c r="D750" s="30"/>
      <c r="E750" s="30"/>
      <c r="F750" s="30"/>
      <c r="G750" s="30"/>
      <c r="H750" s="30"/>
      <c r="I750" s="30"/>
      <c r="J750" s="3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"/>
      <c r="AV750" s="3"/>
      <c r="AW750" s="3"/>
      <c r="AX750" s="3"/>
      <c r="AY750" s="3"/>
      <c r="AZ750" s="3"/>
      <c r="BA750" s="3"/>
    </row>
    <row r="751" ht="12.75" spans="1:53">
      <c r="A751" s="3"/>
      <c r="B751" s="3"/>
      <c r="C751" s="3"/>
      <c r="D751" s="30"/>
      <c r="E751" s="30"/>
      <c r="F751" s="30"/>
      <c r="G751" s="30"/>
      <c r="H751" s="30"/>
      <c r="I751" s="30"/>
      <c r="J751" s="3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"/>
      <c r="AV751" s="3"/>
      <c r="AW751" s="3"/>
      <c r="AX751" s="3"/>
      <c r="AY751" s="3"/>
      <c r="AZ751" s="3"/>
      <c r="BA751" s="3"/>
    </row>
    <row r="752" ht="12.75" spans="1:53">
      <c r="A752" s="3"/>
      <c r="B752" s="3"/>
      <c r="C752" s="3"/>
      <c r="D752" s="30"/>
      <c r="E752" s="30"/>
      <c r="F752" s="30"/>
      <c r="G752" s="30"/>
      <c r="H752" s="30"/>
      <c r="I752" s="30"/>
      <c r="J752" s="3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"/>
      <c r="AV752" s="3"/>
      <c r="AW752" s="3"/>
      <c r="AX752" s="3"/>
      <c r="AY752" s="3"/>
      <c r="AZ752" s="3"/>
      <c r="BA752" s="3"/>
    </row>
    <row r="753" ht="12.75" spans="1:53">
      <c r="A753" s="3"/>
      <c r="B753" s="3"/>
      <c r="C753" s="3"/>
      <c r="D753" s="30"/>
      <c r="E753" s="30"/>
      <c r="F753" s="30"/>
      <c r="G753" s="30"/>
      <c r="H753" s="30"/>
      <c r="I753" s="30"/>
      <c r="J753" s="3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"/>
      <c r="AV753" s="3"/>
      <c r="AW753" s="3"/>
      <c r="AX753" s="3"/>
      <c r="AY753" s="3"/>
      <c r="AZ753" s="3"/>
      <c r="BA753" s="3"/>
    </row>
    <row r="754" ht="12.75" spans="1:53">
      <c r="A754" s="3"/>
      <c r="B754" s="3"/>
      <c r="C754" s="3"/>
      <c r="D754" s="30"/>
      <c r="E754" s="30"/>
      <c r="F754" s="30"/>
      <c r="G754" s="30"/>
      <c r="H754" s="30"/>
      <c r="I754" s="30"/>
      <c r="J754" s="3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"/>
      <c r="AV754" s="3"/>
      <c r="AW754" s="3"/>
      <c r="AX754" s="3"/>
      <c r="AY754" s="3"/>
      <c r="AZ754" s="3"/>
      <c r="BA754" s="3"/>
    </row>
    <row r="755" ht="12.75" spans="1:53">
      <c r="A755" s="3"/>
      <c r="B755" s="3"/>
      <c r="C755" s="3"/>
      <c r="D755" s="30"/>
      <c r="E755" s="30"/>
      <c r="F755" s="30"/>
      <c r="G755" s="30"/>
      <c r="H755" s="30"/>
      <c r="I755" s="30"/>
      <c r="J755" s="3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"/>
      <c r="AV755" s="3"/>
      <c r="AW755" s="3"/>
      <c r="AX755" s="3"/>
      <c r="AY755" s="3"/>
      <c r="AZ755" s="3"/>
      <c r="BA755" s="3"/>
    </row>
    <row r="756" ht="12.75" spans="1:53">
      <c r="A756" s="3"/>
      <c r="B756" s="3"/>
      <c r="C756" s="3"/>
      <c r="D756" s="30"/>
      <c r="E756" s="30"/>
      <c r="F756" s="30"/>
      <c r="G756" s="30"/>
      <c r="H756" s="30"/>
      <c r="I756" s="30"/>
      <c r="J756" s="3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"/>
      <c r="AV756" s="3"/>
      <c r="AW756" s="3"/>
      <c r="AX756" s="3"/>
      <c r="AY756" s="3"/>
      <c r="AZ756" s="3"/>
      <c r="BA756" s="3"/>
    </row>
    <row r="757" ht="12.75" spans="1:53">
      <c r="A757" s="3"/>
      <c r="B757" s="3"/>
      <c r="C757" s="3"/>
      <c r="D757" s="30"/>
      <c r="E757" s="30"/>
      <c r="F757" s="30"/>
      <c r="G757" s="30"/>
      <c r="H757" s="30"/>
      <c r="I757" s="30"/>
      <c r="J757" s="3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"/>
      <c r="AV757" s="3"/>
      <c r="AW757" s="3"/>
      <c r="AX757" s="3"/>
      <c r="AY757" s="3"/>
      <c r="AZ757" s="3"/>
      <c r="BA757" s="3"/>
    </row>
    <row r="758" ht="12.75" spans="1:53">
      <c r="A758" s="3"/>
      <c r="B758" s="3"/>
      <c r="C758" s="3"/>
      <c r="D758" s="30"/>
      <c r="E758" s="30"/>
      <c r="F758" s="30"/>
      <c r="G758" s="30"/>
      <c r="H758" s="30"/>
      <c r="I758" s="30"/>
      <c r="J758" s="3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"/>
      <c r="AV758" s="3"/>
      <c r="AW758" s="3"/>
      <c r="AX758" s="3"/>
      <c r="AY758" s="3"/>
      <c r="AZ758" s="3"/>
      <c r="BA758" s="3"/>
    </row>
    <row r="759" ht="12.75" spans="1:53">
      <c r="A759" s="3"/>
      <c r="B759" s="3"/>
      <c r="C759" s="3"/>
      <c r="D759" s="30"/>
      <c r="E759" s="30"/>
      <c r="F759" s="30"/>
      <c r="G759" s="30"/>
      <c r="H759" s="30"/>
      <c r="I759" s="30"/>
      <c r="J759" s="3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"/>
      <c r="AV759" s="3"/>
      <c r="AW759" s="3"/>
      <c r="AX759" s="3"/>
      <c r="AY759" s="3"/>
      <c r="AZ759" s="3"/>
      <c r="BA759" s="3"/>
    </row>
    <row r="760" ht="12.75" spans="1:53">
      <c r="A760" s="3"/>
      <c r="B760" s="3"/>
      <c r="C760" s="3"/>
      <c r="D760" s="30"/>
      <c r="E760" s="30"/>
      <c r="F760" s="30"/>
      <c r="G760" s="30"/>
      <c r="H760" s="30"/>
      <c r="I760" s="30"/>
      <c r="J760" s="3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"/>
      <c r="AV760" s="3"/>
      <c r="AW760" s="3"/>
      <c r="AX760" s="3"/>
      <c r="AY760" s="3"/>
      <c r="AZ760" s="3"/>
      <c r="BA760" s="3"/>
    </row>
    <row r="761" ht="12.75" spans="1:53">
      <c r="A761" s="3"/>
      <c r="B761" s="3"/>
      <c r="C761" s="3"/>
      <c r="D761" s="30"/>
      <c r="E761" s="30"/>
      <c r="F761" s="30"/>
      <c r="G761" s="30"/>
      <c r="H761" s="30"/>
      <c r="I761" s="30"/>
      <c r="J761" s="3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"/>
      <c r="AV761" s="3"/>
      <c r="AW761" s="3"/>
      <c r="AX761" s="3"/>
      <c r="AY761" s="3"/>
      <c r="AZ761" s="3"/>
      <c r="BA761" s="3"/>
    </row>
    <row r="762" ht="12.75" spans="1:53">
      <c r="A762" s="3"/>
      <c r="B762" s="3"/>
      <c r="C762" s="3"/>
      <c r="D762" s="30"/>
      <c r="E762" s="30"/>
      <c r="F762" s="30"/>
      <c r="G762" s="30"/>
      <c r="H762" s="30"/>
      <c r="I762" s="30"/>
      <c r="J762" s="3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"/>
      <c r="AV762" s="3"/>
      <c r="AW762" s="3"/>
      <c r="AX762" s="3"/>
      <c r="AY762" s="3"/>
      <c r="AZ762" s="3"/>
      <c r="BA762" s="3"/>
    </row>
    <row r="763" ht="12.75" spans="1:53">
      <c r="A763" s="3"/>
      <c r="B763" s="3"/>
      <c r="C763" s="3"/>
      <c r="D763" s="30"/>
      <c r="E763" s="30"/>
      <c r="F763" s="30"/>
      <c r="G763" s="30"/>
      <c r="H763" s="30"/>
      <c r="I763" s="30"/>
      <c r="J763" s="3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"/>
      <c r="AV763" s="3"/>
      <c r="AW763" s="3"/>
      <c r="AX763" s="3"/>
      <c r="AY763" s="3"/>
      <c r="AZ763" s="3"/>
      <c r="BA763" s="3"/>
    </row>
    <row r="764" ht="12.75" spans="1:53">
      <c r="A764" s="3"/>
      <c r="B764" s="3"/>
      <c r="C764" s="3"/>
      <c r="D764" s="30"/>
      <c r="E764" s="30"/>
      <c r="F764" s="30"/>
      <c r="G764" s="30"/>
      <c r="H764" s="30"/>
      <c r="I764" s="30"/>
      <c r="J764" s="3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"/>
      <c r="AV764" s="3"/>
      <c r="AW764" s="3"/>
      <c r="AX764" s="3"/>
      <c r="AY764" s="3"/>
      <c r="AZ764" s="3"/>
      <c r="BA764" s="3"/>
    </row>
    <row r="765" ht="12.75" spans="1:53">
      <c r="A765" s="3"/>
      <c r="B765" s="3"/>
      <c r="C765" s="3"/>
      <c r="D765" s="30"/>
      <c r="E765" s="30"/>
      <c r="F765" s="30"/>
      <c r="G765" s="30"/>
      <c r="H765" s="30"/>
      <c r="I765" s="30"/>
      <c r="J765" s="3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"/>
      <c r="AV765" s="3"/>
      <c r="AW765" s="3"/>
      <c r="AX765" s="3"/>
      <c r="AY765" s="3"/>
      <c r="AZ765" s="3"/>
      <c r="BA765" s="3"/>
    </row>
    <row r="766" ht="12.75" spans="1:53">
      <c r="A766" s="3"/>
      <c r="B766" s="3"/>
      <c r="C766" s="3"/>
      <c r="D766" s="30"/>
      <c r="E766" s="30"/>
      <c r="F766" s="30"/>
      <c r="G766" s="30"/>
      <c r="H766" s="30"/>
      <c r="I766" s="30"/>
      <c r="J766" s="3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"/>
      <c r="AV766" s="3"/>
      <c r="AW766" s="3"/>
      <c r="AX766" s="3"/>
      <c r="AY766" s="3"/>
      <c r="AZ766" s="3"/>
      <c r="BA766" s="3"/>
    </row>
    <row r="767" ht="12.75" spans="1:53">
      <c r="A767" s="3"/>
      <c r="B767" s="3"/>
      <c r="C767" s="3"/>
      <c r="D767" s="30"/>
      <c r="E767" s="30"/>
      <c r="F767" s="30"/>
      <c r="G767" s="30"/>
      <c r="H767" s="30"/>
      <c r="I767" s="30"/>
      <c r="J767" s="3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"/>
      <c r="AV767" s="3"/>
      <c r="AW767" s="3"/>
      <c r="AX767" s="3"/>
      <c r="AY767" s="3"/>
      <c r="AZ767" s="3"/>
      <c r="BA767" s="3"/>
    </row>
    <row r="768" ht="12.75" spans="1:53">
      <c r="A768" s="3"/>
      <c r="B768" s="3"/>
      <c r="C768" s="3"/>
      <c r="D768" s="30"/>
      <c r="E768" s="30"/>
      <c r="F768" s="30"/>
      <c r="G768" s="30"/>
      <c r="H768" s="30"/>
      <c r="I768" s="30"/>
      <c r="J768" s="3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"/>
      <c r="AV768" s="3"/>
      <c r="AW768" s="3"/>
      <c r="AX768" s="3"/>
      <c r="AY768" s="3"/>
      <c r="AZ768" s="3"/>
      <c r="BA768" s="3"/>
    </row>
    <row r="769" ht="12.75" spans="1:53">
      <c r="A769" s="3"/>
      <c r="B769" s="3"/>
      <c r="C769" s="3"/>
      <c r="D769" s="30"/>
      <c r="E769" s="30"/>
      <c r="F769" s="30"/>
      <c r="G769" s="30"/>
      <c r="H769" s="30"/>
      <c r="I769" s="30"/>
      <c r="J769" s="3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"/>
      <c r="AV769" s="3"/>
      <c r="AW769" s="3"/>
      <c r="AX769" s="3"/>
      <c r="AY769" s="3"/>
      <c r="AZ769" s="3"/>
      <c r="BA769" s="3"/>
    </row>
    <row r="770" ht="12.75" spans="1:53">
      <c r="A770" s="3"/>
      <c r="B770" s="3"/>
      <c r="C770" s="3"/>
      <c r="D770" s="30"/>
      <c r="E770" s="30"/>
      <c r="F770" s="30"/>
      <c r="G770" s="30"/>
      <c r="H770" s="30"/>
      <c r="I770" s="30"/>
      <c r="J770" s="3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"/>
      <c r="AV770" s="3"/>
      <c r="AW770" s="3"/>
      <c r="AX770" s="3"/>
      <c r="AY770" s="3"/>
      <c r="AZ770" s="3"/>
      <c r="BA770" s="3"/>
    </row>
    <row r="771" ht="12.75" spans="1:53">
      <c r="A771" s="3"/>
      <c r="B771" s="3"/>
      <c r="C771" s="3"/>
      <c r="D771" s="30"/>
      <c r="E771" s="30"/>
      <c r="F771" s="30"/>
      <c r="G771" s="30"/>
      <c r="H771" s="30"/>
      <c r="I771" s="30"/>
      <c r="J771" s="3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"/>
      <c r="AV771" s="3"/>
      <c r="AW771" s="3"/>
      <c r="AX771" s="3"/>
      <c r="AY771" s="3"/>
      <c r="AZ771" s="3"/>
      <c r="BA771" s="3"/>
    </row>
    <row r="772" ht="12.75" spans="1:53">
      <c r="A772" s="3"/>
      <c r="B772" s="3"/>
      <c r="C772" s="3"/>
      <c r="D772" s="30"/>
      <c r="E772" s="30"/>
      <c r="F772" s="30"/>
      <c r="G772" s="30"/>
      <c r="H772" s="30"/>
      <c r="I772" s="30"/>
      <c r="J772" s="3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"/>
      <c r="AV772" s="3"/>
      <c r="AW772" s="3"/>
      <c r="AX772" s="3"/>
      <c r="AY772" s="3"/>
      <c r="AZ772" s="3"/>
      <c r="BA772" s="3"/>
    </row>
    <row r="773" ht="12.75" spans="1:53">
      <c r="A773" s="3"/>
      <c r="B773" s="3"/>
      <c r="C773" s="3"/>
      <c r="D773" s="30"/>
      <c r="E773" s="30"/>
      <c r="F773" s="30"/>
      <c r="G773" s="30"/>
      <c r="H773" s="30"/>
      <c r="I773" s="30"/>
      <c r="J773" s="3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"/>
      <c r="AV773" s="3"/>
      <c r="AW773" s="3"/>
      <c r="AX773" s="3"/>
      <c r="AY773" s="3"/>
      <c r="AZ773" s="3"/>
      <c r="BA773" s="3"/>
    </row>
    <row r="774" ht="12.75" spans="1:53">
      <c r="A774" s="3"/>
      <c r="B774" s="3"/>
      <c r="C774" s="3"/>
      <c r="D774" s="30"/>
      <c r="E774" s="30"/>
      <c r="F774" s="30"/>
      <c r="G774" s="30"/>
      <c r="H774" s="30"/>
      <c r="I774" s="30"/>
      <c r="J774" s="3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"/>
      <c r="AV774" s="3"/>
      <c r="AW774" s="3"/>
      <c r="AX774" s="3"/>
      <c r="AY774" s="3"/>
      <c r="AZ774" s="3"/>
      <c r="BA774" s="3"/>
    </row>
    <row r="775" ht="12.75" spans="1:53">
      <c r="A775" s="3"/>
      <c r="B775" s="3"/>
      <c r="C775" s="3"/>
      <c r="D775" s="30"/>
      <c r="E775" s="30"/>
      <c r="F775" s="30"/>
      <c r="G775" s="30"/>
      <c r="H775" s="30"/>
      <c r="I775" s="30"/>
      <c r="J775" s="3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"/>
      <c r="AV775" s="3"/>
      <c r="AW775" s="3"/>
      <c r="AX775" s="3"/>
      <c r="AY775" s="3"/>
      <c r="AZ775" s="3"/>
      <c r="BA775" s="3"/>
    </row>
    <row r="776" ht="12.75" spans="1:53">
      <c r="A776" s="3"/>
      <c r="B776" s="3"/>
      <c r="C776" s="3"/>
      <c r="D776" s="30"/>
      <c r="E776" s="30"/>
      <c r="F776" s="30"/>
      <c r="G776" s="30"/>
      <c r="H776" s="30"/>
      <c r="I776" s="30"/>
      <c r="J776" s="3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"/>
      <c r="AV776" s="3"/>
      <c r="AW776" s="3"/>
      <c r="AX776" s="3"/>
      <c r="AY776" s="3"/>
      <c r="AZ776" s="3"/>
      <c r="BA776" s="3"/>
    </row>
    <row r="777" ht="12.75" spans="1:53">
      <c r="A777" s="3"/>
      <c r="B777" s="3"/>
      <c r="C777" s="3"/>
      <c r="D777" s="30"/>
      <c r="E777" s="30"/>
      <c r="F777" s="30"/>
      <c r="G777" s="30"/>
      <c r="H777" s="30"/>
      <c r="I777" s="30"/>
      <c r="J777" s="3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"/>
      <c r="AV777" s="3"/>
      <c r="AW777" s="3"/>
      <c r="AX777" s="3"/>
      <c r="AY777" s="3"/>
      <c r="AZ777" s="3"/>
      <c r="BA777" s="3"/>
    </row>
    <row r="778" ht="12.75" spans="1:53">
      <c r="A778" s="3"/>
      <c r="B778" s="3"/>
      <c r="C778" s="3"/>
      <c r="D778" s="30"/>
      <c r="E778" s="30"/>
      <c r="F778" s="30"/>
      <c r="G778" s="30"/>
      <c r="H778" s="30"/>
      <c r="I778" s="30"/>
      <c r="J778" s="3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"/>
      <c r="AV778" s="3"/>
      <c r="AW778" s="3"/>
      <c r="AX778" s="3"/>
      <c r="AY778" s="3"/>
      <c r="AZ778" s="3"/>
      <c r="BA778" s="3"/>
    </row>
    <row r="779" ht="12.75" spans="1:53">
      <c r="A779" s="3"/>
      <c r="B779" s="3"/>
      <c r="C779" s="3"/>
      <c r="D779" s="30"/>
      <c r="E779" s="30"/>
      <c r="F779" s="30"/>
      <c r="G779" s="30"/>
      <c r="H779" s="30"/>
      <c r="I779" s="30"/>
      <c r="J779" s="3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"/>
      <c r="AV779" s="3"/>
      <c r="AW779" s="3"/>
      <c r="AX779" s="3"/>
      <c r="AY779" s="3"/>
      <c r="AZ779" s="3"/>
      <c r="BA779" s="3"/>
    </row>
    <row r="780" ht="12.75" spans="1:53">
      <c r="A780" s="3"/>
      <c r="B780" s="3"/>
      <c r="C780" s="3"/>
      <c r="D780" s="30"/>
      <c r="E780" s="30"/>
      <c r="F780" s="30"/>
      <c r="G780" s="30"/>
      <c r="H780" s="30"/>
      <c r="I780" s="30"/>
      <c r="J780" s="3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"/>
      <c r="AV780" s="3"/>
      <c r="AW780" s="3"/>
      <c r="AX780" s="3"/>
      <c r="AY780" s="3"/>
      <c r="AZ780" s="3"/>
      <c r="BA780" s="3"/>
    </row>
    <row r="781" ht="12.75" spans="1:53">
      <c r="A781" s="3"/>
      <c r="B781" s="3"/>
      <c r="C781" s="3"/>
      <c r="D781" s="30"/>
      <c r="E781" s="30"/>
      <c r="F781" s="30"/>
      <c r="G781" s="30"/>
      <c r="H781" s="30"/>
      <c r="I781" s="30"/>
      <c r="J781" s="3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"/>
      <c r="AV781" s="3"/>
      <c r="AW781" s="3"/>
      <c r="AX781" s="3"/>
      <c r="AY781" s="3"/>
      <c r="AZ781" s="3"/>
      <c r="BA781" s="3"/>
    </row>
    <row r="782" ht="12.75" spans="1:53">
      <c r="A782" s="3"/>
      <c r="B782" s="3"/>
      <c r="C782" s="3"/>
      <c r="D782" s="30"/>
      <c r="E782" s="30"/>
      <c r="F782" s="30"/>
      <c r="G782" s="30"/>
      <c r="H782" s="30"/>
      <c r="I782" s="30"/>
      <c r="J782" s="3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"/>
      <c r="AV782" s="3"/>
      <c r="AW782" s="3"/>
      <c r="AX782" s="3"/>
      <c r="AY782" s="3"/>
      <c r="AZ782" s="3"/>
      <c r="BA782" s="3"/>
    </row>
    <row r="783" ht="12.75" spans="1:53">
      <c r="A783" s="3"/>
      <c r="B783" s="3"/>
      <c r="C783" s="3"/>
      <c r="D783" s="30"/>
      <c r="E783" s="30"/>
      <c r="F783" s="30"/>
      <c r="G783" s="30"/>
      <c r="H783" s="30"/>
      <c r="I783" s="30"/>
      <c r="J783" s="3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"/>
      <c r="AV783" s="3"/>
      <c r="AW783" s="3"/>
      <c r="AX783" s="3"/>
      <c r="AY783" s="3"/>
      <c r="AZ783" s="3"/>
      <c r="BA783" s="3"/>
    </row>
    <row r="784" ht="12.75" spans="1:53">
      <c r="A784" s="3"/>
      <c r="B784" s="3"/>
      <c r="C784" s="3"/>
      <c r="D784" s="30"/>
      <c r="E784" s="30"/>
      <c r="F784" s="30"/>
      <c r="G784" s="30"/>
      <c r="H784" s="30"/>
      <c r="I784" s="30"/>
      <c r="J784" s="3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"/>
      <c r="AV784" s="3"/>
      <c r="AW784" s="3"/>
      <c r="AX784" s="3"/>
      <c r="AY784" s="3"/>
      <c r="AZ784" s="3"/>
      <c r="BA784" s="3"/>
    </row>
    <row r="785" ht="12.75" spans="1:53">
      <c r="A785" s="3"/>
      <c r="B785" s="3"/>
      <c r="C785" s="3"/>
      <c r="D785" s="30"/>
      <c r="E785" s="30"/>
      <c r="F785" s="30"/>
      <c r="G785" s="30"/>
      <c r="H785" s="30"/>
      <c r="I785" s="30"/>
      <c r="J785" s="3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"/>
      <c r="AV785" s="3"/>
      <c r="AW785" s="3"/>
      <c r="AX785" s="3"/>
      <c r="AY785" s="3"/>
      <c r="AZ785" s="3"/>
      <c r="BA785" s="3"/>
    </row>
    <row r="786" ht="12.75" spans="1:53">
      <c r="A786" s="3"/>
      <c r="B786" s="3"/>
      <c r="C786" s="3"/>
      <c r="D786" s="30"/>
      <c r="E786" s="30"/>
      <c r="F786" s="30"/>
      <c r="G786" s="30"/>
      <c r="H786" s="30"/>
      <c r="I786" s="30"/>
      <c r="J786" s="3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"/>
      <c r="AV786" s="3"/>
      <c r="AW786" s="3"/>
      <c r="AX786" s="3"/>
      <c r="AY786" s="3"/>
      <c r="AZ786" s="3"/>
      <c r="BA786" s="3"/>
    </row>
    <row r="787" ht="12.75" spans="1:53">
      <c r="A787" s="3"/>
      <c r="B787" s="3"/>
      <c r="C787" s="3"/>
      <c r="D787" s="30"/>
      <c r="E787" s="30"/>
      <c r="F787" s="30"/>
      <c r="G787" s="30"/>
      <c r="H787" s="30"/>
      <c r="I787" s="30"/>
      <c r="J787" s="3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"/>
      <c r="AV787" s="3"/>
      <c r="AW787" s="3"/>
      <c r="AX787" s="3"/>
      <c r="AY787" s="3"/>
      <c r="AZ787" s="3"/>
      <c r="BA787" s="3"/>
    </row>
    <row r="788" ht="12.75" spans="1:53">
      <c r="A788" s="3"/>
      <c r="B788" s="3"/>
      <c r="C788" s="3"/>
      <c r="D788" s="30"/>
      <c r="E788" s="30"/>
      <c r="F788" s="30"/>
      <c r="G788" s="30"/>
      <c r="H788" s="30"/>
      <c r="I788" s="30"/>
      <c r="J788" s="3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"/>
      <c r="AV788" s="3"/>
      <c r="AW788" s="3"/>
      <c r="AX788" s="3"/>
      <c r="AY788" s="3"/>
      <c r="AZ788" s="3"/>
      <c r="BA788" s="3"/>
    </row>
    <row r="789" ht="12.75" spans="1:53">
      <c r="A789" s="3"/>
      <c r="B789" s="3"/>
      <c r="C789" s="3"/>
      <c r="D789" s="30"/>
      <c r="E789" s="30"/>
      <c r="F789" s="30"/>
      <c r="G789" s="30"/>
      <c r="H789" s="30"/>
      <c r="I789" s="30"/>
      <c r="J789" s="3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"/>
      <c r="AV789" s="3"/>
      <c r="AW789" s="3"/>
      <c r="AX789" s="3"/>
      <c r="AY789" s="3"/>
      <c r="AZ789" s="3"/>
      <c r="BA789" s="3"/>
    </row>
    <row r="790" ht="12.75" spans="1:53">
      <c r="A790" s="3"/>
      <c r="B790" s="3"/>
      <c r="C790" s="3"/>
      <c r="D790" s="30"/>
      <c r="E790" s="30"/>
      <c r="F790" s="30"/>
      <c r="G790" s="30"/>
      <c r="H790" s="30"/>
      <c r="I790" s="30"/>
      <c r="J790" s="3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"/>
      <c r="AV790" s="3"/>
      <c r="AW790" s="3"/>
      <c r="AX790" s="3"/>
      <c r="AY790" s="3"/>
      <c r="AZ790" s="3"/>
      <c r="BA790" s="3"/>
    </row>
    <row r="791" ht="12.75" spans="1:53">
      <c r="A791" s="3"/>
      <c r="B791" s="3"/>
      <c r="C791" s="3"/>
      <c r="D791" s="30"/>
      <c r="E791" s="30"/>
      <c r="F791" s="30"/>
      <c r="G791" s="30"/>
      <c r="H791" s="30"/>
      <c r="I791" s="30"/>
      <c r="J791" s="3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"/>
      <c r="AV791" s="3"/>
      <c r="AW791" s="3"/>
      <c r="AX791" s="3"/>
      <c r="AY791" s="3"/>
      <c r="AZ791" s="3"/>
      <c r="BA791" s="3"/>
    </row>
    <row r="792" ht="12.75" spans="1:53">
      <c r="A792" s="3"/>
      <c r="B792" s="3"/>
      <c r="C792" s="3"/>
      <c r="D792" s="30"/>
      <c r="E792" s="30"/>
      <c r="F792" s="30"/>
      <c r="G792" s="30"/>
      <c r="H792" s="30"/>
      <c r="I792" s="30"/>
      <c r="J792" s="3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"/>
      <c r="AV792" s="3"/>
      <c r="AW792" s="3"/>
      <c r="AX792" s="3"/>
      <c r="AY792" s="3"/>
      <c r="AZ792" s="3"/>
      <c r="BA792" s="3"/>
    </row>
    <row r="793" ht="12.75" spans="1:53">
      <c r="A793" s="3"/>
      <c r="B793" s="3"/>
      <c r="C793" s="3"/>
      <c r="D793" s="30"/>
      <c r="E793" s="30"/>
      <c r="F793" s="30"/>
      <c r="G793" s="30"/>
      <c r="H793" s="30"/>
      <c r="I793" s="30"/>
      <c r="J793" s="3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"/>
      <c r="AV793" s="3"/>
      <c r="AW793" s="3"/>
      <c r="AX793" s="3"/>
      <c r="AY793" s="3"/>
      <c r="AZ793" s="3"/>
      <c r="BA793" s="3"/>
    </row>
    <row r="794" ht="12.75" spans="1:53">
      <c r="A794" s="3"/>
      <c r="B794" s="3"/>
      <c r="C794" s="3"/>
      <c r="D794" s="30"/>
      <c r="E794" s="30"/>
      <c r="F794" s="30"/>
      <c r="G794" s="30"/>
      <c r="H794" s="30"/>
      <c r="I794" s="30"/>
      <c r="J794" s="3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"/>
      <c r="AV794" s="3"/>
      <c r="AW794" s="3"/>
      <c r="AX794" s="3"/>
      <c r="AY794" s="3"/>
      <c r="AZ794" s="3"/>
      <c r="BA794" s="3"/>
    </row>
    <row r="795" ht="12.75" spans="1:53">
      <c r="A795" s="3"/>
      <c r="B795" s="3"/>
      <c r="C795" s="3"/>
      <c r="D795" s="30"/>
      <c r="E795" s="30"/>
      <c r="F795" s="30"/>
      <c r="G795" s="30"/>
      <c r="H795" s="30"/>
      <c r="I795" s="30"/>
      <c r="J795" s="3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"/>
      <c r="AV795" s="3"/>
      <c r="AW795" s="3"/>
      <c r="AX795" s="3"/>
      <c r="AY795" s="3"/>
      <c r="AZ795" s="3"/>
      <c r="BA795" s="3"/>
    </row>
    <row r="796" ht="12.75" spans="1:53">
      <c r="A796" s="3"/>
      <c r="B796" s="3"/>
      <c r="C796" s="3"/>
      <c r="D796" s="30"/>
      <c r="E796" s="30"/>
      <c r="F796" s="30"/>
      <c r="G796" s="30"/>
      <c r="H796" s="30"/>
      <c r="I796" s="30"/>
      <c r="J796" s="3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"/>
      <c r="AV796" s="3"/>
      <c r="AW796" s="3"/>
      <c r="AX796" s="3"/>
      <c r="AY796" s="3"/>
      <c r="AZ796" s="3"/>
      <c r="BA796" s="3"/>
    </row>
    <row r="797" ht="12.75" spans="1:53">
      <c r="A797" s="3"/>
      <c r="B797" s="3"/>
      <c r="C797" s="3"/>
      <c r="D797" s="30"/>
      <c r="E797" s="30"/>
      <c r="F797" s="30"/>
      <c r="G797" s="30"/>
      <c r="H797" s="30"/>
      <c r="I797" s="30"/>
      <c r="J797" s="3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"/>
      <c r="AV797" s="3"/>
      <c r="AW797" s="3"/>
      <c r="AX797" s="3"/>
      <c r="AY797" s="3"/>
      <c r="AZ797" s="3"/>
      <c r="BA797" s="3"/>
    </row>
    <row r="798" ht="12.75" spans="1:53">
      <c r="A798" s="3"/>
      <c r="B798" s="3"/>
      <c r="C798" s="3"/>
      <c r="D798" s="30"/>
      <c r="E798" s="30"/>
      <c r="F798" s="30"/>
      <c r="G798" s="30"/>
      <c r="H798" s="30"/>
      <c r="I798" s="30"/>
      <c r="J798" s="3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"/>
      <c r="AV798" s="3"/>
      <c r="AW798" s="3"/>
      <c r="AX798" s="3"/>
      <c r="AY798" s="3"/>
      <c r="AZ798" s="3"/>
      <c r="BA798" s="3"/>
    </row>
    <row r="799" ht="12.75" spans="1:53">
      <c r="A799" s="3"/>
      <c r="B799" s="3"/>
      <c r="C799" s="3"/>
      <c r="D799" s="30"/>
      <c r="E799" s="30"/>
      <c r="F799" s="30"/>
      <c r="G799" s="30"/>
      <c r="H799" s="30"/>
      <c r="I799" s="30"/>
      <c r="J799" s="3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"/>
      <c r="AV799" s="3"/>
      <c r="AW799" s="3"/>
      <c r="AX799" s="3"/>
      <c r="AY799" s="3"/>
      <c r="AZ799" s="3"/>
      <c r="BA799" s="3"/>
    </row>
    <row r="800" ht="12.75" spans="1:53">
      <c r="A800" s="3"/>
      <c r="B800" s="3"/>
      <c r="C800" s="3"/>
      <c r="D800" s="30"/>
      <c r="E800" s="30"/>
      <c r="F800" s="30"/>
      <c r="G800" s="30"/>
      <c r="H800" s="30"/>
      <c r="I800" s="30"/>
      <c r="J800" s="3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"/>
      <c r="AV800" s="3"/>
      <c r="AW800" s="3"/>
      <c r="AX800" s="3"/>
      <c r="AY800" s="3"/>
      <c r="AZ800" s="3"/>
      <c r="BA800" s="3"/>
    </row>
    <row r="801" ht="12.75" spans="1:53">
      <c r="A801" s="3"/>
      <c r="B801" s="3"/>
      <c r="C801" s="3"/>
      <c r="D801" s="30"/>
      <c r="E801" s="30"/>
      <c r="F801" s="30"/>
      <c r="G801" s="30"/>
      <c r="H801" s="30"/>
      <c r="I801" s="30"/>
      <c r="J801" s="3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"/>
      <c r="AV801" s="3"/>
      <c r="AW801" s="3"/>
      <c r="AX801" s="3"/>
      <c r="AY801" s="3"/>
      <c r="AZ801" s="3"/>
      <c r="BA801" s="3"/>
    </row>
    <row r="802" ht="12.75" spans="1:53">
      <c r="A802" s="3"/>
      <c r="B802" s="3"/>
      <c r="C802" s="3"/>
      <c r="D802" s="30"/>
      <c r="E802" s="30"/>
      <c r="F802" s="30"/>
      <c r="G802" s="30"/>
      <c r="H802" s="30"/>
      <c r="I802" s="30"/>
      <c r="J802" s="3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"/>
      <c r="AV802" s="3"/>
      <c r="AW802" s="3"/>
      <c r="AX802" s="3"/>
      <c r="AY802" s="3"/>
      <c r="AZ802" s="3"/>
      <c r="BA802" s="3"/>
    </row>
    <row r="803" ht="12.75" spans="1:53">
      <c r="A803" s="3"/>
      <c r="B803" s="3"/>
      <c r="C803" s="3"/>
      <c r="D803" s="30"/>
      <c r="E803" s="30"/>
      <c r="F803" s="30"/>
      <c r="G803" s="30"/>
      <c r="H803" s="30"/>
      <c r="I803" s="30"/>
      <c r="J803" s="3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"/>
      <c r="AV803" s="3"/>
      <c r="AW803" s="3"/>
      <c r="AX803" s="3"/>
      <c r="AY803" s="3"/>
      <c r="AZ803" s="3"/>
      <c r="BA803" s="3"/>
    </row>
    <row r="804" ht="12.75" spans="1:53">
      <c r="A804" s="3"/>
      <c r="B804" s="3"/>
      <c r="C804" s="3"/>
      <c r="D804" s="30"/>
      <c r="E804" s="30"/>
      <c r="F804" s="30"/>
      <c r="G804" s="30"/>
      <c r="H804" s="30"/>
      <c r="I804" s="30"/>
      <c r="J804" s="3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"/>
      <c r="AV804" s="3"/>
      <c r="AW804" s="3"/>
      <c r="AX804" s="3"/>
      <c r="AY804" s="3"/>
      <c r="AZ804" s="3"/>
      <c r="BA804" s="3"/>
    </row>
    <row r="805" ht="12.75" spans="1:53">
      <c r="A805" s="3"/>
      <c r="B805" s="3"/>
      <c r="C805" s="3"/>
      <c r="D805" s="30"/>
      <c r="E805" s="30"/>
      <c r="F805" s="30"/>
      <c r="G805" s="30"/>
      <c r="H805" s="30"/>
      <c r="I805" s="30"/>
      <c r="J805" s="3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"/>
      <c r="AV805" s="3"/>
      <c r="AW805" s="3"/>
      <c r="AX805" s="3"/>
      <c r="AY805" s="3"/>
      <c r="AZ805" s="3"/>
      <c r="BA805" s="3"/>
    </row>
    <row r="806" ht="12.75" spans="1:53">
      <c r="A806" s="3"/>
      <c r="B806" s="3"/>
      <c r="C806" s="3"/>
      <c r="D806" s="30"/>
      <c r="E806" s="30"/>
      <c r="F806" s="30"/>
      <c r="G806" s="30"/>
      <c r="H806" s="30"/>
      <c r="I806" s="30"/>
      <c r="J806" s="3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"/>
      <c r="AV806" s="3"/>
      <c r="AW806" s="3"/>
      <c r="AX806" s="3"/>
      <c r="AY806" s="3"/>
      <c r="AZ806" s="3"/>
      <c r="BA806" s="3"/>
    </row>
    <row r="807" ht="12.75" spans="1:53">
      <c r="A807" s="3"/>
      <c r="B807" s="3"/>
      <c r="C807" s="3"/>
      <c r="D807" s="30"/>
      <c r="E807" s="30"/>
      <c r="F807" s="30"/>
      <c r="G807" s="30"/>
      <c r="H807" s="30"/>
      <c r="I807" s="30"/>
      <c r="J807" s="3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"/>
      <c r="AV807" s="3"/>
      <c r="AW807" s="3"/>
      <c r="AX807" s="3"/>
      <c r="AY807" s="3"/>
      <c r="AZ807" s="3"/>
      <c r="BA807" s="3"/>
    </row>
    <row r="808" ht="12.75" spans="1:53">
      <c r="A808" s="3"/>
      <c r="B808" s="3"/>
      <c r="C808" s="3"/>
      <c r="D808" s="30"/>
      <c r="E808" s="30"/>
      <c r="F808" s="30"/>
      <c r="G808" s="30"/>
      <c r="H808" s="30"/>
      <c r="I808" s="30"/>
      <c r="J808" s="3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"/>
      <c r="AV808" s="3"/>
      <c r="AW808" s="3"/>
      <c r="AX808" s="3"/>
      <c r="AY808" s="3"/>
      <c r="AZ808" s="3"/>
      <c r="BA808" s="3"/>
    </row>
    <row r="809" ht="12.75" spans="1:53">
      <c r="A809" s="3"/>
      <c r="B809" s="3"/>
      <c r="C809" s="3"/>
      <c r="D809" s="30"/>
      <c r="E809" s="30"/>
      <c r="F809" s="30"/>
      <c r="G809" s="30"/>
      <c r="H809" s="30"/>
      <c r="I809" s="30"/>
      <c r="J809" s="3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"/>
      <c r="AV809" s="3"/>
      <c r="AW809" s="3"/>
      <c r="AX809" s="3"/>
      <c r="AY809" s="3"/>
      <c r="AZ809" s="3"/>
      <c r="BA809" s="3"/>
    </row>
    <row r="810" ht="12.75" spans="1:53">
      <c r="A810" s="3"/>
      <c r="B810" s="3"/>
      <c r="C810" s="3"/>
      <c r="D810" s="30"/>
      <c r="E810" s="30"/>
      <c r="F810" s="30"/>
      <c r="G810" s="30"/>
      <c r="H810" s="30"/>
      <c r="I810" s="30"/>
      <c r="J810" s="3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"/>
      <c r="AV810" s="3"/>
      <c r="AW810" s="3"/>
      <c r="AX810" s="3"/>
      <c r="AY810" s="3"/>
      <c r="AZ810" s="3"/>
      <c r="BA810" s="3"/>
    </row>
    <row r="811" ht="12.75" spans="1:53">
      <c r="A811" s="3"/>
      <c r="B811" s="3"/>
      <c r="C811" s="3"/>
      <c r="D811" s="30"/>
      <c r="E811" s="30"/>
      <c r="F811" s="30"/>
      <c r="G811" s="30"/>
      <c r="H811" s="30"/>
      <c r="I811" s="30"/>
      <c r="J811" s="3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"/>
      <c r="AV811" s="3"/>
      <c r="AW811" s="3"/>
      <c r="AX811" s="3"/>
      <c r="AY811" s="3"/>
      <c r="AZ811" s="3"/>
      <c r="BA811" s="3"/>
    </row>
    <row r="812" ht="12.75" spans="1:53">
      <c r="A812" s="3"/>
      <c r="B812" s="3"/>
      <c r="C812" s="3"/>
      <c r="D812" s="30"/>
      <c r="E812" s="30"/>
      <c r="F812" s="30"/>
      <c r="G812" s="30"/>
      <c r="H812" s="30"/>
      <c r="I812" s="30"/>
      <c r="J812" s="3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"/>
      <c r="AV812" s="3"/>
      <c r="AW812" s="3"/>
      <c r="AX812" s="3"/>
      <c r="AY812" s="3"/>
      <c r="AZ812" s="3"/>
      <c r="BA812" s="3"/>
    </row>
    <row r="813" ht="12.75" spans="1:53">
      <c r="A813" s="3"/>
      <c r="B813" s="3"/>
      <c r="C813" s="3"/>
      <c r="D813" s="30"/>
      <c r="E813" s="30"/>
      <c r="F813" s="30"/>
      <c r="G813" s="30"/>
      <c r="H813" s="30"/>
      <c r="I813" s="30"/>
      <c r="J813" s="3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"/>
      <c r="AV813" s="3"/>
      <c r="AW813" s="3"/>
      <c r="AX813" s="3"/>
      <c r="AY813" s="3"/>
      <c r="AZ813" s="3"/>
      <c r="BA813" s="3"/>
    </row>
    <row r="814" ht="12.75" spans="1:53">
      <c r="A814" s="3"/>
      <c r="B814" s="3"/>
      <c r="C814" s="3"/>
      <c r="D814" s="30"/>
      <c r="E814" s="30"/>
      <c r="F814" s="30"/>
      <c r="G814" s="30"/>
      <c r="H814" s="30"/>
      <c r="I814" s="30"/>
      <c r="J814" s="3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"/>
      <c r="AV814" s="3"/>
      <c r="AW814" s="3"/>
      <c r="AX814" s="3"/>
      <c r="AY814" s="3"/>
      <c r="AZ814" s="3"/>
      <c r="BA814" s="3"/>
    </row>
    <row r="815" ht="12.75" spans="1:53">
      <c r="A815" s="3"/>
      <c r="B815" s="3"/>
      <c r="C815" s="3"/>
      <c r="D815" s="30"/>
      <c r="E815" s="30"/>
      <c r="F815" s="30"/>
      <c r="G815" s="30"/>
      <c r="H815" s="30"/>
      <c r="I815" s="30"/>
      <c r="J815" s="3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"/>
      <c r="AV815" s="3"/>
      <c r="AW815" s="3"/>
      <c r="AX815" s="3"/>
      <c r="AY815" s="3"/>
      <c r="AZ815" s="3"/>
      <c r="BA815" s="3"/>
    </row>
    <row r="816" ht="12.75" spans="1:53">
      <c r="A816" s="3"/>
      <c r="B816" s="3"/>
      <c r="C816" s="3"/>
      <c r="D816" s="30"/>
      <c r="E816" s="30"/>
      <c r="F816" s="30"/>
      <c r="G816" s="30"/>
      <c r="H816" s="30"/>
      <c r="I816" s="30"/>
      <c r="J816" s="3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"/>
      <c r="AV816" s="3"/>
      <c r="AW816" s="3"/>
      <c r="AX816" s="3"/>
      <c r="AY816" s="3"/>
      <c r="AZ816" s="3"/>
      <c r="BA816" s="3"/>
    </row>
    <row r="817" ht="12.75" spans="1:53">
      <c r="A817" s="3"/>
      <c r="B817" s="3"/>
      <c r="C817" s="3"/>
      <c r="D817" s="30"/>
      <c r="E817" s="30"/>
      <c r="F817" s="30"/>
      <c r="G817" s="30"/>
      <c r="H817" s="30"/>
      <c r="I817" s="30"/>
      <c r="J817" s="3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"/>
      <c r="AV817" s="3"/>
      <c r="AW817" s="3"/>
      <c r="AX817" s="3"/>
      <c r="AY817" s="3"/>
      <c r="AZ817" s="3"/>
      <c r="BA817" s="3"/>
    </row>
    <row r="818" ht="12.75" spans="1:53">
      <c r="A818" s="3"/>
      <c r="B818" s="3"/>
      <c r="C818" s="3"/>
      <c r="D818" s="30"/>
      <c r="E818" s="30"/>
      <c r="F818" s="30"/>
      <c r="G818" s="30"/>
      <c r="H818" s="30"/>
      <c r="I818" s="30"/>
      <c r="J818" s="3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"/>
      <c r="AV818" s="3"/>
      <c r="AW818" s="3"/>
      <c r="AX818" s="3"/>
      <c r="AY818" s="3"/>
      <c r="AZ818" s="3"/>
      <c r="BA818" s="3"/>
    </row>
    <row r="819" ht="12.75" spans="1:53">
      <c r="A819" s="3"/>
      <c r="B819" s="3"/>
      <c r="C819" s="3"/>
      <c r="D819" s="30"/>
      <c r="E819" s="30"/>
      <c r="F819" s="30"/>
      <c r="G819" s="30"/>
      <c r="H819" s="30"/>
      <c r="I819" s="30"/>
      <c r="J819" s="3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"/>
      <c r="AV819" s="3"/>
      <c r="AW819" s="3"/>
      <c r="AX819" s="3"/>
      <c r="AY819" s="3"/>
      <c r="AZ819" s="3"/>
      <c r="BA819" s="3"/>
    </row>
    <row r="820" ht="12.75" spans="1:53">
      <c r="A820" s="3"/>
      <c r="B820" s="3"/>
      <c r="C820" s="3"/>
      <c r="D820" s="30"/>
      <c r="E820" s="30"/>
      <c r="F820" s="30"/>
      <c r="G820" s="30"/>
      <c r="H820" s="30"/>
      <c r="I820" s="30"/>
      <c r="J820" s="3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"/>
      <c r="AV820" s="3"/>
      <c r="AW820" s="3"/>
      <c r="AX820" s="3"/>
      <c r="AY820" s="3"/>
      <c r="AZ820" s="3"/>
      <c r="BA820" s="3"/>
    </row>
    <row r="821" ht="12.75" spans="1:53">
      <c r="A821" s="3"/>
      <c r="B821" s="3"/>
      <c r="C821" s="3"/>
      <c r="D821" s="30"/>
      <c r="E821" s="30"/>
      <c r="F821" s="30"/>
      <c r="G821" s="30"/>
      <c r="H821" s="30"/>
      <c r="I821" s="30"/>
      <c r="J821" s="3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"/>
      <c r="AV821" s="3"/>
      <c r="AW821" s="3"/>
      <c r="AX821" s="3"/>
      <c r="AY821" s="3"/>
      <c r="AZ821" s="3"/>
      <c r="BA821" s="3"/>
    </row>
    <row r="822" ht="12.75" spans="1:53">
      <c r="A822" s="3"/>
      <c r="B822" s="3"/>
      <c r="C822" s="3"/>
      <c r="D822" s="30"/>
      <c r="E822" s="30"/>
      <c r="F822" s="30"/>
      <c r="G822" s="30"/>
      <c r="H822" s="30"/>
      <c r="I822" s="30"/>
      <c r="J822" s="3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"/>
      <c r="AV822" s="3"/>
      <c r="AW822" s="3"/>
      <c r="AX822" s="3"/>
      <c r="AY822" s="3"/>
      <c r="AZ822" s="3"/>
      <c r="BA822" s="3"/>
    </row>
    <row r="823" ht="12.75" spans="1:53">
      <c r="A823" s="3"/>
      <c r="B823" s="3"/>
      <c r="C823" s="3"/>
      <c r="D823" s="30"/>
      <c r="E823" s="30"/>
      <c r="F823" s="30"/>
      <c r="G823" s="30"/>
      <c r="H823" s="30"/>
      <c r="I823" s="30"/>
      <c r="J823" s="3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"/>
      <c r="AV823" s="3"/>
      <c r="AW823" s="3"/>
      <c r="AX823" s="3"/>
      <c r="AY823" s="3"/>
      <c r="AZ823" s="3"/>
      <c r="BA823" s="3"/>
    </row>
    <row r="824" ht="12.75" spans="1:53">
      <c r="A824" s="3"/>
      <c r="B824" s="3"/>
      <c r="C824" s="3"/>
      <c r="D824" s="30"/>
      <c r="E824" s="30"/>
      <c r="F824" s="30"/>
      <c r="G824" s="30"/>
      <c r="H824" s="30"/>
      <c r="I824" s="30"/>
      <c r="J824" s="3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"/>
      <c r="AV824" s="3"/>
      <c r="AW824" s="3"/>
      <c r="AX824" s="3"/>
      <c r="AY824" s="3"/>
      <c r="AZ824" s="3"/>
      <c r="BA824" s="3"/>
    </row>
    <row r="825" ht="12.75" spans="1:53">
      <c r="A825" s="3"/>
      <c r="B825" s="3"/>
      <c r="C825" s="3"/>
      <c r="D825" s="30"/>
      <c r="E825" s="30"/>
      <c r="F825" s="30"/>
      <c r="G825" s="30"/>
      <c r="H825" s="30"/>
      <c r="I825" s="30"/>
      <c r="J825" s="3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"/>
      <c r="AV825" s="3"/>
      <c r="AW825" s="3"/>
      <c r="AX825" s="3"/>
      <c r="AY825" s="3"/>
      <c r="AZ825" s="3"/>
      <c r="BA825" s="3"/>
    </row>
    <row r="826" ht="12.75" spans="1:53">
      <c r="A826" s="3"/>
      <c r="B826" s="3"/>
      <c r="C826" s="3"/>
      <c r="D826" s="30"/>
      <c r="E826" s="30"/>
      <c r="F826" s="30"/>
      <c r="G826" s="30"/>
      <c r="H826" s="30"/>
      <c r="I826" s="30"/>
      <c r="J826" s="3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"/>
      <c r="AV826" s="3"/>
      <c r="AW826" s="3"/>
      <c r="AX826" s="3"/>
      <c r="AY826" s="3"/>
      <c r="AZ826" s="3"/>
      <c r="BA826" s="3"/>
    </row>
    <row r="827" ht="12.75" spans="1:53">
      <c r="A827" s="3"/>
      <c r="B827" s="3"/>
      <c r="C827" s="3"/>
      <c r="D827" s="30"/>
      <c r="E827" s="30"/>
      <c r="F827" s="30"/>
      <c r="G827" s="30"/>
      <c r="H827" s="30"/>
      <c r="I827" s="30"/>
      <c r="J827" s="3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"/>
      <c r="AV827" s="3"/>
      <c r="AW827" s="3"/>
      <c r="AX827" s="3"/>
      <c r="AY827" s="3"/>
      <c r="AZ827" s="3"/>
      <c r="BA827" s="3"/>
    </row>
    <row r="828" ht="12.75" spans="1:53">
      <c r="A828" s="3"/>
      <c r="B828" s="3"/>
      <c r="C828" s="3"/>
      <c r="D828" s="30"/>
      <c r="E828" s="30"/>
      <c r="F828" s="30"/>
      <c r="G828" s="30"/>
      <c r="H828" s="30"/>
      <c r="I828" s="30"/>
      <c r="J828" s="3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"/>
      <c r="AV828" s="3"/>
      <c r="AW828" s="3"/>
      <c r="AX828" s="3"/>
      <c r="AY828" s="3"/>
      <c r="AZ828" s="3"/>
      <c r="BA828" s="3"/>
    </row>
    <row r="829" ht="12.75" spans="1:53">
      <c r="A829" s="3"/>
      <c r="B829" s="3"/>
      <c r="C829" s="3"/>
      <c r="D829" s="30"/>
      <c r="E829" s="30"/>
      <c r="F829" s="30"/>
      <c r="G829" s="30"/>
      <c r="H829" s="30"/>
      <c r="I829" s="30"/>
      <c r="J829" s="3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"/>
      <c r="AV829" s="3"/>
      <c r="AW829" s="3"/>
      <c r="AX829" s="3"/>
      <c r="AY829" s="3"/>
      <c r="AZ829" s="3"/>
      <c r="BA829" s="3"/>
    </row>
    <row r="830" ht="12.75" spans="1:53">
      <c r="A830" s="3"/>
      <c r="B830" s="3"/>
      <c r="C830" s="3"/>
      <c r="D830" s="30"/>
      <c r="E830" s="30"/>
      <c r="F830" s="30"/>
      <c r="G830" s="30"/>
      <c r="H830" s="30"/>
      <c r="I830" s="30"/>
      <c r="J830" s="3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"/>
      <c r="AV830" s="3"/>
      <c r="AW830" s="3"/>
      <c r="AX830" s="3"/>
      <c r="AY830" s="3"/>
      <c r="AZ830" s="3"/>
      <c r="BA830" s="3"/>
    </row>
    <row r="831" ht="12.75" spans="1:53">
      <c r="A831" s="3"/>
      <c r="B831" s="3"/>
      <c r="C831" s="3"/>
      <c r="D831" s="30"/>
      <c r="E831" s="30"/>
      <c r="F831" s="30"/>
      <c r="G831" s="30"/>
      <c r="H831" s="30"/>
      <c r="I831" s="30"/>
      <c r="J831" s="3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"/>
      <c r="AV831" s="3"/>
      <c r="AW831" s="3"/>
      <c r="AX831" s="3"/>
      <c r="AY831" s="3"/>
      <c r="AZ831" s="3"/>
      <c r="BA831" s="3"/>
    </row>
    <row r="832" ht="12.75" spans="1:53">
      <c r="A832" s="3"/>
      <c r="B832" s="3"/>
      <c r="C832" s="3"/>
      <c r="D832" s="30"/>
      <c r="E832" s="30"/>
      <c r="F832" s="30"/>
      <c r="G832" s="30"/>
      <c r="H832" s="30"/>
      <c r="I832" s="30"/>
      <c r="J832" s="3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"/>
      <c r="AV832" s="3"/>
      <c r="AW832" s="3"/>
      <c r="AX832" s="3"/>
      <c r="AY832" s="3"/>
      <c r="AZ832" s="3"/>
      <c r="BA832" s="3"/>
    </row>
    <row r="833" ht="12.75" spans="1:53">
      <c r="A833" s="3"/>
      <c r="B833" s="3"/>
      <c r="C833" s="3"/>
      <c r="D833" s="30"/>
      <c r="E833" s="30"/>
      <c r="F833" s="30"/>
      <c r="G833" s="30"/>
      <c r="H833" s="30"/>
      <c r="I833" s="30"/>
      <c r="J833" s="3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"/>
      <c r="AV833" s="3"/>
      <c r="AW833" s="3"/>
      <c r="AX833" s="3"/>
      <c r="AY833" s="3"/>
      <c r="AZ833" s="3"/>
      <c r="BA833" s="3"/>
    </row>
    <row r="834" ht="12.75" spans="1:53">
      <c r="A834" s="3"/>
      <c r="B834" s="3"/>
      <c r="C834" s="3"/>
      <c r="D834" s="30"/>
      <c r="E834" s="30"/>
      <c r="F834" s="30"/>
      <c r="G834" s="30"/>
      <c r="H834" s="30"/>
      <c r="I834" s="30"/>
      <c r="J834" s="3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"/>
      <c r="AV834" s="3"/>
      <c r="AW834" s="3"/>
      <c r="AX834" s="3"/>
      <c r="AY834" s="3"/>
      <c r="AZ834" s="3"/>
      <c r="BA834" s="3"/>
    </row>
    <row r="835" ht="12.75" spans="1:53">
      <c r="A835" s="3"/>
      <c r="B835" s="3"/>
      <c r="C835" s="3"/>
      <c r="D835" s="30"/>
      <c r="E835" s="30"/>
      <c r="F835" s="30"/>
      <c r="G835" s="30"/>
      <c r="H835" s="30"/>
      <c r="I835" s="30"/>
      <c r="J835" s="3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"/>
      <c r="AV835" s="3"/>
      <c r="AW835" s="3"/>
      <c r="AX835" s="3"/>
      <c r="AY835" s="3"/>
      <c r="AZ835" s="3"/>
      <c r="BA835" s="3"/>
    </row>
    <row r="836" ht="12.75" spans="1:53">
      <c r="A836" s="3"/>
      <c r="B836" s="3"/>
      <c r="C836" s="3"/>
      <c r="D836" s="30"/>
      <c r="E836" s="30"/>
      <c r="F836" s="30"/>
      <c r="G836" s="30"/>
      <c r="H836" s="30"/>
      <c r="I836" s="30"/>
      <c r="J836" s="3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"/>
      <c r="AV836" s="3"/>
      <c r="AW836" s="3"/>
      <c r="AX836" s="3"/>
      <c r="AY836" s="3"/>
      <c r="AZ836" s="3"/>
      <c r="BA836" s="3"/>
    </row>
    <row r="837" ht="12.75" spans="1:53">
      <c r="A837" s="3"/>
      <c r="B837" s="3"/>
      <c r="C837" s="3"/>
      <c r="D837" s="30"/>
      <c r="E837" s="30"/>
      <c r="F837" s="30"/>
      <c r="G837" s="30"/>
      <c r="H837" s="30"/>
      <c r="I837" s="30"/>
      <c r="J837" s="3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"/>
      <c r="AV837" s="3"/>
      <c r="AW837" s="3"/>
      <c r="AX837" s="3"/>
      <c r="AY837" s="3"/>
      <c r="AZ837" s="3"/>
      <c r="BA837" s="3"/>
    </row>
    <row r="838" ht="12.75" spans="1:53">
      <c r="A838" s="3"/>
      <c r="B838" s="3"/>
      <c r="C838" s="3"/>
      <c r="D838" s="30"/>
      <c r="E838" s="30"/>
      <c r="F838" s="30"/>
      <c r="G838" s="30"/>
      <c r="H838" s="30"/>
      <c r="I838" s="30"/>
      <c r="J838" s="3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"/>
      <c r="AV838" s="3"/>
      <c r="AW838" s="3"/>
      <c r="AX838" s="3"/>
      <c r="AY838" s="3"/>
      <c r="AZ838" s="3"/>
      <c r="BA838" s="3"/>
    </row>
    <row r="839" ht="12.75" spans="1:53">
      <c r="A839" s="3"/>
      <c r="B839" s="3"/>
      <c r="C839" s="3"/>
      <c r="D839" s="30"/>
      <c r="E839" s="30"/>
      <c r="F839" s="30"/>
      <c r="G839" s="30"/>
      <c r="H839" s="30"/>
      <c r="I839" s="30"/>
      <c r="J839" s="3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"/>
      <c r="AV839" s="3"/>
      <c r="AW839" s="3"/>
      <c r="AX839" s="3"/>
      <c r="AY839" s="3"/>
      <c r="AZ839" s="3"/>
      <c r="BA839" s="3"/>
    </row>
    <row r="840" ht="12.75" spans="1:53">
      <c r="A840" s="3"/>
      <c r="B840" s="3"/>
      <c r="C840" s="3"/>
      <c r="D840" s="30"/>
      <c r="E840" s="30"/>
      <c r="F840" s="30"/>
      <c r="G840" s="30"/>
      <c r="H840" s="30"/>
      <c r="I840" s="30"/>
      <c r="J840" s="3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"/>
      <c r="AV840" s="3"/>
      <c r="AW840" s="3"/>
      <c r="AX840" s="3"/>
      <c r="AY840" s="3"/>
      <c r="AZ840" s="3"/>
      <c r="BA840" s="3"/>
    </row>
    <row r="841" ht="12.75" spans="1:53">
      <c r="A841" s="3"/>
      <c r="B841" s="3"/>
      <c r="C841" s="3"/>
      <c r="D841" s="30"/>
      <c r="E841" s="30"/>
      <c r="F841" s="30"/>
      <c r="G841" s="30"/>
      <c r="H841" s="30"/>
      <c r="I841" s="30"/>
      <c r="J841" s="3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"/>
      <c r="AV841" s="3"/>
      <c r="AW841" s="3"/>
      <c r="AX841" s="3"/>
      <c r="AY841" s="3"/>
      <c r="AZ841" s="3"/>
      <c r="BA841" s="3"/>
    </row>
    <row r="842" ht="12.75" spans="1:53">
      <c r="A842" s="3"/>
      <c r="B842" s="3"/>
      <c r="C842" s="3"/>
      <c r="D842" s="30"/>
      <c r="E842" s="30"/>
      <c r="F842" s="30"/>
      <c r="G842" s="30"/>
      <c r="H842" s="30"/>
      <c r="I842" s="30"/>
      <c r="J842" s="3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"/>
      <c r="AV842" s="3"/>
      <c r="AW842" s="3"/>
      <c r="AX842" s="3"/>
      <c r="AY842" s="3"/>
      <c r="AZ842" s="3"/>
      <c r="BA842" s="3"/>
    </row>
    <row r="843" ht="12.75" spans="1:53">
      <c r="A843" s="3"/>
      <c r="B843" s="3"/>
      <c r="C843" s="3"/>
      <c r="D843" s="30"/>
      <c r="E843" s="30"/>
      <c r="F843" s="30"/>
      <c r="G843" s="30"/>
      <c r="H843" s="30"/>
      <c r="I843" s="30"/>
      <c r="J843" s="3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"/>
      <c r="AV843" s="3"/>
      <c r="AW843" s="3"/>
      <c r="AX843" s="3"/>
      <c r="AY843" s="3"/>
      <c r="AZ843" s="3"/>
      <c r="BA843" s="3"/>
    </row>
    <row r="844" ht="12.75" spans="1:53">
      <c r="A844" s="3"/>
      <c r="B844" s="3"/>
      <c r="C844" s="3"/>
      <c r="D844" s="30"/>
      <c r="E844" s="30"/>
      <c r="F844" s="30"/>
      <c r="G844" s="30"/>
      <c r="H844" s="30"/>
      <c r="I844" s="30"/>
      <c r="J844" s="3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"/>
      <c r="AV844" s="3"/>
      <c r="AW844" s="3"/>
      <c r="AX844" s="3"/>
      <c r="AY844" s="3"/>
      <c r="AZ844" s="3"/>
      <c r="BA844" s="3"/>
    </row>
    <row r="845" ht="12.75" spans="1:53">
      <c r="A845" s="3"/>
      <c r="B845" s="3"/>
      <c r="C845" s="3"/>
      <c r="D845" s="30"/>
      <c r="E845" s="30"/>
      <c r="F845" s="30"/>
      <c r="G845" s="30"/>
      <c r="H845" s="30"/>
      <c r="I845" s="30"/>
      <c r="J845" s="3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"/>
      <c r="AV845" s="3"/>
      <c r="AW845" s="3"/>
      <c r="AX845" s="3"/>
      <c r="AY845" s="3"/>
      <c r="AZ845" s="3"/>
      <c r="BA845" s="3"/>
    </row>
    <row r="846" ht="12.75" spans="1:53">
      <c r="A846" s="3"/>
      <c r="B846" s="3"/>
      <c r="C846" s="3"/>
      <c r="D846" s="30"/>
      <c r="E846" s="30"/>
      <c r="F846" s="30"/>
      <c r="G846" s="30"/>
      <c r="H846" s="30"/>
      <c r="I846" s="30"/>
      <c r="J846" s="3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"/>
      <c r="AV846" s="3"/>
      <c r="AW846" s="3"/>
      <c r="AX846" s="3"/>
      <c r="AY846" s="3"/>
      <c r="AZ846" s="3"/>
      <c r="BA846" s="3"/>
    </row>
    <row r="847" ht="12.75" spans="1:53">
      <c r="A847" s="3"/>
      <c r="B847" s="3"/>
      <c r="C847" s="3"/>
      <c r="D847" s="30"/>
      <c r="E847" s="30"/>
      <c r="F847" s="30"/>
      <c r="G847" s="30"/>
      <c r="H847" s="30"/>
      <c r="I847" s="30"/>
      <c r="J847" s="3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"/>
      <c r="AV847" s="3"/>
      <c r="AW847" s="3"/>
      <c r="AX847" s="3"/>
      <c r="AY847" s="3"/>
      <c r="AZ847" s="3"/>
      <c r="BA847" s="3"/>
    </row>
    <row r="848" ht="12.75" spans="1:53">
      <c r="A848" s="3"/>
      <c r="B848" s="3"/>
      <c r="C848" s="3"/>
      <c r="D848" s="30"/>
      <c r="E848" s="30"/>
      <c r="F848" s="30"/>
      <c r="G848" s="30"/>
      <c r="H848" s="30"/>
      <c r="I848" s="30"/>
      <c r="J848" s="3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"/>
      <c r="AV848" s="3"/>
      <c r="AW848" s="3"/>
      <c r="AX848" s="3"/>
      <c r="AY848" s="3"/>
      <c r="AZ848" s="3"/>
      <c r="BA848" s="3"/>
    </row>
    <row r="849" ht="12.75" spans="1:53">
      <c r="A849" s="3"/>
      <c r="B849" s="3"/>
      <c r="C849" s="3"/>
      <c r="D849" s="30"/>
      <c r="E849" s="30"/>
      <c r="F849" s="30"/>
      <c r="G849" s="30"/>
      <c r="H849" s="30"/>
      <c r="I849" s="30"/>
      <c r="J849" s="3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"/>
      <c r="AV849" s="3"/>
      <c r="AW849" s="3"/>
      <c r="AX849" s="3"/>
      <c r="AY849" s="3"/>
      <c r="AZ849" s="3"/>
      <c r="BA849" s="3"/>
    </row>
    <row r="850" ht="12.75" spans="1:53">
      <c r="A850" s="3"/>
      <c r="B850" s="3"/>
      <c r="C850" s="3"/>
      <c r="D850" s="30"/>
      <c r="E850" s="30"/>
      <c r="F850" s="30"/>
      <c r="G850" s="30"/>
      <c r="H850" s="30"/>
      <c r="I850" s="30"/>
      <c r="J850" s="3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"/>
      <c r="AV850" s="3"/>
      <c r="AW850" s="3"/>
      <c r="AX850" s="3"/>
      <c r="AY850" s="3"/>
      <c r="AZ850" s="3"/>
      <c r="BA850" s="3"/>
    </row>
    <row r="851" ht="12.75" spans="1:53">
      <c r="A851" s="3"/>
      <c r="B851" s="3"/>
      <c r="C851" s="3"/>
      <c r="D851" s="30"/>
      <c r="E851" s="30"/>
      <c r="F851" s="30"/>
      <c r="G851" s="30"/>
      <c r="H851" s="30"/>
      <c r="I851" s="30"/>
      <c r="J851" s="3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"/>
      <c r="AV851" s="3"/>
      <c r="AW851" s="3"/>
      <c r="AX851" s="3"/>
      <c r="AY851" s="3"/>
      <c r="AZ851" s="3"/>
      <c r="BA851" s="3"/>
    </row>
    <row r="852" ht="12.75" spans="1:53">
      <c r="A852" s="3"/>
      <c r="B852" s="3"/>
      <c r="C852" s="3"/>
      <c r="D852" s="30"/>
      <c r="E852" s="30"/>
      <c r="F852" s="30"/>
      <c r="G852" s="30"/>
      <c r="H852" s="30"/>
      <c r="I852" s="30"/>
      <c r="J852" s="3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"/>
      <c r="AV852" s="3"/>
      <c r="AW852" s="3"/>
      <c r="AX852" s="3"/>
      <c r="AY852" s="3"/>
      <c r="AZ852" s="3"/>
      <c r="BA852" s="3"/>
    </row>
    <row r="853" ht="12.75" spans="1:53">
      <c r="A853" s="3"/>
      <c r="B853" s="3"/>
      <c r="C853" s="3"/>
      <c r="D853" s="30"/>
      <c r="E853" s="30"/>
      <c r="F853" s="30"/>
      <c r="G853" s="30"/>
      <c r="H853" s="30"/>
      <c r="I853" s="30"/>
      <c r="J853" s="3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"/>
      <c r="AV853" s="3"/>
      <c r="AW853" s="3"/>
      <c r="AX853" s="3"/>
      <c r="AY853" s="3"/>
      <c r="AZ853" s="3"/>
      <c r="BA853" s="3"/>
    </row>
    <row r="854" ht="12.75" spans="1:53">
      <c r="A854" s="3"/>
      <c r="B854" s="3"/>
      <c r="C854" s="3"/>
      <c r="D854" s="30"/>
      <c r="E854" s="30"/>
      <c r="F854" s="30"/>
      <c r="G854" s="30"/>
      <c r="H854" s="30"/>
      <c r="I854" s="30"/>
      <c r="J854" s="3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"/>
      <c r="AV854" s="3"/>
      <c r="AW854" s="3"/>
      <c r="AX854" s="3"/>
      <c r="AY854" s="3"/>
      <c r="AZ854" s="3"/>
      <c r="BA854" s="3"/>
    </row>
    <row r="855" ht="12.75" spans="1:53">
      <c r="A855" s="3"/>
      <c r="B855" s="3"/>
      <c r="C855" s="3"/>
      <c r="D855" s="30"/>
      <c r="E855" s="30"/>
      <c r="F855" s="30"/>
      <c r="G855" s="30"/>
      <c r="H855" s="30"/>
      <c r="I855" s="30"/>
      <c r="J855" s="3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"/>
      <c r="AV855" s="3"/>
      <c r="AW855" s="3"/>
      <c r="AX855" s="3"/>
      <c r="AY855" s="3"/>
      <c r="AZ855" s="3"/>
      <c r="BA855" s="3"/>
    </row>
    <row r="856" ht="12.75" spans="1:53">
      <c r="A856" s="3"/>
      <c r="B856" s="3"/>
      <c r="C856" s="3"/>
      <c r="D856" s="30"/>
      <c r="E856" s="30"/>
      <c r="F856" s="30"/>
      <c r="G856" s="30"/>
      <c r="H856" s="30"/>
      <c r="I856" s="30"/>
      <c r="J856" s="3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"/>
      <c r="AV856" s="3"/>
      <c r="AW856" s="3"/>
      <c r="AX856" s="3"/>
      <c r="AY856" s="3"/>
      <c r="AZ856" s="3"/>
      <c r="BA856" s="3"/>
    </row>
    <row r="857" ht="12.75" spans="1:53">
      <c r="A857" s="3"/>
      <c r="B857" s="3"/>
      <c r="C857" s="3"/>
      <c r="D857" s="30"/>
      <c r="E857" s="30"/>
      <c r="F857" s="30"/>
      <c r="G857" s="30"/>
      <c r="H857" s="30"/>
      <c r="I857" s="30"/>
      <c r="J857" s="3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"/>
      <c r="AV857" s="3"/>
      <c r="AW857" s="3"/>
      <c r="AX857" s="3"/>
      <c r="AY857" s="3"/>
      <c r="AZ857" s="3"/>
      <c r="BA857" s="3"/>
    </row>
    <row r="858" ht="12.75" spans="1:53">
      <c r="A858" s="3"/>
      <c r="B858" s="3"/>
      <c r="C858" s="3"/>
      <c r="D858" s="30"/>
      <c r="E858" s="30"/>
      <c r="F858" s="30"/>
      <c r="G858" s="30"/>
      <c r="H858" s="30"/>
      <c r="I858" s="30"/>
      <c r="J858" s="3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"/>
      <c r="AV858" s="3"/>
      <c r="AW858" s="3"/>
      <c r="AX858" s="3"/>
      <c r="AY858" s="3"/>
      <c r="AZ858" s="3"/>
      <c r="BA858" s="3"/>
    </row>
    <row r="859" ht="12.75" spans="1:53">
      <c r="A859" s="3"/>
      <c r="B859" s="3"/>
      <c r="C859" s="3"/>
      <c r="D859" s="30"/>
      <c r="E859" s="30"/>
      <c r="F859" s="30"/>
      <c r="G859" s="30"/>
      <c r="H859" s="30"/>
      <c r="I859" s="30"/>
      <c r="J859" s="3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"/>
      <c r="AV859" s="3"/>
      <c r="AW859" s="3"/>
      <c r="AX859" s="3"/>
      <c r="AY859" s="3"/>
      <c r="AZ859" s="3"/>
      <c r="BA859" s="3"/>
    </row>
    <row r="860" ht="12.75" spans="1:53">
      <c r="A860" s="3"/>
      <c r="B860" s="3"/>
      <c r="C860" s="3"/>
      <c r="D860" s="30"/>
      <c r="E860" s="30"/>
      <c r="F860" s="30"/>
      <c r="G860" s="30"/>
      <c r="H860" s="30"/>
      <c r="I860" s="30"/>
      <c r="J860" s="3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"/>
      <c r="AV860" s="3"/>
      <c r="AW860" s="3"/>
      <c r="AX860" s="3"/>
      <c r="AY860" s="3"/>
      <c r="AZ860" s="3"/>
      <c r="BA860" s="3"/>
    </row>
    <row r="861" ht="12.75" spans="1:53">
      <c r="A861" s="3"/>
      <c r="B861" s="3"/>
      <c r="C861" s="3"/>
      <c r="D861" s="30"/>
      <c r="E861" s="30"/>
      <c r="F861" s="30"/>
      <c r="G861" s="30"/>
      <c r="H861" s="30"/>
      <c r="I861" s="30"/>
      <c r="J861" s="3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"/>
      <c r="AV861" s="3"/>
      <c r="AW861" s="3"/>
      <c r="AX861" s="3"/>
      <c r="AY861" s="3"/>
      <c r="AZ861" s="3"/>
      <c r="BA861" s="3"/>
    </row>
    <row r="862" ht="12.75" spans="1:53">
      <c r="A862" s="3"/>
      <c r="B862" s="3"/>
      <c r="C862" s="3"/>
      <c r="D862" s="30"/>
      <c r="E862" s="30"/>
      <c r="F862" s="30"/>
      <c r="G862" s="30"/>
      <c r="H862" s="30"/>
      <c r="I862" s="30"/>
      <c r="J862" s="3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"/>
      <c r="AV862" s="3"/>
      <c r="AW862" s="3"/>
      <c r="AX862" s="3"/>
      <c r="AY862" s="3"/>
      <c r="AZ862" s="3"/>
      <c r="BA862" s="3"/>
    </row>
    <row r="863" ht="12.75" spans="1:53">
      <c r="A863" s="3"/>
      <c r="B863" s="3"/>
      <c r="C863" s="3"/>
      <c r="D863" s="30"/>
      <c r="E863" s="30"/>
      <c r="F863" s="30"/>
      <c r="G863" s="30"/>
      <c r="H863" s="30"/>
      <c r="I863" s="30"/>
      <c r="J863" s="3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"/>
      <c r="AV863" s="3"/>
      <c r="AW863" s="3"/>
      <c r="AX863" s="3"/>
      <c r="AY863" s="3"/>
      <c r="AZ863" s="3"/>
      <c r="BA863" s="3"/>
    </row>
    <row r="864" ht="12.75" spans="1:53">
      <c r="A864" s="3"/>
      <c r="B864" s="3"/>
      <c r="C864" s="3"/>
      <c r="D864" s="30"/>
      <c r="E864" s="30"/>
      <c r="F864" s="30"/>
      <c r="G864" s="30"/>
      <c r="H864" s="30"/>
      <c r="I864" s="30"/>
      <c r="J864" s="3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"/>
      <c r="AV864" s="3"/>
      <c r="AW864" s="3"/>
      <c r="AX864" s="3"/>
      <c r="AY864" s="3"/>
      <c r="AZ864" s="3"/>
      <c r="BA864" s="3"/>
    </row>
    <row r="865" ht="12.75" spans="1:53">
      <c r="A865" s="3"/>
      <c r="B865" s="3"/>
      <c r="C865" s="3"/>
      <c r="D865" s="30"/>
      <c r="E865" s="30"/>
      <c r="F865" s="30"/>
      <c r="G865" s="30"/>
      <c r="H865" s="30"/>
      <c r="I865" s="30"/>
      <c r="J865" s="3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"/>
      <c r="AV865" s="3"/>
      <c r="AW865" s="3"/>
      <c r="AX865" s="3"/>
      <c r="AY865" s="3"/>
      <c r="AZ865" s="3"/>
      <c r="BA865" s="3"/>
    </row>
    <row r="866" ht="12.75" spans="1:53">
      <c r="A866" s="3"/>
      <c r="B866" s="3"/>
      <c r="C866" s="3"/>
      <c r="D866" s="30"/>
      <c r="E866" s="30"/>
      <c r="F866" s="30"/>
      <c r="G866" s="30"/>
      <c r="H866" s="30"/>
      <c r="I866" s="30"/>
      <c r="J866" s="3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"/>
      <c r="AV866" s="3"/>
      <c r="AW866" s="3"/>
      <c r="AX866" s="3"/>
      <c r="AY866" s="3"/>
      <c r="AZ866" s="3"/>
      <c r="BA866" s="3"/>
    </row>
    <row r="867" ht="12.75" spans="1:53">
      <c r="A867" s="3"/>
      <c r="B867" s="3"/>
      <c r="C867" s="3"/>
      <c r="D867" s="30"/>
      <c r="E867" s="30"/>
      <c r="F867" s="30"/>
      <c r="G867" s="30"/>
      <c r="H867" s="30"/>
      <c r="I867" s="30"/>
      <c r="J867" s="3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"/>
      <c r="AV867" s="3"/>
      <c r="AW867" s="3"/>
      <c r="AX867" s="3"/>
      <c r="AY867" s="3"/>
      <c r="AZ867" s="3"/>
      <c r="BA867" s="3"/>
    </row>
    <row r="868" ht="12.75" spans="1:53">
      <c r="A868" s="3"/>
      <c r="B868" s="3"/>
      <c r="C868" s="3"/>
      <c r="D868" s="30"/>
      <c r="E868" s="30"/>
      <c r="F868" s="30"/>
      <c r="G868" s="30"/>
      <c r="H868" s="30"/>
      <c r="I868" s="30"/>
      <c r="J868" s="3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"/>
      <c r="AV868" s="3"/>
      <c r="AW868" s="3"/>
      <c r="AX868" s="3"/>
      <c r="AY868" s="3"/>
      <c r="AZ868" s="3"/>
      <c r="BA868" s="3"/>
    </row>
    <row r="869" ht="12.75" spans="1:53">
      <c r="A869" s="3"/>
      <c r="B869" s="3"/>
      <c r="C869" s="3"/>
      <c r="D869" s="30"/>
      <c r="E869" s="30"/>
      <c r="F869" s="30"/>
      <c r="G869" s="30"/>
      <c r="H869" s="30"/>
      <c r="I869" s="30"/>
      <c r="J869" s="3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"/>
      <c r="AV869" s="3"/>
      <c r="AW869" s="3"/>
      <c r="AX869" s="3"/>
      <c r="AY869" s="3"/>
      <c r="AZ869" s="3"/>
      <c r="BA869" s="3"/>
    </row>
    <row r="870" ht="12.75" spans="1:53">
      <c r="A870" s="3"/>
      <c r="B870" s="3"/>
      <c r="C870" s="3"/>
      <c r="D870" s="30"/>
      <c r="E870" s="30"/>
      <c r="F870" s="30"/>
      <c r="G870" s="30"/>
      <c r="H870" s="30"/>
      <c r="I870" s="30"/>
      <c r="J870" s="3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"/>
      <c r="AV870" s="3"/>
      <c r="AW870" s="3"/>
      <c r="AX870" s="3"/>
      <c r="AY870" s="3"/>
      <c r="AZ870" s="3"/>
      <c r="BA870" s="3"/>
    </row>
    <row r="871" ht="12.75" spans="1:53">
      <c r="A871" s="3"/>
      <c r="B871" s="3"/>
      <c r="C871" s="3"/>
      <c r="D871" s="30"/>
      <c r="E871" s="30"/>
      <c r="F871" s="30"/>
      <c r="G871" s="30"/>
      <c r="H871" s="30"/>
      <c r="I871" s="30"/>
      <c r="J871" s="3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"/>
      <c r="AV871" s="3"/>
      <c r="AW871" s="3"/>
      <c r="AX871" s="3"/>
      <c r="AY871" s="3"/>
      <c r="AZ871" s="3"/>
      <c r="BA871" s="3"/>
    </row>
    <row r="872" ht="12.75" spans="1:53">
      <c r="A872" s="3"/>
      <c r="B872" s="3"/>
      <c r="C872" s="3"/>
      <c r="D872" s="30"/>
      <c r="E872" s="30"/>
      <c r="F872" s="30"/>
      <c r="G872" s="30"/>
      <c r="H872" s="30"/>
      <c r="I872" s="30"/>
      <c r="J872" s="3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"/>
      <c r="AV872" s="3"/>
      <c r="AW872" s="3"/>
      <c r="AX872" s="3"/>
      <c r="AY872" s="3"/>
      <c r="AZ872" s="3"/>
      <c r="BA872" s="3"/>
    </row>
    <row r="873" ht="12.75" spans="1:53">
      <c r="A873" s="3"/>
      <c r="B873" s="3"/>
      <c r="C873" s="3"/>
      <c r="D873" s="30"/>
      <c r="E873" s="30"/>
      <c r="F873" s="30"/>
      <c r="G873" s="30"/>
      <c r="H873" s="30"/>
      <c r="I873" s="30"/>
      <c r="J873" s="3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"/>
      <c r="AV873" s="3"/>
      <c r="AW873" s="3"/>
      <c r="AX873" s="3"/>
      <c r="AY873" s="3"/>
      <c r="AZ873" s="3"/>
      <c r="BA873" s="3"/>
    </row>
    <row r="874" ht="12.75" spans="1:53">
      <c r="A874" s="3"/>
      <c r="B874" s="3"/>
      <c r="C874" s="3"/>
      <c r="D874" s="30"/>
      <c r="E874" s="30"/>
      <c r="F874" s="30"/>
      <c r="G874" s="30"/>
      <c r="H874" s="30"/>
      <c r="I874" s="30"/>
      <c r="J874" s="3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"/>
      <c r="AV874" s="3"/>
      <c r="AW874" s="3"/>
      <c r="AX874" s="3"/>
      <c r="AY874" s="3"/>
      <c r="AZ874" s="3"/>
      <c r="BA874" s="3"/>
    </row>
    <row r="875" ht="12.75" spans="1:53">
      <c r="A875" s="3"/>
      <c r="B875" s="3"/>
      <c r="C875" s="3"/>
      <c r="D875" s="30"/>
      <c r="E875" s="30"/>
      <c r="F875" s="30"/>
      <c r="G875" s="30"/>
      <c r="H875" s="30"/>
      <c r="I875" s="30"/>
      <c r="J875" s="3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"/>
      <c r="AV875" s="3"/>
      <c r="AW875" s="3"/>
      <c r="AX875" s="3"/>
      <c r="AY875" s="3"/>
      <c r="AZ875" s="3"/>
      <c r="BA875" s="3"/>
    </row>
    <row r="876" ht="12.75" spans="1:53">
      <c r="A876" s="3"/>
      <c r="B876" s="3"/>
      <c r="C876" s="3"/>
      <c r="D876" s="30"/>
      <c r="E876" s="30"/>
      <c r="F876" s="30"/>
      <c r="G876" s="30"/>
      <c r="H876" s="30"/>
      <c r="I876" s="30"/>
      <c r="J876" s="3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"/>
      <c r="AV876" s="3"/>
      <c r="AW876" s="3"/>
      <c r="AX876" s="3"/>
      <c r="AY876" s="3"/>
      <c r="AZ876" s="3"/>
      <c r="BA876" s="3"/>
    </row>
    <row r="877" ht="12.75" spans="1:53">
      <c r="A877" s="3"/>
      <c r="B877" s="3"/>
      <c r="C877" s="3"/>
      <c r="D877" s="30"/>
      <c r="E877" s="30"/>
      <c r="F877" s="30"/>
      <c r="G877" s="30"/>
      <c r="H877" s="30"/>
      <c r="I877" s="30"/>
      <c r="J877" s="3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"/>
      <c r="AV877" s="3"/>
      <c r="AW877" s="3"/>
      <c r="AX877" s="3"/>
      <c r="AY877" s="3"/>
      <c r="AZ877" s="3"/>
      <c r="BA877" s="3"/>
    </row>
    <row r="878" ht="12.75" spans="1:53">
      <c r="A878" s="3"/>
      <c r="B878" s="3"/>
      <c r="C878" s="3"/>
      <c r="D878" s="30"/>
      <c r="E878" s="30"/>
      <c r="F878" s="30"/>
      <c r="G878" s="30"/>
      <c r="H878" s="30"/>
      <c r="I878" s="30"/>
      <c r="J878" s="3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"/>
      <c r="AV878" s="3"/>
      <c r="AW878" s="3"/>
      <c r="AX878" s="3"/>
      <c r="AY878" s="3"/>
      <c r="AZ878" s="3"/>
      <c r="BA878" s="3"/>
    </row>
    <row r="879" ht="12.75" spans="1:53">
      <c r="A879" s="3"/>
      <c r="B879" s="3"/>
      <c r="C879" s="3"/>
      <c r="D879" s="30"/>
      <c r="E879" s="30"/>
      <c r="F879" s="30"/>
      <c r="G879" s="30"/>
      <c r="H879" s="30"/>
      <c r="I879" s="30"/>
      <c r="J879" s="3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"/>
      <c r="AV879" s="3"/>
      <c r="AW879" s="3"/>
      <c r="AX879" s="3"/>
      <c r="AY879" s="3"/>
      <c r="AZ879" s="3"/>
      <c r="BA879" s="3"/>
    </row>
    <row r="880" ht="12.75" spans="1:53">
      <c r="A880" s="3"/>
      <c r="B880" s="3"/>
      <c r="C880" s="3"/>
      <c r="D880" s="30"/>
      <c r="E880" s="30"/>
      <c r="F880" s="30"/>
      <c r="G880" s="30"/>
      <c r="H880" s="30"/>
      <c r="I880" s="30"/>
      <c r="J880" s="3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"/>
      <c r="AV880" s="3"/>
      <c r="AW880" s="3"/>
      <c r="AX880" s="3"/>
      <c r="AY880" s="3"/>
      <c r="AZ880" s="3"/>
      <c r="BA880" s="3"/>
    </row>
    <row r="881" ht="12.75" spans="1:53">
      <c r="A881" s="3"/>
      <c r="B881" s="3"/>
      <c r="C881" s="3"/>
      <c r="D881" s="30"/>
      <c r="E881" s="30"/>
      <c r="F881" s="30"/>
      <c r="G881" s="30"/>
      <c r="H881" s="30"/>
      <c r="I881" s="30"/>
      <c r="J881" s="3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"/>
      <c r="AV881" s="3"/>
      <c r="AW881" s="3"/>
      <c r="AX881" s="3"/>
      <c r="AY881" s="3"/>
      <c r="AZ881" s="3"/>
      <c r="BA881" s="3"/>
    </row>
    <row r="882" ht="12.75" spans="1:53">
      <c r="A882" s="3"/>
      <c r="B882" s="3"/>
      <c r="C882" s="3"/>
      <c r="D882" s="30"/>
      <c r="E882" s="30"/>
      <c r="F882" s="30"/>
      <c r="G882" s="30"/>
      <c r="H882" s="30"/>
      <c r="I882" s="30"/>
      <c r="J882" s="3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"/>
      <c r="AV882" s="3"/>
      <c r="AW882" s="3"/>
      <c r="AX882" s="3"/>
      <c r="AY882" s="3"/>
      <c r="AZ882" s="3"/>
      <c r="BA882" s="3"/>
    </row>
    <row r="883" ht="12.75" spans="1:53">
      <c r="A883" s="3"/>
      <c r="B883" s="3"/>
      <c r="C883" s="3"/>
      <c r="D883" s="30"/>
      <c r="E883" s="30"/>
      <c r="F883" s="30"/>
      <c r="G883" s="30"/>
      <c r="H883" s="30"/>
      <c r="I883" s="30"/>
      <c r="J883" s="3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"/>
      <c r="AV883" s="3"/>
      <c r="AW883" s="3"/>
      <c r="AX883" s="3"/>
      <c r="AY883" s="3"/>
      <c r="AZ883" s="3"/>
      <c r="BA883" s="3"/>
    </row>
    <row r="884" ht="12.75" spans="1:53">
      <c r="A884" s="3"/>
      <c r="B884" s="3"/>
      <c r="C884" s="3"/>
      <c r="D884" s="30"/>
      <c r="E884" s="30"/>
      <c r="F884" s="30"/>
      <c r="G884" s="30"/>
      <c r="H884" s="30"/>
      <c r="I884" s="30"/>
      <c r="J884" s="3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"/>
      <c r="AV884" s="3"/>
      <c r="AW884" s="3"/>
      <c r="AX884" s="3"/>
      <c r="AY884" s="3"/>
      <c r="AZ884" s="3"/>
      <c r="BA884" s="3"/>
    </row>
    <row r="885" ht="12.75" spans="1:53">
      <c r="A885" s="3"/>
      <c r="B885" s="3"/>
      <c r="C885" s="3"/>
      <c r="D885" s="30"/>
      <c r="E885" s="30"/>
      <c r="F885" s="30"/>
      <c r="G885" s="30"/>
      <c r="H885" s="30"/>
      <c r="I885" s="30"/>
      <c r="J885" s="3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"/>
      <c r="AV885" s="3"/>
      <c r="AW885" s="3"/>
      <c r="AX885" s="3"/>
      <c r="AY885" s="3"/>
      <c r="AZ885" s="3"/>
      <c r="BA885" s="3"/>
    </row>
    <row r="886" ht="12.75" spans="1:53">
      <c r="A886" s="3"/>
      <c r="B886" s="3"/>
      <c r="C886" s="3"/>
      <c r="D886" s="30"/>
      <c r="E886" s="30"/>
      <c r="F886" s="30"/>
      <c r="G886" s="30"/>
      <c r="H886" s="30"/>
      <c r="I886" s="30"/>
      <c r="J886" s="3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"/>
      <c r="AV886" s="3"/>
      <c r="AW886" s="3"/>
      <c r="AX886" s="3"/>
      <c r="AY886" s="3"/>
      <c r="AZ886" s="3"/>
      <c r="BA886" s="3"/>
    </row>
    <row r="887" ht="12.75" spans="1:53">
      <c r="A887" s="3"/>
      <c r="B887" s="3"/>
      <c r="C887" s="3"/>
      <c r="D887" s="30"/>
      <c r="E887" s="30"/>
      <c r="F887" s="30"/>
      <c r="G887" s="30"/>
      <c r="H887" s="30"/>
      <c r="I887" s="30"/>
      <c r="J887" s="3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"/>
      <c r="AV887" s="3"/>
      <c r="AW887" s="3"/>
      <c r="AX887" s="3"/>
      <c r="AY887" s="3"/>
      <c r="AZ887" s="3"/>
      <c r="BA887" s="3"/>
    </row>
    <row r="888" ht="12.75" spans="1:53">
      <c r="A888" s="3"/>
      <c r="B888" s="3"/>
      <c r="C888" s="3"/>
      <c r="D888" s="30"/>
      <c r="E888" s="30"/>
      <c r="F888" s="30"/>
      <c r="G888" s="30"/>
      <c r="H888" s="30"/>
      <c r="I888" s="30"/>
      <c r="J888" s="3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"/>
      <c r="AV888" s="3"/>
      <c r="AW888" s="3"/>
      <c r="AX888" s="3"/>
      <c r="AY888" s="3"/>
      <c r="AZ888" s="3"/>
      <c r="BA888" s="3"/>
    </row>
    <row r="889" ht="12.75" spans="1:53">
      <c r="A889" s="3"/>
      <c r="B889" s="3"/>
      <c r="C889" s="3"/>
      <c r="D889" s="30"/>
      <c r="E889" s="30"/>
      <c r="F889" s="30"/>
      <c r="G889" s="30"/>
      <c r="H889" s="30"/>
      <c r="I889" s="30"/>
      <c r="J889" s="3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"/>
      <c r="AV889" s="3"/>
      <c r="AW889" s="3"/>
      <c r="AX889" s="3"/>
      <c r="AY889" s="3"/>
      <c r="AZ889" s="3"/>
      <c r="BA889" s="3"/>
    </row>
    <row r="890" ht="12.75" spans="1:53">
      <c r="A890" s="3"/>
      <c r="B890" s="3"/>
      <c r="C890" s="3"/>
      <c r="D890" s="30"/>
      <c r="E890" s="30"/>
      <c r="F890" s="30"/>
      <c r="G890" s="30"/>
      <c r="H890" s="30"/>
      <c r="I890" s="30"/>
      <c r="J890" s="3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"/>
      <c r="AV890" s="3"/>
      <c r="AW890" s="3"/>
      <c r="AX890" s="3"/>
      <c r="AY890" s="3"/>
      <c r="AZ890" s="3"/>
      <c r="BA890" s="3"/>
    </row>
    <row r="891" ht="12.75" spans="1:53">
      <c r="A891" s="3"/>
      <c r="B891" s="3"/>
      <c r="C891" s="3"/>
      <c r="D891" s="30"/>
      <c r="E891" s="30"/>
      <c r="F891" s="30"/>
      <c r="G891" s="30"/>
      <c r="H891" s="30"/>
      <c r="I891" s="30"/>
      <c r="J891" s="3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"/>
      <c r="AV891" s="3"/>
      <c r="AW891" s="3"/>
      <c r="AX891" s="3"/>
      <c r="AY891" s="3"/>
      <c r="AZ891" s="3"/>
      <c r="BA891" s="3"/>
    </row>
    <row r="892" ht="12.75" spans="1:53">
      <c r="A892" s="3"/>
      <c r="B892" s="3"/>
      <c r="C892" s="3"/>
      <c r="D892" s="30"/>
      <c r="E892" s="30"/>
      <c r="F892" s="30"/>
      <c r="G892" s="30"/>
      <c r="H892" s="30"/>
      <c r="I892" s="30"/>
      <c r="J892" s="3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"/>
      <c r="AV892" s="3"/>
      <c r="AW892" s="3"/>
      <c r="AX892" s="3"/>
      <c r="AY892" s="3"/>
      <c r="AZ892" s="3"/>
      <c r="BA892" s="3"/>
    </row>
    <row r="893" ht="12.75" spans="1:53">
      <c r="A893" s="3"/>
      <c r="B893" s="3"/>
      <c r="C893" s="3"/>
      <c r="D893" s="30"/>
      <c r="E893" s="30"/>
      <c r="F893" s="30"/>
      <c r="G893" s="30"/>
      <c r="H893" s="30"/>
      <c r="I893" s="30"/>
      <c r="J893" s="3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"/>
      <c r="AV893" s="3"/>
      <c r="AW893" s="3"/>
      <c r="AX893" s="3"/>
      <c r="AY893" s="3"/>
      <c r="AZ893" s="3"/>
      <c r="BA893" s="3"/>
    </row>
    <row r="894" ht="12.75" spans="1:53">
      <c r="A894" s="3"/>
      <c r="B894" s="3"/>
      <c r="C894" s="3"/>
      <c r="D894" s="30"/>
      <c r="E894" s="30"/>
      <c r="F894" s="30"/>
      <c r="G894" s="30"/>
      <c r="H894" s="30"/>
      <c r="I894" s="30"/>
      <c r="J894" s="3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"/>
      <c r="AV894" s="3"/>
      <c r="AW894" s="3"/>
      <c r="AX894" s="3"/>
      <c r="AY894" s="3"/>
      <c r="AZ894" s="3"/>
      <c r="BA894" s="3"/>
    </row>
    <row r="895" ht="12.75" spans="1:53">
      <c r="A895" s="3"/>
      <c r="B895" s="3"/>
      <c r="C895" s="3"/>
      <c r="D895" s="30"/>
      <c r="E895" s="30"/>
      <c r="F895" s="30"/>
      <c r="G895" s="30"/>
      <c r="H895" s="30"/>
      <c r="I895" s="30"/>
      <c r="J895" s="3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"/>
      <c r="AV895" s="3"/>
      <c r="AW895" s="3"/>
      <c r="AX895" s="3"/>
      <c r="AY895" s="3"/>
      <c r="AZ895" s="3"/>
      <c r="BA895" s="3"/>
    </row>
    <row r="896" ht="12.75" spans="1:53">
      <c r="A896" s="3"/>
      <c r="B896" s="3"/>
      <c r="C896" s="3"/>
      <c r="D896" s="30"/>
      <c r="E896" s="30"/>
      <c r="F896" s="30"/>
      <c r="G896" s="30"/>
      <c r="H896" s="30"/>
      <c r="I896" s="30"/>
      <c r="J896" s="3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"/>
      <c r="AV896" s="3"/>
      <c r="AW896" s="3"/>
      <c r="AX896" s="3"/>
      <c r="AY896" s="3"/>
      <c r="AZ896" s="3"/>
      <c r="BA896" s="3"/>
    </row>
    <row r="897" ht="12.75" spans="1:53">
      <c r="A897" s="3"/>
      <c r="B897" s="3"/>
      <c r="C897" s="3"/>
      <c r="D897" s="30"/>
      <c r="E897" s="30"/>
      <c r="F897" s="30"/>
      <c r="G897" s="30"/>
      <c r="H897" s="30"/>
      <c r="I897" s="30"/>
      <c r="J897" s="3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"/>
      <c r="AV897" s="3"/>
      <c r="AW897" s="3"/>
      <c r="AX897" s="3"/>
      <c r="AY897" s="3"/>
      <c r="AZ897" s="3"/>
      <c r="BA897" s="3"/>
    </row>
    <row r="898" ht="12.75" spans="1:53">
      <c r="A898" s="3"/>
      <c r="B898" s="3"/>
      <c r="C898" s="3"/>
      <c r="D898" s="30"/>
      <c r="E898" s="30"/>
      <c r="F898" s="30"/>
      <c r="G898" s="30"/>
      <c r="H898" s="30"/>
      <c r="I898" s="30"/>
      <c r="J898" s="3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"/>
      <c r="AV898" s="3"/>
      <c r="AW898" s="3"/>
      <c r="AX898" s="3"/>
      <c r="AY898" s="3"/>
      <c r="AZ898" s="3"/>
      <c r="BA898" s="3"/>
    </row>
    <row r="899" ht="12.75" spans="1:53">
      <c r="A899" s="3"/>
      <c r="B899" s="3"/>
      <c r="C899" s="3"/>
      <c r="D899" s="30"/>
      <c r="E899" s="30"/>
      <c r="F899" s="30"/>
      <c r="G899" s="30"/>
      <c r="H899" s="30"/>
      <c r="I899" s="30"/>
      <c r="J899" s="3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"/>
      <c r="AV899" s="3"/>
      <c r="AW899" s="3"/>
      <c r="AX899" s="3"/>
      <c r="AY899" s="3"/>
      <c r="AZ899" s="3"/>
      <c r="BA899" s="3"/>
    </row>
    <row r="900" ht="12.75" spans="1:53">
      <c r="A900" s="3"/>
      <c r="B900" s="3"/>
      <c r="C900" s="3"/>
      <c r="D900" s="30"/>
      <c r="E900" s="30"/>
      <c r="F900" s="30"/>
      <c r="G900" s="30"/>
      <c r="H900" s="30"/>
      <c r="I900" s="30"/>
      <c r="J900" s="3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"/>
      <c r="AV900" s="3"/>
      <c r="AW900" s="3"/>
      <c r="AX900" s="3"/>
      <c r="AY900" s="3"/>
      <c r="AZ900" s="3"/>
      <c r="BA900" s="3"/>
    </row>
    <row r="901" ht="12.75" spans="1:53">
      <c r="A901" s="3"/>
      <c r="B901" s="3"/>
      <c r="C901" s="3"/>
      <c r="D901" s="30"/>
      <c r="E901" s="30"/>
      <c r="F901" s="30"/>
      <c r="G901" s="30"/>
      <c r="H901" s="30"/>
      <c r="I901" s="30"/>
      <c r="J901" s="3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"/>
      <c r="AV901" s="3"/>
      <c r="AW901" s="3"/>
      <c r="AX901" s="3"/>
      <c r="AY901" s="3"/>
      <c r="AZ901" s="3"/>
      <c r="BA901" s="3"/>
    </row>
    <row r="902" ht="12.75" spans="1:53">
      <c r="A902" s="3"/>
      <c r="B902" s="3"/>
      <c r="C902" s="3"/>
      <c r="D902" s="30"/>
      <c r="E902" s="30"/>
      <c r="F902" s="30"/>
      <c r="G902" s="30"/>
      <c r="H902" s="30"/>
      <c r="I902" s="30"/>
      <c r="J902" s="3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"/>
      <c r="AV902" s="3"/>
      <c r="AW902" s="3"/>
      <c r="AX902" s="3"/>
      <c r="AY902" s="3"/>
      <c r="AZ902" s="3"/>
      <c r="BA902" s="3"/>
    </row>
    <row r="903" ht="12.75" spans="1:53">
      <c r="A903" s="3"/>
      <c r="B903" s="3"/>
      <c r="C903" s="3"/>
      <c r="D903" s="30"/>
      <c r="E903" s="30"/>
      <c r="F903" s="30"/>
      <c r="G903" s="30"/>
      <c r="H903" s="30"/>
      <c r="I903" s="30"/>
      <c r="J903" s="3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"/>
      <c r="AV903" s="3"/>
      <c r="AW903" s="3"/>
      <c r="AX903" s="3"/>
      <c r="AY903" s="3"/>
      <c r="AZ903" s="3"/>
      <c r="BA903" s="3"/>
    </row>
    <row r="904" ht="12.75" spans="1:53">
      <c r="A904" s="3"/>
      <c r="B904" s="3"/>
      <c r="C904" s="3"/>
      <c r="D904" s="30"/>
      <c r="E904" s="30"/>
      <c r="F904" s="30"/>
      <c r="G904" s="30"/>
      <c r="H904" s="30"/>
      <c r="I904" s="30"/>
      <c r="J904" s="3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"/>
      <c r="AV904" s="3"/>
      <c r="AW904" s="3"/>
      <c r="AX904" s="3"/>
      <c r="AY904" s="3"/>
      <c r="AZ904" s="3"/>
      <c r="BA904" s="3"/>
    </row>
    <row r="905" ht="12.75" spans="1:53">
      <c r="A905" s="3"/>
      <c r="B905" s="3"/>
      <c r="C905" s="3"/>
      <c r="D905" s="30"/>
      <c r="E905" s="30"/>
      <c r="F905" s="30"/>
      <c r="G905" s="30"/>
      <c r="H905" s="30"/>
      <c r="I905" s="30"/>
      <c r="J905" s="3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"/>
      <c r="AV905" s="3"/>
      <c r="AW905" s="3"/>
      <c r="AX905" s="3"/>
      <c r="AY905" s="3"/>
      <c r="AZ905" s="3"/>
      <c r="BA905" s="3"/>
    </row>
    <row r="906" ht="12.75" spans="1:53">
      <c r="A906" s="3"/>
      <c r="B906" s="3"/>
      <c r="C906" s="3"/>
      <c r="D906" s="30"/>
      <c r="E906" s="30"/>
      <c r="F906" s="30"/>
      <c r="G906" s="30"/>
      <c r="H906" s="30"/>
      <c r="I906" s="30"/>
      <c r="J906" s="3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"/>
      <c r="AV906" s="3"/>
      <c r="AW906" s="3"/>
      <c r="AX906" s="3"/>
      <c r="AY906" s="3"/>
      <c r="AZ906" s="3"/>
      <c r="BA906" s="3"/>
    </row>
    <row r="907" ht="12.75" spans="1:53">
      <c r="A907" s="3"/>
      <c r="B907" s="3"/>
      <c r="C907" s="3"/>
      <c r="D907" s="30"/>
      <c r="E907" s="30"/>
      <c r="F907" s="30"/>
      <c r="G907" s="30"/>
      <c r="H907" s="30"/>
      <c r="I907" s="30"/>
      <c r="J907" s="3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"/>
      <c r="AV907" s="3"/>
      <c r="AW907" s="3"/>
      <c r="AX907" s="3"/>
      <c r="AY907" s="3"/>
      <c r="AZ907" s="3"/>
      <c r="BA907" s="3"/>
    </row>
    <row r="908" ht="12.75" spans="1:53">
      <c r="A908" s="3"/>
      <c r="B908" s="3"/>
      <c r="C908" s="3"/>
      <c r="D908" s="30"/>
      <c r="E908" s="30"/>
      <c r="F908" s="30"/>
      <c r="G908" s="30"/>
      <c r="H908" s="30"/>
      <c r="I908" s="30"/>
      <c r="J908" s="3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"/>
      <c r="AV908" s="3"/>
      <c r="AW908" s="3"/>
      <c r="AX908" s="3"/>
      <c r="AY908" s="3"/>
      <c r="AZ908" s="3"/>
      <c r="BA908" s="3"/>
    </row>
    <row r="909" ht="12.75" spans="1:53">
      <c r="A909" s="3"/>
      <c r="B909" s="3"/>
      <c r="C909" s="3"/>
      <c r="D909" s="30"/>
      <c r="E909" s="30"/>
      <c r="F909" s="30"/>
      <c r="G909" s="30"/>
      <c r="H909" s="30"/>
      <c r="I909" s="30"/>
      <c r="J909" s="3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"/>
      <c r="AV909" s="3"/>
      <c r="AW909" s="3"/>
      <c r="AX909" s="3"/>
      <c r="AY909" s="3"/>
      <c r="AZ909" s="3"/>
      <c r="BA909" s="3"/>
    </row>
    <row r="910" ht="12.75" spans="1:53">
      <c r="A910" s="3"/>
      <c r="B910" s="3"/>
      <c r="C910" s="3"/>
      <c r="D910" s="30"/>
      <c r="E910" s="30"/>
      <c r="F910" s="30"/>
      <c r="G910" s="30"/>
      <c r="H910" s="30"/>
      <c r="I910" s="30"/>
      <c r="J910" s="3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"/>
      <c r="AV910" s="3"/>
      <c r="AW910" s="3"/>
      <c r="AX910" s="3"/>
      <c r="AY910" s="3"/>
      <c r="AZ910" s="3"/>
      <c r="BA910" s="3"/>
    </row>
    <row r="911" ht="12.75" spans="1:53">
      <c r="A911" s="3"/>
      <c r="B911" s="3"/>
      <c r="C911" s="3"/>
      <c r="D911" s="30"/>
      <c r="E911" s="30"/>
      <c r="F911" s="30"/>
      <c r="G911" s="30"/>
      <c r="H911" s="30"/>
      <c r="I911" s="30"/>
      <c r="J911" s="3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"/>
      <c r="AV911" s="3"/>
      <c r="AW911" s="3"/>
      <c r="AX911" s="3"/>
      <c r="AY911" s="3"/>
      <c r="AZ911" s="3"/>
      <c r="BA911" s="3"/>
    </row>
    <row r="912" ht="12.75" spans="1:53">
      <c r="A912" s="3"/>
      <c r="B912" s="3"/>
      <c r="C912" s="3"/>
      <c r="D912" s="30"/>
      <c r="E912" s="30"/>
      <c r="F912" s="30"/>
      <c r="G912" s="30"/>
      <c r="H912" s="30"/>
      <c r="I912" s="30"/>
      <c r="J912" s="3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"/>
      <c r="AV912" s="3"/>
      <c r="AW912" s="3"/>
      <c r="AX912" s="3"/>
      <c r="AY912" s="3"/>
      <c r="AZ912" s="3"/>
      <c r="BA912" s="3"/>
    </row>
    <row r="913" ht="12.75" spans="1:53">
      <c r="A913" s="3"/>
      <c r="B913" s="3"/>
      <c r="C913" s="3"/>
      <c r="D913" s="30"/>
      <c r="E913" s="30"/>
      <c r="F913" s="30"/>
      <c r="G913" s="30"/>
      <c r="H913" s="30"/>
      <c r="I913" s="30"/>
      <c r="J913" s="3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"/>
      <c r="AV913" s="3"/>
      <c r="AW913" s="3"/>
      <c r="AX913" s="3"/>
      <c r="AY913" s="3"/>
      <c r="AZ913" s="3"/>
      <c r="BA913" s="3"/>
    </row>
    <row r="914" ht="12.75" spans="1:53">
      <c r="A914" s="3"/>
      <c r="B914" s="3"/>
      <c r="C914" s="3"/>
      <c r="D914" s="30"/>
      <c r="E914" s="30"/>
      <c r="F914" s="30"/>
      <c r="G914" s="30"/>
      <c r="H914" s="30"/>
      <c r="I914" s="30"/>
      <c r="J914" s="3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"/>
      <c r="AV914" s="3"/>
      <c r="AW914" s="3"/>
      <c r="AX914" s="3"/>
      <c r="AY914" s="3"/>
      <c r="AZ914" s="3"/>
      <c r="BA914" s="3"/>
    </row>
    <row r="915" ht="12.75" spans="1:53">
      <c r="A915" s="3"/>
      <c r="B915" s="3"/>
      <c r="C915" s="3"/>
      <c r="D915" s="30"/>
      <c r="E915" s="30"/>
      <c r="F915" s="30"/>
      <c r="G915" s="30"/>
      <c r="H915" s="30"/>
      <c r="I915" s="30"/>
      <c r="J915" s="3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"/>
      <c r="AV915" s="3"/>
      <c r="AW915" s="3"/>
      <c r="AX915" s="3"/>
      <c r="AY915" s="3"/>
      <c r="AZ915" s="3"/>
      <c r="BA915" s="3"/>
    </row>
    <row r="916" ht="12.75" spans="1:53">
      <c r="A916" s="3"/>
      <c r="B916" s="3"/>
      <c r="C916" s="3"/>
      <c r="D916" s="30"/>
      <c r="E916" s="30"/>
      <c r="F916" s="30"/>
      <c r="G916" s="30"/>
      <c r="H916" s="30"/>
      <c r="I916" s="30"/>
      <c r="J916" s="3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"/>
      <c r="AV916" s="3"/>
      <c r="AW916" s="3"/>
      <c r="AX916" s="3"/>
      <c r="AY916" s="3"/>
      <c r="AZ916" s="3"/>
      <c r="BA916" s="3"/>
    </row>
    <row r="917" ht="12.75" spans="1:53">
      <c r="A917" s="3"/>
      <c r="B917" s="3"/>
      <c r="C917" s="3"/>
      <c r="D917" s="30"/>
      <c r="E917" s="30"/>
      <c r="F917" s="30"/>
      <c r="G917" s="30"/>
      <c r="H917" s="30"/>
      <c r="I917" s="30"/>
      <c r="J917" s="3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"/>
      <c r="AV917" s="3"/>
      <c r="AW917" s="3"/>
      <c r="AX917" s="3"/>
      <c r="AY917" s="3"/>
      <c r="AZ917" s="3"/>
      <c r="BA917" s="3"/>
    </row>
    <row r="918" ht="12.75" spans="1:53">
      <c r="A918" s="3"/>
      <c r="B918" s="3"/>
      <c r="C918" s="3"/>
      <c r="D918" s="30"/>
      <c r="E918" s="30"/>
      <c r="F918" s="30"/>
      <c r="G918" s="30"/>
      <c r="H918" s="30"/>
      <c r="I918" s="30"/>
      <c r="J918" s="3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"/>
      <c r="AV918" s="3"/>
      <c r="AW918" s="3"/>
      <c r="AX918" s="3"/>
      <c r="AY918" s="3"/>
      <c r="AZ918" s="3"/>
      <c r="BA918" s="3"/>
    </row>
    <row r="919" ht="12.75" spans="1:53">
      <c r="A919" s="3"/>
      <c r="B919" s="3"/>
      <c r="C919" s="3"/>
      <c r="D919" s="30"/>
      <c r="E919" s="30"/>
      <c r="F919" s="30"/>
      <c r="G919" s="30"/>
      <c r="H919" s="30"/>
      <c r="I919" s="30"/>
      <c r="J919" s="3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"/>
      <c r="AV919" s="3"/>
      <c r="AW919" s="3"/>
      <c r="AX919" s="3"/>
      <c r="AY919" s="3"/>
      <c r="AZ919" s="3"/>
      <c r="BA919" s="3"/>
    </row>
    <row r="920" ht="12.75" spans="1:53">
      <c r="A920" s="3"/>
      <c r="B920" s="3"/>
      <c r="C920" s="3"/>
      <c r="D920" s="30"/>
      <c r="E920" s="30"/>
      <c r="F920" s="30"/>
      <c r="G920" s="30"/>
      <c r="H920" s="30"/>
      <c r="I920" s="30"/>
      <c r="J920" s="3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"/>
      <c r="AV920" s="3"/>
      <c r="AW920" s="3"/>
      <c r="AX920" s="3"/>
      <c r="AY920" s="3"/>
      <c r="AZ920" s="3"/>
      <c r="BA920" s="3"/>
    </row>
    <row r="921" ht="12.75" spans="1:53">
      <c r="A921" s="3"/>
      <c r="B921" s="3"/>
      <c r="C921" s="3"/>
      <c r="D921" s="30"/>
      <c r="E921" s="30"/>
      <c r="F921" s="30"/>
      <c r="G921" s="30"/>
      <c r="H921" s="30"/>
      <c r="I921" s="30"/>
      <c r="J921" s="3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"/>
      <c r="AV921" s="3"/>
      <c r="AW921" s="3"/>
      <c r="AX921" s="3"/>
      <c r="AY921" s="3"/>
      <c r="AZ921" s="3"/>
      <c r="BA921" s="3"/>
    </row>
    <row r="922" ht="12.75" spans="1:53">
      <c r="A922" s="3"/>
      <c r="B922" s="3"/>
      <c r="C922" s="3"/>
      <c r="D922" s="30"/>
      <c r="E922" s="30"/>
      <c r="F922" s="30"/>
      <c r="G922" s="30"/>
      <c r="H922" s="30"/>
      <c r="I922" s="30"/>
      <c r="J922" s="3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"/>
      <c r="AV922" s="3"/>
      <c r="AW922" s="3"/>
      <c r="AX922" s="3"/>
      <c r="AY922" s="3"/>
      <c r="AZ922" s="3"/>
      <c r="BA922" s="3"/>
    </row>
    <row r="923" ht="12.75" spans="1:53">
      <c r="A923" s="3"/>
      <c r="B923" s="3"/>
      <c r="C923" s="3"/>
      <c r="D923" s="30"/>
      <c r="E923" s="30"/>
      <c r="F923" s="30"/>
      <c r="G923" s="30"/>
      <c r="H923" s="30"/>
      <c r="I923" s="30"/>
      <c r="J923" s="3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"/>
      <c r="AV923" s="3"/>
      <c r="AW923" s="3"/>
      <c r="AX923" s="3"/>
      <c r="AY923" s="3"/>
      <c r="AZ923" s="3"/>
      <c r="BA923" s="3"/>
    </row>
    <row r="924" ht="12.75" spans="1:53">
      <c r="A924" s="3"/>
      <c r="B924" s="3"/>
      <c r="C924" s="3"/>
      <c r="D924" s="30"/>
      <c r="E924" s="30"/>
      <c r="F924" s="30"/>
      <c r="G924" s="30"/>
      <c r="H924" s="30"/>
      <c r="I924" s="30"/>
      <c r="J924" s="3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"/>
      <c r="AV924" s="3"/>
      <c r="AW924" s="3"/>
      <c r="AX924" s="3"/>
      <c r="AY924" s="3"/>
      <c r="AZ924" s="3"/>
      <c r="BA924" s="3"/>
    </row>
    <row r="925" ht="12.75" spans="1:53">
      <c r="A925" s="3"/>
      <c r="B925" s="3"/>
      <c r="C925" s="3"/>
      <c r="D925" s="30"/>
      <c r="E925" s="30"/>
      <c r="F925" s="30"/>
      <c r="G925" s="30"/>
      <c r="H925" s="30"/>
      <c r="I925" s="30"/>
      <c r="J925" s="3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"/>
      <c r="AV925" s="3"/>
      <c r="AW925" s="3"/>
      <c r="AX925" s="3"/>
      <c r="AY925" s="3"/>
      <c r="AZ925" s="3"/>
      <c r="BA925" s="3"/>
    </row>
    <row r="926" ht="12.75" spans="1:53">
      <c r="A926" s="3"/>
      <c r="B926" s="3"/>
      <c r="C926" s="3"/>
      <c r="D926" s="30"/>
      <c r="E926" s="30"/>
      <c r="F926" s="30"/>
      <c r="G926" s="30"/>
      <c r="H926" s="30"/>
      <c r="I926" s="30"/>
      <c r="J926" s="3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"/>
      <c r="AV926" s="3"/>
      <c r="AW926" s="3"/>
      <c r="AX926" s="3"/>
      <c r="AY926" s="3"/>
      <c r="AZ926" s="3"/>
      <c r="BA926" s="3"/>
    </row>
    <row r="927" ht="12.75" spans="1:53">
      <c r="A927" s="3"/>
      <c r="B927" s="3"/>
      <c r="C927" s="3"/>
      <c r="D927" s="30"/>
      <c r="E927" s="30"/>
      <c r="F927" s="30"/>
      <c r="G927" s="30"/>
      <c r="H927" s="30"/>
      <c r="I927" s="30"/>
      <c r="J927" s="3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"/>
      <c r="AV927" s="3"/>
      <c r="AW927" s="3"/>
      <c r="AX927" s="3"/>
      <c r="AY927" s="3"/>
      <c r="AZ927" s="3"/>
      <c r="BA927" s="3"/>
    </row>
    <row r="928" ht="12.75" spans="1:53">
      <c r="A928" s="3"/>
      <c r="B928" s="3"/>
      <c r="C928" s="3"/>
      <c r="D928" s="30"/>
      <c r="E928" s="30"/>
      <c r="F928" s="30"/>
      <c r="G928" s="30"/>
      <c r="H928" s="30"/>
      <c r="I928" s="30"/>
      <c r="J928" s="3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"/>
      <c r="AV928" s="3"/>
      <c r="AW928" s="3"/>
      <c r="AX928" s="3"/>
      <c r="AY928" s="3"/>
      <c r="AZ928" s="3"/>
      <c r="BA928" s="3"/>
    </row>
    <row r="929" ht="12.75" spans="1:53">
      <c r="A929" s="3"/>
      <c r="B929" s="3"/>
      <c r="C929" s="3"/>
      <c r="D929" s="30"/>
      <c r="E929" s="30"/>
      <c r="F929" s="30"/>
      <c r="G929" s="30"/>
      <c r="H929" s="30"/>
      <c r="I929" s="30"/>
      <c r="J929" s="3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"/>
      <c r="AV929" s="3"/>
      <c r="AW929" s="3"/>
      <c r="AX929" s="3"/>
      <c r="AY929" s="3"/>
      <c r="AZ929" s="3"/>
      <c r="BA929" s="3"/>
    </row>
    <row r="930" ht="12.75" spans="1:53">
      <c r="A930" s="3"/>
      <c r="B930" s="3"/>
      <c r="C930" s="3"/>
      <c r="D930" s="30"/>
      <c r="E930" s="30"/>
      <c r="F930" s="30"/>
      <c r="G930" s="30"/>
      <c r="H930" s="30"/>
      <c r="I930" s="30"/>
      <c r="J930" s="3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"/>
      <c r="AV930" s="3"/>
      <c r="AW930" s="3"/>
      <c r="AX930" s="3"/>
      <c r="AY930" s="3"/>
      <c r="AZ930" s="3"/>
      <c r="BA930" s="3"/>
    </row>
    <row r="931" ht="12.75" spans="1:53">
      <c r="A931" s="3"/>
      <c r="B931" s="3"/>
      <c r="C931" s="3"/>
      <c r="D931" s="30"/>
      <c r="E931" s="30"/>
      <c r="F931" s="30"/>
      <c r="G931" s="30"/>
      <c r="H931" s="30"/>
      <c r="I931" s="30"/>
      <c r="J931" s="3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"/>
      <c r="AV931" s="3"/>
      <c r="AW931" s="3"/>
      <c r="AX931" s="3"/>
      <c r="AY931" s="3"/>
      <c r="AZ931" s="3"/>
      <c r="BA931" s="3"/>
    </row>
    <row r="932" ht="12.75" spans="1:53">
      <c r="A932" s="3"/>
      <c r="B932" s="3"/>
      <c r="C932" s="3"/>
      <c r="D932" s="30"/>
      <c r="E932" s="30"/>
      <c r="F932" s="30"/>
      <c r="G932" s="30"/>
      <c r="H932" s="30"/>
      <c r="I932" s="30"/>
      <c r="J932" s="3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"/>
      <c r="AV932" s="3"/>
      <c r="AW932" s="3"/>
      <c r="AX932" s="3"/>
      <c r="AY932" s="3"/>
      <c r="AZ932" s="3"/>
      <c r="BA932" s="3"/>
    </row>
    <row r="933" ht="12.75" spans="1:53">
      <c r="A933" s="3"/>
      <c r="B933" s="3"/>
      <c r="C933" s="3"/>
      <c r="D933" s="30"/>
      <c r="E933" s="30"/>
      <c r="F933" s="30"/>
      <c r="G933" s="30"/>
      <c r="H933" s="30"/>
      <c r="I933" s="30"/>
      <c r="J933" s="3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"/>
      <c r="AV933" s="3"/>
      <c r="AW933" s="3"/>
      <c r="AX933" s="3"/>
      <c r="AY933" s="3"/>
      <c r="AZ933" s="3"/>
      <c r="BA933" s="3"/>
    </row>
    <row r="934" ht="12.75" spans="1:53">
      <c r="A934" s="3"/>
      <c r="B934" s="3"/>
      <c r="C934" s="3"/>
      <c r="D934" s="30"/>
      <c r="E934" s="30"/>
      <c r="F934" s="30"/>
      <c r="G934" s="30"/>
      <c r="H934" s="30"/>
      <c r="I934" s="30"/>
      <c r="J934" s="3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"/>
      <c r="AV934" s="3"/>
      <c r="AW934" s="3"/>
      <c r="AX934" s="3"/>
      <c r="AY934" s="3"/>
      <c r="AZ934" s="3"/>
      <c r="BA934" s="3"/>
    </row>
    <row r="935" ht="12.75" spans="1:53">
      <c r="A935" s="3"/>
      <c r="B935" s="3"/>
      <c r="C935" s="3"/>
      <c r="D935" s="30"/>
      <c r="E935" s="30"/>
      <c r="F935" s="30"/>
      <c r="G935" s="30"/>
      <c r="H935" s="30"/>
      <c r="I935" s="30"/>
      <c r="J935" s="3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"/>
      <c r="AV935" s="3"/>
      <c r="AW935" s="3"/>
      <c r="AX935" s="3"/>
      <c r="AY935" s="3"/>
      <c r="AZ935" s="3"/>
      <c r="BA935" s="3"/>
    </row>
    <row r="936" ht="12.75" spans="1:53">
      <c r="A936" s="3"/>
      <c r="B936" s="3"/>
      <c r="C936" s="3"/>
      <c r="D936" s="30"/>
      <c r="E936" s="30"/>
      <c r="F936" s="30"/>
      <c r="G936" s="30"/>
      <c r="H936" s="30"/>
      <c r="I936" s="30"/>
      <c r="J936" s="3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"/>
      <c r="AV936" s="3"/>
      <c r="AW936" s="3"/>
      <c r="AX936" s="3"/>
      <c r="AY936" s="3"/>
      <c r="AZ936" s="3"/>
      <c r="BA936" s="3"/>
    </row>
    <row r="937" ht="12.75" spans="1:53">
      <c r="A937" s="3"/>
      <c r="B937" s="3"/>
      <c r="C937" s="3"/>
      <c r="D937" s="30"/>
      <c r="E937" s="30"/>
      <c r="F937" s="30"/>
      <c r="G937" s="30"/>
      <c r="H937" s="30"/>
      <c r="I937" s="30"/>
      <c r="J937" s="3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"/>
      <c r="AV937" s="3"/>
      <c r="AW937" s="3"/>
      <c r="AX937" s="3"/>
      <c r="AY937" s="3"/>
      <c r="AZ937" s="3"/>
      <c r="BA937" s="3"/>
    </row>
    <row r="938" ht="12.75" spans="1:53">
      <c r="A938" s="3"/>
      <c r="B938" s="3"/>
      <c r="C938" s="3"/>
      <c r="D938" s="30"/>
      <c r="E938" s="30"/>
      <c r="F938" s="30"/>
      <c r="G938" s="30"/>
      <c r="H938" s="30"/>
      <c r="I938" s="30"/>
      <c r="J938" s="3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"/>
      <c r="AV938" s="3"/>
      <c r="AW938" s="3"/>
      <c r="AX938" s="3"/>
      <c r="AY938" s="3"/>
      <c r="AZ938" s="3"/>
      <c r="BA938" s="3"/>
    </row>
    <row r="939" ht="12.75" spans="1:53">
      <c r="A939" s="3"/>
      <c r="B939" s="3"/>
      <c r="C939" s="3"/>
      <c r="D939" s="30"/>
      <c r="E939" s="30"/>
      <c r="F939" s="30"/>
      <c r="G939" s="30"/>
      <c r="H939" s="30"/>
      <c r="I939" s="30"/>
      <c r="J939" s="3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"/>
      <c r="AV939" s="3"/>
      <c r="AW939" s="3"/>
      <c r="AX939" s="3"/>
      <c r="AY939" s="3"/>
      <c r="AZ939" s="3"/>
      <c r="BA939" s="3"/>
    </row>
    <row r="940" ht="12.75" spans="1:53">
      <c r="A940" s="3"/>
      <c r="B940" s="3"/>
      <c r="C940" s="3"/>
      <c r="D940" s="30"/>
      <c r="E940" s="30"/>
      <c r="F940" s="30"/>
      <c r="G940" s="30"/>
      <c r="H940" s="30"/>
      <c r="I940" s="30"/>
      <c r="J940" s="3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"/>
      <c r="AV940" s="3"/>
      <c r="AW940" s="3"/>
      <c r="AX940" s="3"/>
      <c r="AY940" s="3"/>
      <c r="AZ940" s="3"/>
      <c r="BA940" s="3"/>
    </row>
    <row r="941" ht="12.75" spans="1:53">
      <c r="A941" s="3"/>
      <c r="B941" s="3"/>
      <c r="C941" s="3"/>
      <c r="D941" s="30"/>
      <c r="E941" s="30"/>
      <c r="F941" s="30"/>
      <c r="G941" s="30"/>
      <c r="H941" s="30"/>
      <c r="I941" s="30"/>
      <c r="J941" s="3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"/>
      <c r="AV941" s="3"/>
      <c r="AW941" s="3"/>
      <c r="AX941" s="3"/>
      <c r="AY941" s="3"/>
      <c r="AZ941" s="3"/>
      <c r="BA941" s="3"/>
    </row>
    <row r="942" ht="12.75" spans="1:53">
      <c r="A942" s="3"/>
      <c r="B942" s="3"/>
      <c r="C942" s="3"/>
      <c r="D942" s="30"/>
      <c r="E942" s="30"/>
      <c r="F942" s="30"/>
      <c r="G942" s="30"/>
      <c r="H942" s="30"/>
      <c r="I942" s="30"/>
      <c r="J942" s="3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"/>
      <c r="AV942" s="3"/>
      <c r="AW942" s="3"/>
      <c r="AX942" s="3"/>
      <c r="AY942" s="3"/>
      <c r="AZ942" s="3"/>
      <c r="BA942" s="3"/>
    </row>
    <row r="943" ht="12.75" spans="1:53">
      <c r="A943" s="3"/>
      <c r="B943" s="3"/>
      <c r="C943" s="3"/>
      <c r="D943" s="30"/>
      <c r="E943" s="30"/>
      <c r="F943" s="30"/>
      <c r="G943" s="30"/>
      <c r="H943" s="30"/>
      <c r="I943" s="30"/>
      <c r="J943" s="3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"/>
      <c r="AV943" s="3"/>
      <c r="AW943" s="3"/>
      <c r="AX943" s="3"/>
      <c r="AY943" s="3"/>
      <c r="AZ943" s="3"/>
      <c r="BA943" s="3"/>
    </row>
    <row r="944" ht="12.75" spans="1:53">
      <c r="A944" s="3"/>
      <c r="B944" s="3"/>
      <c r="C944" s="3"/>
      <c r="D944" s="30"/>
      <c r="E944" s="30"/>
      <c r="F944" s="30"/>
      <c r="G944" s="30"/>
      <c r="H944" s="30"/>
      <c r="I944" s="30"/>
      <c r="J944" s="3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"/>
      <c r="AV944" s="3"/>
      <c r="AW944" s="3"/>
      <c r="AX944" s="3"/>
      <c r="AY944" s="3"/>
      <c r="AZ944" s="3"/>
      <c r="BA944" s="3"/>
    </row>
    <row r="945" ht="12.75" spans="1:53">
      <c r="A945" s="3"/>
      <c r="B945" s="3"/>
      <c r="C945" s="3"/>
      <c r="D945" s="30"/>
      <c r="E945" s="30"/>
      <c r="F945" s="30"/>
      <c r="G945" s="30"/>
      <c r="H945" s="30"/>
      <c r="I945" s="30"/>
      <c r="J945" s="3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"/>
      <c r="AV945" s="3"/>
      <c r="AW945" s="3"/>
      <c r="AX945" s="3"/>
      <c r="AY945" s="3"/>
      <c r="AZ945" s="3"/>
      <c r="BA945" s="3"/>
    </row>
    <row r="946" ht="12.75" spans="1:53">
      <c r="A946" s="3"/>
      <c r="B946" s="3"/>
      <c r="C946" s="3"/>
      <c r="D946" s="30"/>
      <c r="E946" s="30"/>
      <c r="F946" s="30"/>
      <c r="G946" s="30"/>
      <c r="H946" s="30"/>
      <c r="I946" s="30"/>
      <c r="J946" s="3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"/>
      <c r="AV946" s="3"/>
      <c r="AW946" s="3"/>
      <c r="AX946" s="3"/>
      <c r="AY946" s="3"/>
      <c r="AZ946" s="3"/>
      <c r="BA946" s="3"/>
    </row>
    <row r="947" ht="12.75" spans="1:53">
      <c r="A947" s="3"/>
      <c r="B947" s="3"/>
      <c r="C947" s="3"/>
      <c r="D947" s="30"/>
      <c r="E947" s="30"/>
      <c r="F947" s="30"/>
      <c r="G947" s="30"/>
      <c r="H947" s="30"/>
      <c r="I947" s="30"/>
      <c r="J947" s="3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"/>
      <c r="AV947" s="3"/>
      <c r="AW947" s="3"/>
      <c r="AX947" s="3"/>
      <c r="AY947" s="3"/>
      <c r="AZ947" s="3"/>
      <c r="BA947" s="3"/>
    </row>
    <row r="948" ht="12.75" spans="1:53">
      <c r="A948" s="3"/>
      <c r="B948" s="3"/>
      <c r="C948" s="3"/>
      <c r="D948" s="30"/>
      <c r="E948" s="30"/>
      <c r="F948" s="30"/>
      <c r="G948" s="30"/>
      <c r="H948" s="30"/>
      <c r="I948" s="30"/>
      <c r="J948" s="3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"/>
      <c r="AV948" s="3"/>
      <c r="AW948" s="3"/>
      <c r="AX948" s="3"/>
      <c r="AY948" s="3"/>
      <c r="AZ948" s="3"/>
      <c r="BA948" s="3"/>
    </row>
    <row r="949" ht="12.75" spans="1:53">
      <c r="A949" s="3"/>
      <c r="B949" s="3"/>
      <c r="C949" s="3"/>
      <c r="D949" s="30"/>
      <c r="E949" s="30"/>
      <c r="F949" s="30"/>
      <c r="G949" s="30"/>
      <c r="H949" s="30"/>
      <c r="I949" s="30"/>
      <c r="J949" s="3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"/>
      <c r="AV949" s="3"/>
      <c r="AW949" s="3"/>
      <c r="AX949" s="3"/>
      <c r="AY949" s="3"/>
      <c r="AZ949" s="3"/>
      <c r="BA949" s="3"/>
    </row>
    <row r="950" ht="12.75" spans="1:53">
      <c r="A950" s="3"/>
      <c r="B950" s="3"/>
      <c r="C950" s="3"/>
      <c r="D950" s="30"/>
      <c r="E950" s="30"/>
      <c r="F950" s="30"/>
      <c r="G950" s="30"/>
      <c r="H950" s="30"/>
      <c r="I950" s="30"/>
      <c r="J950" s="3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"/>
      <c r="AV950" s="3"/>
      <c r="AW950" s="3"/>
      <c r="AX950" s="3"/>
      <c r="AY950" s="3"/>
      <c r="AZ950" s="3"/>
      <c r="BA950" s="3"/>
    </row>
    <row r="951" ht="12.75" spans="1:53">
      <c r="A951" s="3"/>
      <c r="B951" s="3"/>
      <c r="C951" s="3"/>
      <c r="D951" s="30"/>
      <c r="E951" s="30"/>
      <c r="F951" s="30"/>
      <c r="G951" s="30"/>
      <c r="H951" s="30"/>
      <c r="I951" s="30"/>
      <c r="J951" s="3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"/>
      <c r="AV951" s="3"/>
      <c r="AW951" s="3"/>
      <c r="AX951" s="3"/>
      <c r="AY951" s="3"/>
      <c r="AZ951" s="3"/>
      <c r="BA951" s="3"/>
    </row>
    <row r="952" ht="12.75" spans="1:53">
      <c r="A952" s="3"/>
      <c r="B952" s="3"/>
      <c r="C952" s="3"/>
      <c r="D952" s="30"/>
      <c r="E952" s="30"/>
      <c r="F952" s="30"/>
      <c r="G952" s="30"/>
      <c r="H952" s="30"/>
      <c r="I952" s="30"/>
      <c r="J952" s="3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"/>
      <c r="AV952" s="3"/>
      <c r="AW952" s="3"/>
      <c r="AX952" s="3"/>
      <c r="AY952" s="3"/>
      <c r="AZ952" s="3"/>
      <c r="BA952" s="3"/>
    </row>
    <row r="953" ht="12.75" spans="1:53">
      <c r="A953" s="3"/>
      <c r="B953" s="3"/>
      <c r="C953" s="3"/>
      <c r="D953" s="30"/>
      <c r="E953" s="30"/>
      <c r="F953" s="30"/>
      <c r="G953" s="30"/>
      <c r="H953" s="30"/>
      <c r="I953" s="30"/>
      <c r="J953" s="3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"/>
      <c r="AV953" s="3"/>
      <c r="AW953" s="3"/>
      <c r="AX953" s="3"/>
      <c r="AY953" s="3"/>
      <c r="AZ953" s="3"/>
      <c r="BA953" s="3"/>
    </row>
    <row r="954" ht="12.75" spans="1:53">
      <c r="A954" s="3"/>
      <c r="B954" s="3"/>
      <c r="C954" s="3"/>
      <c r="D954" s="30"/>
      <c r="E954" s="30"/>
      <c r="F954" s="30"/>
      <c r="G954" s="30"/>
      <c r="H954" s="30"/>
      <c r="I954" s="30"/>
      <c r="J954" s="3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"/>
      <c r="AV954" s="3"/>
      <c r="AW954" s="3"/>
      <c r="AX954" s="3"/>
      <c r="AY954" s="3"/>
      <c r="AZ954" s="3"/>
      <c r="BA954" s="3"/>
    </row>
    <row r="955" ht="12.75" spans="1:53">
      <c r="A955" s="3"/>
      <c r="B955" s="3"/>
      <c r="C955" s="3"/>
      <c r="D955" s="30"/>
      <c r="E955" s="30"/>
      <c r="F955" s="30"/>
      <c r="G955" s="30"/>
      <c r="H955" s="30"/>
      <c r="I955" s="30"/>
      <c r="J955" s="3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"/>
      <c r="AV955" s="3"/>
      <c r="AW955" s="3"/>
      <c r="AX955" s="3"/>
      <c r="AY955" s="3"/>
      <c r="AZ955" s="3"/>
      <c r="BA955" s="3"/>
    </row>
    <row r="956" ht="12.75" spans="1:53">
      <c r="A956" s="3"/>
      <c r="B956" s="3"/>
      <c r="C956" s="3"/>
      <c r="D956" s="30"/>
      <c r="E956" s="30"/>
      <c r="F956" s="30"/>
      <c r="G956" s="30"/>
      <c r="H956" s="30"/>
      <c r="I956" s="30"/>
      <c r="J956" s="3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"/>
      <c r="AV956" s="3"/>
      <c r="AW956" s="3"/>
      <c r="AX956" s="3"/>
      <c r="AY956" s="3"/>
      <c r="AZ956" s="3"/>
      <c r="BA956" s="3"/>
    </row>
    <row r="957" ht="12.75" spans="1:53">
      <c r="A957" s="3"/>
      <c r="B957" s="3"/>
      <c r="C957" s="3"/>
      <c r="D957" s="30"/>
      <c r="E957" s="30"/>
      <c r="F957" s="30"/>
      <c r="G957" s="30"/>
      <c r="H957" s="30"/>
      <c r="I957" s="30"/>
      <c r="J957" s="3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"/>
      <c r="AV957" s="3"/>
      <c r="AW957" s="3"/>
      <c r="AX957" s="3"/>
      <c r="AY957" s="3"/>
      <c r="AZ957" s="3"/>
      <c r="BA957" s="3"/>
    </row>
    <row r="958" ht="12.75" spans="1:53">
      <c r="A958" s="3"/>
      <c r="B958" s="3"/>
      <c r="C958" s="3"/>
      <c r="D958" s="30"/>
      <c r="E958" s="30"/>
      <c r="F958" s="30"/>
      <c r="G958" s="30"/>
      <c r="H958" s="30"/>
      <c r="I958" s="30"/>
      <c r="J958" s="3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"/>
      <c r="AV958" s="3"/>
      <c r="AW958" s="3"/>
      <c r="AX958" s="3"/>
      <c r="AY958" s="3"/>
      <c r="AZ958" s="3"/>
      <c r="BA958" s="3"/>
    </row>
    <row r="959" ht="12.75" spans="1:53">
      <c r="A959" s="3"/>
      <c r="B959" s="3"/>
      <c r="C959" s="3"/>
      <c r="D959" s="30"/>
      <c r="E959" s="30"/>
      <c r="F959" s="30"/>
      <c r="G959" s="30"/>
      <c r="H959" s="30"/>
      <c r="I959" s="30"/>
      <c r="J959" s="3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"/>
      <c r="AV959" s="3"/>
      <c r="AW959" s="3"/>
      <c r="AX959" s="3"/>
      <c r="AY959" s="3"/>
      <c r="AZ959" s="3"/>
      <c r="BA959" s="3"/>
    </row>
    <row r="960" ht="12.75" spans="1:53">
      <c r="A960" s="3"/>
      <c r="B960" s="3"/>
      <c r="C960" s="3"/>
      <c r="D960" s="30"/>
      <c r="E960" s="30"/>
      <c r="F960" s="30"/>
      <c r="G960" s="30"/>
      <c r="H960" s="30"/>
      <c r="I960" s="30"/>
      <c r="J960" s="3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"/>
      <c r="AV960" s="3"/>
      <c r="AW960" s="3"/>
      <c r="AX960" s="3"/>
      <c r="AY960" s="3"/>
      <c r="AZ960" s="3"/>
      <c r="BA960" s="3"/>
    </row>
    <row r="961" ht="12.75" spans="1:53">
      <c r="A961" s="3"/>
      <c r="B961" s="3"/>
      <c r="C961" s="3"/>
      <c r="D961" s="30"/>
      <c r="E961" s="30"/>
      <c r="F961" s="30"/>
      <c r="G961" s="30"/>
      <c r="H961" s="30"/>
      <c r="I961" s="30"/>
      <c r="J961" s="3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"/>
      <c r="AV961" s="3"/>
      <c r="AW961" s="3"/>
      <c r="AX961" s="3"/>
      <c r="AY961" s="3"/>
      <c r="AZ961" s="3"/>
      <c r="BA961" s="3"/>
    </row>
    <row r="962" ht="12.75" spans="1:53">
      <c r="A962" s="3"/>
      <c r="B962" s="3"/>
      <c r="C962" s="3"/>
      <c r="D962" s="30"/>
      <c r="E962" s="30"/>
      <c r="F962" s="30"/>
      <c r="G962" s="30"/>
      <c r="H962" s="30"/>
      <c r="I962" s="30"/>
      <c r="J962" s="3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"/>
      <c r="AV962" s="3"/>
      <c r="AW962" s="3"/>
      <c r="AX962" s="3"/>
      <c r="AY962" s="3"/>
      <c r="AZ962" s="3"/>
      <c r="BA962" s="3"/>
    </row>
    <row r="963" ht="12.75" spans="1:53">
      <c r="A963" s="3"/>
      <c r="B963" s="3"/>
      <c r="C963" s="3"/>
      <c r="D963" s="30"/>
      <c r="E963" s="30"/>
      <c r="F963" s="30"/>
      <c r="G963" s="30"/>
      <c r="H963" s="30"/>
      <c r="I963" s="30"/>
      <c r="J963" s="3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"/>
      <c r="AV963" s="3"/>
      <c r="AW963" s="3"/>
      <c r="AX963" s="3"/>
      <c r="AY963" s="3"/>
      <c r="AZ963" s="3"/>
      <c r="BA963" s="3"/>
    </row>
    <row r="964" ht="12.75" spans="1:53">
      <c r="A964" s="3"/>
      <c r="B964" s="3"/>
      <c r="C964" s="3"/>
      <c r="D964" s="30"/>
      <c r="E964" s="30"/>
      <c r="F964" s="30"/>
      <c r="G964" s="30"/>
      <c r="H964" s="30"/>
      <c r="I964" s="30"/>
      <c r="J964" s="3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"/>
      <c r="AV964" s="3"/>
      <c r="AW964" s="3"/>
      <c r="AX964" s="3"/>
      <c r="AY964" s="3"/>
      <c r="AZ964" s="3"/>
      <c r="BA964" s="3"/>
    </row>
    <row r="965" ht="12.75" spans="1:53">
      <c r="A965" s="3"/>
      <c r="B965" s="3"/>
      <c r="C965" s="3"/>
      <c r="D965" s="30"/>
      <c r="E965" s="30"/>
      <c r="F965" s="30"/>
      <c r="G965" s="30"/>
      <c r="H965" s="30"/>
      <c r="I965" s="30"/>
      <c r="J965" s="3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"/>
      <c r="AV965" s="3"/>
      <c r="AW965" s="3"/>
      <c r="AX965" s="3"/>
      <c r="AY965" s="3"/>
      <c r="AZ965" s="3"/>
      <c r="BA965" s="3"/>
    </row>
    <row r="966" ht="12.75" spans="1:53">
      <c r="A966" s="3"/>
      <c r="B966" s="3"/>
      <c r="C966" s="3"/>
      <c r="D966" s="30"/>
      <c r="E966" s="30"/>
      <c r="F966" s="30"/>
      <c r="G966" s="30"/>
      <c r="H966" s="30"/>
      <c r="I966" s="30"/>
      <c r="J966" s="3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"/>
      <c r="AV966" s="3"/>
      <c r="AW966" s="3"/>
      <c r="AX966" s="3"/>
      <c r="AY966" s="3"/>
      <c r="AZ966" s="3"/>
      <c r="BA966" s="3"/>
    </row>
    <row r="967" ht="12.75" spans="1:53">
      <c r="A967" s="3"/>
      <c r="B967" s="3"/>
      <c r="C967" s="3"/>
      <c r="D967" s="30"/>
      <c r="E967" s="30"/>
      <c r="F967" s="30"/>
      <c r="G967" s="30"/>
      <c r="H967" s="30"/>
      <c r="I967" s="30"/>
      <c r="J967" s="3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"/>
      <c r="AV967" s="3"/>
      <c r="AW967" s="3"/>
      <c r="AX967" s="3"/>
      <c r="AY967" s="3"/>
      <c r="AZ967" s="3"/>
      <c r="BA967" s="3"/>
    </row>
    <row r="968" ht="12.75" spans="1:53">
      <c r="A968" s="3"/>
      <c r="B968" s="3"/>
      <c r="C968" s="3"/>
      <c r="D968" s="30"/>
      <c r="E968" s="30"/>
      <c r="F968" s="30"/>
      <c r="G968" s="30"/>
      <c r="H968" s="30"/>
      <c r="I968" s="30"/>
      <c r="J968" s="3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"/>
      <c r="AV968" s="3"/>
      <c r="AW968" s="3"/>
      <c r="AX968" s="3"/>
      <c r="AY968" s="3"/>
      <c r="AZ968" s="3"/>
      <c r="BA968" s="3"/>
    </row>
    <row r="969" ht="12.75" spans="1:53">
      <c r="A969" s="3"/>
      <c r="B969" s="3"/>
      <c r="C969" s="3"/>
      <c r="D969" s="30"/>
      <c r="E969" s="30"/>
      <c r="F969" s="30"/>
      <c r="G969" s="30"/>
      <c r="H969" s="30"/>
      <c r="I969" s="30"/>
      <c r="J969" s="3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"/>
      <c r="AV969" s="3"/>
      <c r="AW969" s="3"/>
      <c r="AX969" s="3"/>
      <c r="AY969" s="3"/>
      <c r="AZ969" s="3"/>
      <c r="BA969" s="3"/>
    </row>
    <row r="970" ht="12.75" spans="1:53">
      <c r="A970" s="3"/>
      <c r="B970" s="3"/>
      <c r="C970" s="3"/>
      <c r="D970" s="30"/>
      <c r="E970" s="30"/>
      <c r="F970" s="30"/>
      <c r="G970" s="30"/>
      <c r="H970" s="30"/>
      <c r="I970" s="30"/>
      <c r="J970" s="3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"/>
      <c r="AV970" s="3"/>
      <c r="AW970" s="3"/>
      <c r="AX970" s="3"/>
      <c r="AY970" s="3"/>
      <c r="AZ970" s="3"/>
      <c r="BA970" s="3"/>
    </row>
    <row r="971" ht="12.75" spans="1:53">
      <c r="A971" s="3"/>
      <c r="B971" s="3"/>
      <c r="C971" s="3"/>
      <c r="D971" s="30"/>
      <c r="E971" s="30"/>
      <c r="F971" s="30"/>
      <c r="G971" s="30"/>
      <c r="H971" s="30"/>
      <c r="I971" s="30"/>
      <c r="J971" s="3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"/>
      <c r="AV971" s="3"/>
      <c r="AW971" s="3"/>
      <c r="AX971" s="3"/>
      <c r="AY971" s="3"/>
      <c r="AZ971" s="3"/>
      <c r="BA971" s="3"/>
    </row>
    <row r="972" ht="12.75" spans="1:53">
      <c r="A972" s="3"/>
      <c r="B972" s="3"/>
      <c r="C972" s="3"/>
      <c r="D972" s="30"/>
      <c r="E972" s="30"/>
      <c r="F972" s="30"/>
      <c r="G972" s="30"/>
      <c r="H972" s="30"/>
      <c r="I972" s="30"/>
      <c r="J972" s="3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"/>
      <c r="AV972" s="3"/>
      <c r="AW972" s="3"/>
      <c r="AX972" s="3"/>
      <c r="AY972" s="3"/>
      <c r="AZ972" s="3"/>
      <c r="BA972" s="3"/>
    </row>
    <row r="973" ht="12.75" spans="1:53">
      <c r="A973" s="3"/>
      <c r="B973" s="3"/>
      <c r="C973" s="3"/>
      <c r="D973" s="30"/>
      <c r="E973" s="30"/>
      <c r="F973" s="30"/>
      <c r="G973" s="30"/>
      <c r="H973" s="30"/>
      <c r="I973" s="30"/>
      <c r="J973" s="3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"/>
      <c r="AV973" s="3"/>
      <c r="AW973" s="3"/>
      <c r="AX973" s="3"/>
      <c r="AY973" s="3"/>
      <c r="AZ973" s="3"/>
      <c r="BA973" s="3"/>
    </row>
    <row r="974" ht="12.75" spans="1:53">
      <c r="A974" s="3"/>
      <c r="B974" s="3"/>
      <c r="C974" s="3"/>
      <c r="D974" s="30"/>
      <c r="E974" s="30"/>
      <c r="F974" s="30"/>
      <c r="G974" s="30"/>
      <c r="H974" s="30"/>
      <c r="I974" s="30"/>
      <c r="J974" s="3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0"/>
      <c r="AL974" s="30"/>
      <c r="AM974" s="30"/>
      <c r="AN974" s="30"/>
      <c r="AO974" s="30"/>
      <c r="AP974" s="30"/>
      <c r="AQ974" s="30"/>
      <c r="AR974" s="30"/>
      <c r="AS974" s="30"/>
      <c r="AT974" s="30"/>
      <c r="AU974" s="3"/>
      <c r="AV974" s="3"/>
      <c r="AW974" s="3"/>
      <c r="AX974" s="3"/>
      <c r="AY974" s="3"/>
      <c r="AZ974" s="3"/>
      <c r="BA974" s="3"/>
    </row>
    <row r="975" ht="12.75" spans="1:53">
      <c r="A975" s="3"/>
      <c r="B975" s="3"/>
      <c r="C975" s="3"/>
      <c r="D975" s="30"/>
      <c r="E975" s="30"/>
      <c r="F975" s="30"/>
      <c r="G975" s="30"/>
      <c r="H975" s="30"/>
      <c r="I975" s="30"/>
      <c r="J975" s="3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0"/>
      <c r="AL975" s="30"/>
      <c r="AM975" s="30"/>
      <c r="AN975" s="30"/>
      <c r="AO975" s="30"/>
      <c r="AP975" s="30"/>
      <c r="AQ975" s="30"/>
      <c r="AR975" s="30"/>
      <c r="AS975" s="30"/>
      <c r="AT975" s="30"/>
      <c r="AU975" s="3"/>
      <c r="AV975" s="3"/>
      <c r="AW975" s="3"/>
      <c r="AX975" s="3"/>
      <c r="AY975" s="3"/>
      <c r="AZ975" s="3"/>
      <c r="BA975" s="3"/>
    </row>
    <row r="976" ht="12.75" spans="1:53">
      <c r="A976" s="3"/>
      <c r="B976" s="3"/>
      <c r="C976" s="3"/>
      <c r="D976" s="30"/>
      <c r="E976" s="30"/>
      <c r="F976" s="30"/>
      <c r="G976" s="30"/>
      <c r="H976" s="30"/>
      <c r="I976" s="30"/>
      <c r="J976" s="3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0"/>
      <c r="AL976" s="30"/>
      <c r="AM976" s="30"/>
      <c r="AN976" s="30"/>
      <c r="AO976" s="30"/>
      <c r="AP976" s="30"/>
      <c r="AQ976" s="30"/>
      <c r="AR976" s="30"/>
      <c r="AS976" s="30"/>
      <c r="AT976" s="30"/>
      <c r="AU976" s="3"/>
      <c r="AV976" s="3"/>
      <c r="AW976" s="3"/>
      <c r="AX976" s="3"/>
      <c r="AY976" s="3"/>
      <c r="AZ976" s="3"/>
      <c r="BA976" s="3"/>
    </row>
    <row r="977" ht="12.75" spans="1:53">
      <c r="A977" s="3"/>
      <c r="B977" s="3"/>
      <c r="C977" s="3"/>
      <c r="D977" s="30"/>
      <c r="E977" s="30"/>
      <c r="F977" s="30"/>
      <c r="G977" s="30"/>
      <c r="H977" s="30"/>
      <c r="I977" s="30"/>
      <c r="J977" s="3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0"/>
      <c r="AL977" s="30"/>
      <c r="AM977" s="30"/>
      <c r="AN977" s="30"/>
      <c r="AO977" s="30"/>
      <c r="AP977" s="30"/>
      <c r="AQ977" s="30"/>
      <c r="AR977" s="30"/>
      <c r="AS977" s="30"/>
      <c r="AT977" s="30"/>
      <c r="AU977" s="3"/>
      <c r="AV977" s="3"/>
      <c r="AW977" s="3"/>
      <c r="AX977" s="3"/>
      <c r="AY977" s="3"/>
      <c r="AZ977" s="3"/>
      <c r="BA977" s="3"/>
    </row>
    <row r="978" ht="12.75" spans="1:53">
      <c r="A978" s="3"/>
      <c r="B978" s="3"/>
      <c r="C978" s="3"/>
      <c r="D978" s="30"/>
      <c r="E978" s="30"/>
      <c r="F978" s="30"/>
      <c r="G978" s="30"/>
      <c r="H978" s="30"/>
      <c r="I978" s="30"/>
      <c r="J978" s="3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0"/>
      <c r="AL978" s="30"/>
      <c r="AM978" s="30"/>
      <c r="AN978" s="30"/>
      <c r="AO978" s="30"/>
      <c r="AP978" s="30"/>
      <c r="AQ978" s="30"/>
      <c r="AR978" s="30"/>
      <c r="AS978" s="30"/>
      <c r="AT978" s="30"/>
      <c r="AU978" s="3"/>
      <c r="AV978" s="3"/>
      <c r="AW978" s="3"/>
      <c r="AX978" s="3"/>
      <c r="AY978" s="3"/>
      <c r="AZ978" s="3"/>
      <c r="BA978" s="3"/>
    </row>
    <row r="979" ht="12.75" spans="1:53">
      <c r="A979" s="3"/>
      <c r="B979" s="3"/>
      <c r="C979" s="3"/>
      <c r="D979" s="30"/>
      <c r="E979" s="30"/>
      <c r="F979" s="30"/>
      <c r="G979" s="30"/>
      <c r="H979" s="30"/>
      <c r="I979" s="30"/>
      <c r="J979" s="3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0"/>
      <c r="AL979" s="30"/>
      <c r="AM979" s="30"/>
      <c r="AN979" s="30"/>
      <c r="AO979" s="30"/>
      <c r="AP979" s="30"/>
      <c r="AQ979" s="30"/>
      <c r="AR979" s="30"/>
      <c r="AS979" s="30"/>
      <c r="AT979" s="30"/>
      <c r="AU979" s="3"/>
      <c r="AV979" s="3"/>
      <c r="AW979" s="3"/>
      <c r="AX979" s="3"/>
      <c r="AY979" s="3"/>
      <c r="AZ979" s="3"/>
      <c r="BA979" s="3"/>
    </row>
    <row r="980" ht="12.75" spans="1:53">
      <c r="A980" s="3"/>
      <c r="B980" s="3"/>
      <c r="C980" s="3"/>
      <c r="D980" s="30"/>
      <c r="E980" s="30"/>
      <c r="F980" s="30"/>
      <c r="G980" s="30"/>
      <c r="H980" s="30"/>
      <c r="I980" s="30"/>
      <c r="J980" s="3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0"/>
      <c r="AL980" s="30"/>
      <c r="AM980" s="30"/>
      <c r="AN980" s="30"/>
      <c r="AO980" s="30"/>
      <c r="AP980" s="30"/>
      <c r="AQ980" s="30"/>
      <c r="AR980" s="30"/>
      <c r="AS980" s="30"/>
      <c r="AT980" s="30"/>
      <c r="AU980" s="3"/>
      <c r="AV980" s="3"/>
      <c r="AW980" s="3"/>
      <c r="AX980" s="3"/>
      <c r="AY980" s="3"/>
      <c r="AZ980" s="3"/>
      <c r="BA980" s="3"/>
    </row>
    <row r="981" ht="12.75" spans="1:53">
      <c r="A981" s="3"/>
      <c r="B981" s="3"/>
      <c r="C981" s="3"/>
      <c r="D981" s="30"/>
      <c r="E981" s="30"/>
      <c r="F981" s="30"/>
      <c r="G981" s="30"/>
      <c r="H981" s="30"/>
      <c r="I981" s="30"/>
      <c r="J981" s="3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0"/>
      <c r="AL981" s="30"/>
      <c r="AM981" s="30"/>
      <c r="AN981" s="30"/>
      <c r="AO981" s="30"/>
      <c r="AP981" s="30"/>
      <c r="AQ981" s="30"/>
      <c r="AR981" s="30"/>
      <c r="AS981" s="30"/>
      <c r="AT981" s="30"/>
      <c r="AU981" s="3"/>
      <c r="AV981" s="3"/>
      <c r="AW981" s="3"/>
      <c r="AX981" s="3"/>
      <c r="AY981" s="3"/>
      <c r="AZ981" s="3"/>
      <c r="BA981" s="3"/>
    </row>
    <row r="982" ht="12.75" spans="1:53">
      <c r="A982" s="3"/>
      <c r="B982" s="3"/>
      <c r="C982" s="3"/>
      <c r="D982" s="30"/>
      <c r="E982" s="30"/>
      <c r="F982" s="30"/>
      <c r="G982" s="30"/>
      <c r="H982" s="30"/>
      <c r="I982" s="30"/>
      <c r="J982" s="3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0"/>
      <c r="AL982" s="30"/>
      <c r="AM982" s="30"/>
      <c r="AN982" s="30"/>
      <c r="AO982" s="30"/>
      <c r="AP982" s="30"/>
      <c r="AQ982" s="30"/>
      <c r="AR982" s="30"/>
      <c r="AS982" s="30"/>
      <c r="AT982" s="30"/>
      <c r="AU982" s="3"/>
      <c r="AV982" s="3"/>
      <c r="AW982" s="3"/>
      <c r="AX982" s="3"/>
      <c r="AY982" s="3"/>
      <c r="AZ982" s="3"/>
      <c r="BA982" s="3"/>
    </row>
    <row r="983" ht="12.75" spans="1:53">
      <c r="A983" s="3"/>
      <c r="B983" s="3"/>
      <c r="C983" s="3"/>
      <c r="D983" s="30"/>
      <c r="E983" s="30"/>
      <c r="F983" s="30"/>
      <c r="G983" s="30"/>
      <c r="H983" s="30"/>
      <c r="I983" s="30"/>
      <c r="J983" s="3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0"/>
      <c r="AL983" s="30"/>
      <c r="AM983" s="30"/>
      <c r="AN983" s="30"/>
      <c r="AO983" s="30"/>
      <c r="AP983" s="30"/>
      <c r="AQ983" s="30"/>
      <c r="AR983" s="30"/>
      <c r="AS983" s="30"/>
      <c r="AT983" s="30"/>
      <c r="AU983" s="3"/>
      <c r="AV983" s="3"/>
      <c r="AW983" s="3"/>
      <c r="AX983" s="3"/>
      <c r="AY983" s="3"/>
      <c r="AZ983" s="3"/>
      <c r="BA983" s="3"/>
    </row>
    <row r="984" ht="12.75" spans="1:53">
      <c r="A984" s="3"/>
      <c r="B984" s="3"/>
      <c r="C984" s="3"/>
      <c r="D984" s="30"/>
      <c r="E984" s="30"/>
      <c r="F984" s="30"/>
      <c r="G984" s="30"/>
      <c r="H984" s="30"/>
      <c r="I984" s="30"/>
      <c r="J984" s="3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0"/>
      <c r="AL984" s="30"/>
      <c r="AM984" s="30"/>
      <c r="AN984" s="30"/>
      <c r="AO984" s="30"/>
      <c r="AP984" s="30"/>
      <c r="AQ984" s="30"/>
      <c r="AR984" s="30"/>
      <c r="AS984" s="30"/>
      <c r="AT984" s="30"/>
      <c r="AU984" s="3"/>
      <c r="AV984" s="3"/>
      <c r="AW984" s="3"/>
      <c r="AX984" s="3"/>
      <c r="AY984" s="3"/>
      <c r="AZ984" s="3"/>
      <c r="BA984" s="3"/>
    </row>
    <row r="985" ht="12.75" spans="1:53">
      <c r="A985" s="3"/>
      <c r="B985" s="3"/>
      <c r="C985" s="3"/>
      <c r="D985" s="30"/>
      <c r="E985" s="30"/>
      <c r="F985" s="30"/>
      <c r="G985" s="30"/>
      <c r="H985" s="30"/>
      <c r="I985" s="30"/>
      <c r="J985" s="3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0"/>
      <c r="AL985" s="30"/>
      <c r="AM985" s="30"/>
      <c r="AN985" s="30"/>
      <c r="AO985" s="30"/>
      <c r="AP985" s="30"/>
      <c r="AQ985" s="30"/>
      <c r="AR985" s="30"/>
      <c r="AS985" s="30"/>
      <c r="AT985" s="30"/>
      <c r="AU985" s="3"/>
      <c r="AV985" s="3"/>
      <c r="AW985" s="3"/>
      <c r="AX985" s="3"/>
      <c r="AY985" s="3"/>
      <c r="AZ985" s="3"/>
      <c r="BA985" s="3"/>
    </row>
    <row r="986" ht="12.75" spans="1:53">
      <c r="A986" s="3"/>
      <c r="B986" s="3"/>
      <c r="C986" s="3"/>
      <c r="D986" s="30"/>
      <c r="E986" s="30"/>
      <c r="F986" s="30"/>
      <c r="G986" s="30"/>
      <c r="H986" s="30"/>
      <c r="I986" s="30"/>
      <c r="J986" s="3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0"/>
      <c r="AL986" s="30"/>
      <c r="AM986" s="30"/>
      <c r="AN986" s="30"/>
      <c r="AO986" s="30"/>
      <c r="AP986" s="30"/>
      <c r="AQ986" s="30"/>
      <c r="AR986" s="30"/>
      <c r="AS986" s="30"/>
      <c r="AT986" s="30"/>
      <c r="AU986" s="3"/>
      <c r="AV986" s="3"/>
      <c r="AW986" s="3"/>
      <c r="AX986" s="3"/>
      <c r="AY986" s="3"/>
      <c r="AZ986" s="3"/>
      <c r="BA986" s="3"/>
    </row>
    <row r="987" ht="12.75" spans="1:53">
      <c r="A987" s="3"/>
      <c r="B987" s="3"/>
      <c r="C987" s="3"/>
      <c r="D987" s="30"/>
      <c r="E987" s="30"/>
      <c r="F987" s="30"/>
      <c r="G987" s="30"/>
      <c r="H987" s="30"/>
      <c r="I987" s="30"/>
      <c r="J987" s="3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0"/>
      <c r="AL987" s="30"/>
      <c r="AM987" s="30"/>
      <c r="AN987" s="30"/>
      <c r="AO987" s="30"/>
      <c r="AP987" s="30"/>
      <c r="AQ987" s="30"/>
      <c r="AR987" s="30"/>
      <c r="AS987" s="30"/>
      <c r="AT987" s="30"/>
      <c r="AU987" s="3"/>
      <c r="AV987" s="3"/>
      <c r="AW987" s="3"/>
      <c r="AX987" s="3"/>
      <c r="AY987" s="3"/>
      <c r="AZ987" s="3"/>
      <c r="BA987" s="3"/>
    </row>
    <row r="988" ht="12.75" spans="1:53">
      <c r="A988" s="3"/>
      <c r="B988" s="3"/>
      <c r="C988" s="3"/>
      <c r="D988" s="30"/>
      <c r="E988" s="30"/>
      <c r="F988" s="30"/>
      <c r="G988" s="30"/>
      <c r="H988" s="30"/>
      <c r="I988" s="30"/>
      <c r="J988" s="3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0"/>
      <c r="AL988" s="30"/>
      <c r="AM988" s="30"/>
      <c r="AN988" s="30"/>
      <c r="AO988" s="30"/>
      <c r="AP988" s="30"/>
      <c r="AQ988" s="30"/>
      <c r="AR988" s="30"/>
      <c r="AS988" s="30"/>
      <c r="AT988" s="30"/>
      <c r="AU988" s="3"/>
      <c r="AV988" s="3"/>
      <c r="AW988" s="3"/>
      <c r="AX988" s="3"/>
      <c r="AY988" s="3"/>
      <c r="AZ988" s="3"/>
      <c r="BA988" s="3"/>
    </row>
    <row r="989" ht="12.75" spans="1:53">
      <c r="A989" s="3"/>
      <c r="B989" s="3"/>
      <c r="C989" s="3"/>
      <c r="D989" s="30"/>
      <c r="E989" s="30"/>
      <c r="F989" s="30"/>
      <c r="G989" s="30"/>
      <c r="H989" s="30"/>
      <c r="I989" s="30"/>
      <c r="J989" s="3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0"/>
      <c r="AL989" s="30"/>
      <c r="AM989" s="30"/>
      <c r="AN989" s="30"/>
      <c r="AO989" s="30"/>
      <c r="AP989" s="30"/>
      <c r="AQ989" s="30"/>
      <c r="AR989" s="30"/>
      <c r="AS989" s="30"/>
      <c r="AT989" s="30"/>
      <c r="AU989" s="3"/>
      <c r="AV989" s="3"/>
      <c r="AW989" s="3"/>
      <c r="AX989" s="3"/>
      <c r="AY989" s="3"/>
      <c r="AZ989" s="3"/>
      <c r="BA989" s="3"/>
    </row>
    <row r="990" ht="12.75" spans="1:53">
      <c r="A990" s="3"/>
      <c r="B990" s="3"/>
      <c r="C990" s="3"/>
      <c r="D990" s="30"/>
      <c r="E990" s="30"/>
      <c r="F990" s="30"/>
      <c r="G990" s="30"/>
      <c r="H990" s="30"/>
      <c r="I990" s="30"/>
      <c r="J990" s="3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0"/>
      <c r="AL990" s="30"/>
      <c r="AM990" s="30"/>
      <c r="AN990" s="30"/>
      <c r="AO990" s="30"/>
      <c r="AP990" s="30"/>
      <c r="AQ990" s="30"/>
      <c r="AR990" s="30"/>
      <c r="AS990" s="30"/>
      <c r="AT990" s="30"/>
      <c r="AU990" s="3"/>
      <c r="AV990" s="3"/>
      <c r="AW990" s="3"/>
      <c r="AX990" s="3"/>
      <c r="AY990" s="3"/>
      <c r="AZ990" s="3"/>
      <c r="BA990" s="3"/>
    </row>
    <row r="991" ht="12.75" spans="1:53">
      <c r="A991" s="3"/>
      <c r="B991" s="3"/>
      <c r="C991" s="3"/>
      <c r="D991" s="30"/>
      <c r="E991" s="30"/>
      <c r="F991" s="30"/>
      <c r="G991" s="30"/>
      <c r="H991" s="30"/>
      <c r="I991" s="30"/>
      <c r="J991" s="3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0"/>
      <c r="AL991" s="30"/>
      <c r="AM991" s="30"/>
      <c r="AN991" s="30"/>
      <c r="AO991" s="30"/>
      <c r="AP991" s="30"/>
      <c r="AQ991" s="30"/>
      <c r="AR991" s="30"/>
      <c r="AS991" s="30"/>
      <c r="AT991" s="30"/>
      <c r="AU991" s="3"/>
      <c r="AV991" s="3"/>
      <c r="AW991" s="3"/>
      <c r="AX991" s="3"/>
      <c r="AY991" s="3"/>
      <c r="AZ991" s="3"/>
      <c r="BA991" s="3"/>
    </row>
    <row r="992" ht="12.75" spans="1:53">
      <c r="A992" s="3"/>
      <c r="B992" s="3"/>
      <c r="C992" s="3"/>
      <c r="D992" s="30"/>
      <c r="E992" s="30"/>
      <c r="F992" s="30"/>
      <c r="G992" s="30"/>
      <c r="H992" s="30"/>
      <c r="I992" s="30"/>
      <c r="J992" s="3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0"/>
      <c r="AL992" s="30"/>
      <c r="AM992" s="30"/>
      <c r="AN992" s="30"/>
      <c r="AO992" s="30"/>
      <c r="AP992" s="30"/>
      <c r="AQ992" s="30"/>
      <c r="AR992" s="30"/>
      <c r="AS992" s="30"/>
      <c r="AT992" s="30"/>
      <c r="AU992" s="3"/>
      <c r="AV992" s="3"/>
      <c r="AW992" s="3"/>
      <c r="AX992" s="3"/>
      <c r="AY992" s="3"/>
      <c r="AZ992" s="3"/>
      <c r="BA992" s="3"/>
    </row>
    <row r="993" ht="12.75" spans="1:53">
      <c r="A993" s="3"/>
      <c r="B993" s="3"/>
      <c r="C993" s="3"/>
      <c r="D993" s="30"/>
      <c r="E993" s="30"/>
      <c r="F993" s="30"/>
      <c r="G993" s="30"/>
      <c r="H993" s="30"/>
      <c r="I993" s="30"/>
      <c r="J993" s="3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0"/>
      <c r="AL993" s="30"/>
      <c r="AM993" s="30"/>
      <c r="AN993" s="30"/>
      <c r="AO993" s="30"/>
      <c r="AP993" s="30"/>
      <c r="AQ993" s="30"/>
      <c r="AR993" s="30"/>
      <c r="AS993" s="30"/>
      <c r="AT993" s="30"/>
      <c r="AU993" s="3"/>
      <c r="AV993" s="3"/>
      <c r="AW993" s="3"/>
      <c r="AX993" s="3"/>
      <c r="AY993" s="3"/>
      <c r="AZ993" s="3"/>
      <c r="BA993" s="3"/>
    </row>
    <row r="994" ht="12.75" spans="1:53">
      <c r="A994" s="3"/>
      <c r="B994" s="3"/>
      <c r="C994" s="3"/>
      <c r="D994" s="30"/>
      <c r="E994" s="30"/>
      <c r="F994" s="30"/>
      <c r="G994" s="30"/>
      <c r="H994" s="30"/>
      <c r="I994" s="30"/>
      <c r="J994" s="3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0"/>
      <c r="AL994" s="30"/>
      <c r="AM994" s="30"/>
      <c r="AN994" s="30"/>
      <c r="AO994" s="30"/>
      <c r="AP994" s="30"/>
      <c r="AQ994" s="30"/>
      <c r="AR994" s="30"/>
      <c r="AS994" s="30"/>
      <c r="AT994" s="30"/>
      <c r="AU994" s="3"/>
      <c r="AV994" s="3"/>
      <c r="AW994" s="3"/>
      <c r="AX994" s="3"/>
      <c r="AY994" s="3"/>
      <c r="AZ994" s="3"/>
      <c r="BA994" s="3"/>
    </row>
    <row r="995" ht="12.75" spans="1:53">
      <c r="A995" s="3"/>
      <c r="B995" s="3"/>
      <c r="C995" s="3"/>
      <c r="D995" s="30"/>
      <c r="E995" s="30"/>
      <c r="F995" s="30"/>
      <c r="G995" s="30"/>
      <c r="H995" s="30"/>
      <c r="I995" s="30"/>
      <c r="J995" s="3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0"/>
      <c r="AL995" s="30"/>
      <c r="AM995" s="30"/>
      <c r="AN995" s="30"/>
      <c r="AO995" s="30"/>
      <c r="AP995" s="30"/>
      <c r="AQ995" s="30"/>
      <c r="AR995" s="30"/>
      <c r="AS995" s="30"/>
      <c r="AT995" s="30"/>
      <c r="AU995" s="3"/>
      <c r="AV995" s="3"/>
      <c r="AW995" s="3"/>
      <c r="AX995" s="3"/>
      <c r="AY995" s="3"/>
      <c r="AZ995" s="3"/>
      <c r="BA995" s="3"/>
    </row>
  </sheetData>
  <mergeCells count="12">
    <mergeCell ref="A1:AX1"/>
    <mergeCell ref="A2:AX2"/>
    <mergeCell ref="A3:AX3"/>
    <mergeCell ref="A4:AX4"/>
    <mergeCell ref="A5:AX5"/>
    <mergeCell ref="A6:AX6"/>
    <mergeCell ref="D8:F8"/>
    <mergeCell ref="G8:Q8"/>
    <mergeCell ref="R8:AA8"/>
    <mergeCell ref="AB8:AJ8"/>
    <mergeCell ref="AK8:AS8"/>
    <mergeCell ref="AA10:AA8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patel</cp:lastModifiedBy>
  <dcterms:created xsi:type="dcterms:W3CDTF">2025-11-24T09:04:36Z</dcterms:created>
  <dcterms:modified xsi:type="dcterms:W3CDTF">2025-11-24T09:07:30Z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F2661E4BCEAD4AC6A4DAFCFC81DE2DE3_13</vt:lpwstr>
  </property>
  <property fmtid="{D5CDD505-2E9C-101B-9397-08002B2CF9AE}" pid="3" name="KSOProductBuildVer">
    <vt:lpwstr>1033-12.2.0.23155</vt:lpwstr>
  </property>
</Properties>
</file>