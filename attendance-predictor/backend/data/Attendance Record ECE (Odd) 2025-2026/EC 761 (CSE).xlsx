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300"/>
  </bookViews>
  <sheets>
    <sheet name="combined cse" sheetId="4" r:id="rId1"/>
  </sheets>
  <calcPr calcId="162913"/>
</workbook>
</file>

<file path=xl/calcChain.xml><?xml version="1.0" encoding="utf-8"?>
<calcChain xmlns="http://schemas.openxmlformats.org/spreadsheetml/2006/main">
  <c r="O87" i="4" l="1"/>
  <c r="I87" i="4"/>
  <c r="N87" i="4" s="1"/>
  <c r="P87" i="4" s="1"/>
  <c r="O86" i="4"/>
  <c r="N86" i="4"/>
  <c r="P86" i="4" s="1"/>
  <c r="I86" i="4"/>
  <c r="O85" i="4"/>
  <c r="I85" i="4"/>
  <c r="N85" i="4" s="1"/>
  <c r="P85" i="4" s="1"/>
  <c r="O84" i="4"/>
  <c r="N84" i="4"/>
  <c r="P84" i="4" s="1"/>
  <c r="I84" i="4"/>
  <c r="P83" i="4"/>
  <c r="O83" i="4"/>
  <c r="I83" i="4"/>
  <c r="N83" i="4" s="1"/>
  <c r="P82" i="4"/>
  <c r="O82" i="4"/>
  <c r="N82" i="4"/>
  <c r="I82" i="4"/>
  <c r="P81" i="4"/>
  <c r="O81" i="4"/>
  <c r="I81" i="4"/>
  <c r="N81" i="4" s="1"/>
  <c r="O80" i="4"/>
  <c r="P80" i="4" s="1"/>
  <c r="N80" i="4"/>
  <c r="I80" i="4"/>
  <c r="P79" i="4"/>
  <c r="O79" i="4"/>
  <c r="I79" i="4"/>
  <c r="N79" i="4" s="1"/>
  <c r="O78" i="4"/>
  <c r="N78" i="4"/>
  <c r="P78" i="4" s="1"/>
  <c r="I78" i="4"/>
  <c r="O77" i="4"/>
  <c r="I77" i="4"/>
  <c r="N77" i="4" s="1"/>
  <c r="P77" i="4" s="1"/>
  <c r="O76" i="4"/>
  <c r="P76" i="4" s="1"/>
  <c r="N76" i="4"/>
  <c r="I76" i="4"/>
  <c r="O75" i="4"/>
  <c r="I75" i="4"/>
  <c r="N75" i="4" s="1"/>
  <c r="P75" i="4" s="1"/>
  <c r="P74" i="4"/>
  <c r="O74" i="4"/>
  <c r="N74" i="4"/>
  <c r="I74" i="4"/>
  <c r="P73" i="4"/>
  <c r="O73" i="4"/>
  <c r="I73" i="4"/>
  <c r="N73" i="4" s="1"/>
  <c r="O72" i="4"/>
  <c r="P72" i="4" s="1"/>
  <c r="N72" i="4"/>
  <c r="I72" i="4"/>
  <c r="O71" i="4"/>
  <c r="I71" i="4"/>
  <c r="N71" i="4" s="1"/>
  <c r="P71" i="4" s="1"/>
  <c r="O70" i="4"/>
  <c r="P70" i="4" s="1"/>
  <c r="N70" i="4"/>
  <c r="I70" i="4"/>
  <c r="O69" i="4"/>
  <c r="I69" i="4"/>
  <c r="N69" i="4" s="1"/>
  <c r="P69" i="4" s="1"/>
  <c r="O68" i="4"/>
  <c r="N68" i="4"/>
  <c r="P68" i="4" s="1"/>
  <c r="I68" i="4"/>
  <c r="P67" i="4"/>
  <c r="O67" i="4"/>
  <c r="I67" i="4"/>
  <c r="N67" i="4" s="1"/>
  <c r="O66" i="4"/>
  <c r="I66" i="4"/>
  <c r="N66" i="4" s="1"/>
  <c r="P66" i="4" s="1"/>
  <c r="P65" i="4"/>
  <c r="O65" i="4"/>
  <c r="N65" i="4"/>
  <c r="I65" i="4"/>
  <c r="O64" i="4"/>
  <c r="I64" i="4"/>
  <c r="N64" i="4" s="1"/>
  <c r="P64" i="4" s="1"/>
  <c r="P63" i="4"/>
  <c r="O63" i="4"/>
  <c r="N63" i="4"/>
  <c r="I63" i="4"/>
  <c r="O62" i="4"/>
  <c r="I62" i="4"/>
  <c r="N62" i="4" s="1"/>
  <c r="P62" i="4" s="1"/>
  <c r="P61" i="4"/>
  <c r="O61" i="4"/>
  <c r="N61" i="4"/>
  <c r="I61" i="4"/>
  <c r="O60" i="4"/>
  <c r="I60" i="4"/>
  <c r="N60" i="4" s="1"/>
  <c r="P60" i="4" s="1"/>
  <c r="P59" i="4"/>
  <c r="O59" i="4"/>
  <c r="N59" i="4"/>
  <c r="I59" i="4"/>
  <c r="O58" i="4"/>
  <c r="I58" i="4"/>
  <c r="N58" i="4" s="1"/>
  <c r="P58" i="4" s="1"/>
  <c r="P57" i="4"/>
  <c r="O57" i="4"/>
  <c r="N57" i="4"/>
  <c r="I57" i="4"/>
  <c r="O56" i="4"/>
  <c r="I56" i="4"/>
  <c r="N56" i="4" s="1"/>
  <c r="P56" i="4" s="1"/>
  <c r="P55" i="4"/>
  <c r="O55" i="4"/>
  <c r="N55" i="4"/>
  <c r="I55" i="4"/>
  <c r="O54" i="4"/>
  <c r="I54" i="4"/>
  <c r="N54" i="4" s="1"/>
  <c r="P54" i="4" s="1"/>
  <c r="P53" i="4"/>
  <c r="O53" i="4"/>
  <c r="N53" i="4"/>
  <c r="I53" i="4"/>
  <c r="O52" i="4"/>
  <c r="I52" i="4"/>
  <c r="N52" i="4" s="1"/>
  <c r="P52" i="4" s="1"/>
  <c r="P51" i="4"/>
  <c r="O51" i="4"/>
  <c r="N51" i="4"/>
  <c r="I51" i="4"/>
  <c r="O50" i="4"/>
  <c r="I50" i="4"/>
  <c r="N50" i="4" s="1"/>
  <c r="P50" i="4" s="1"/>
  <c r="P49" i="4"/>
  <c r="O49" i="4"/>
  <c r="N49" i="4"/>
  <c r="I49" i="4"/>
  <c r="O48" i="4"/>
  <c r="I48" i="4"/>
  <c r="N48" i="4" s="1"/>
  <c r="P48" i="4" s="1"/>
  <c r="P47" i="4"/>
  <c r="O47" i="4"/>
  <c r="N47" i="4"/>
  <c r="I47" i="4"/>
  <c r="O46" i="4"/>
  <c r="I46" i="4"/>
  <c r="N46" i="4" s="1"/>
  <c r="P46" i="4" s="1"/>
  <c r="P45" i="4"/>
  <c r="O45" i="4"/>
  <c r="N45" i="4"/>
  <c r="I45" i="4"/>
  <c r="O44" i="4"/>
  <c r="I44" i="4"/>
  <c r="N44" i="4" s="1"/>
  <c r="P44" i="4" s="1"/>
  <c r="P43" i="4"/>
  <c r="O43" i="4"/>
  <c r="N43" i="4"/>
  <c r="I43" i="4"/>
  <c r="O42" i="4"/>
  <c r="I42" i="4"/>
  <c r="N42" i="4" s="1"/>
  <c r="P42" i="4" s="1"/>
  <c r="P41" i="4"/>
  <c r="O41" i="4"/>
  <c r="N41" i="4"/>
  <c r="I41" i="4"/>
  <c r="O40" i="4"/>
  <c r="I40" i="4"/>
  <c r="N40" i="4" s="1"/>
  <c r="P40" i="4" s="1"/>
  <c r="P39" i="4"/>
  <c r="O39" i="4"/>
  <c r="N39" i="4"/>
  <c r="I39" i="4"/>
  <c r="O38" i="4"/>
  <c r="I38" i="4"/>
  <c r="N38" i="4" s="1"/>
  <c r="P38" i="4" s="1"/>
  <c r="P37" i="4"/>
  <c r="O37" i="4"/>
  <c r="N37" i="4"/>
  <c r="I37" i="4"/>
  <c r="O36" i="4"/>
  <c r="I36" i="4"/>
  <c r="N36" i="4" s="1"/>
  <c r="P36" i="4" s="1"/>
  <c r="P35" i="4"/>
  <c r="O35" i="4"/>
  <c r="N35" i="4"/>
  <c r="I35" i="4"/>
  <c r="O34" i="4"/>
  <c r="I34" i="4"/>
  <c r="N34" i="4" s="1"/>
  <c r="P34" i="4" s="1"/>
  <c r="P33" i="4"/>
  <c r="O33" i="4"/>
  <c r="N33" i="4"/>
  <c r="I33" i="4"/>
  <c r="O32" i="4"/>
  <c r="I32" i="4"/>
  <c r="N32" i="4" s="1"/>
  <c r="P32" i="4" s="1"/>
  <c r="P31" i="4"/>
  <c r="O31" i="4"/>
  <c r="N31" i="4"/>
  <c r="I31" i="4"/>
  <c r="O30" i="4"/>
  <c r="I30" i="4"/>
  <c r="N30" i="4" s="1"/>
  <c r="P30" i="4" s="1"/>
  <c r="P29" i="4"/>
  <c r="O29" i="4"/>
  <c r="N29" i="4"/>
  <c r="I29" i="4"/>
  <c r="O28" i="4"/>
  <c r="I28" i="4"/>
  <c r="N28" i="4" s="1"/>
  <c r="P28" i="4" s="1"/>
  <c r="P27" i="4"/>
  <c r="O27" i="4"/>
  <c r="N27" i="4"/>
  <c r="I27" i="4"/>
  <c r="O26" i="4"/>
  <c r="I26" i="4"/>
  <c r="N26" i="4" s="1"/>
  <c r="P26" i="4" s="1"/>
  <c r="P25" i="4"/>
  <c r="O25" i="4"/>
  <c r="N25" i="4"/>
  <c r="I25" i="4"/>
  <c r="O24" i="4"/>
  <c r="I24" i="4"/>
  <c r="N24" i="4" s="1"/>
  <c r="P24" i="4" s="1"/>
  <c r="P23" i="4"/>
  <c r="O23" i="4"/>
  <c r="N23" i="4"/>
  <c r="I23" i="4"/>
  <c r="O22" i="4"/>
  <c r="I22" i="4"/>
  <c r="N22" i="4" s="1"/>
  <c r="P22" i="4" s="1"/>
  <c r="P21" i="4"/>
  <c r="O21" i="4"/>
  <c r="N21" i="4"/>
  <c r="I21" i="4"/>
  <c r="O20" i="4"/>
  <c r="I20" i="4"/>
  <c r="N20" i="4" s="1"/>
  <c r="P20" i="4" s="1"/>
  <c r="P19" i="4"/>
  <c r="O19" i="4"/>
  <c r="N19" i="4"/>
  <c r="I19" i="4"/>
  <c r="O18" i="4"/>
  <c r="I18" i="4"/>
  <c r="N18" i="4" s="1"/>
  <c r="P18" i="4" s="1"/>
  <c r="P17" i="4"/>
  <c r="O17" i="4"/>
  <c r="N17" i="4"/>
  <c r="I17" i="4"/>
  <c r="O16" i="4"/>
  <c r="I16" i="4"/>
  <c r="N16" i="4" s="1"/>
  <c r="P16" i="4" s="1"/>
  <c r="P15" i="4"/>
  <c r="O15" i="4"/>
  <c r="N15" i="4"/>
  <c r="I15" i="4"/>
  <c r="O14" i="4"/>
  <c r="I14" i="4"/>
  <c r="N14" i="4" s="1"/>
  <c r="P14" i="4" s="1"/>
  <c r="P13" i="4"/>
  <c r="O13" i="4"/>
  <c r="N13" i="4"/>
  <c r="I13" i="4"/>
  <c r="O12" i="4"/>
  <c r="I12" i="4"/>
  <c r="N12" i="4" s="1"/>
  <c r="P12" i="4" s="1"/>
  <c r="P11" i="4"/>
  <c r="O11" i="4"/>
  <c r="N11" i="4"/>
  <c r="I11" i="4"/>
  <c r="O10" i="4"/>
  <c r="I10" i="4"/>
  <c r="N10" i="4" s="1"/>
  <c r="P10" i="4" s="1"/>
</calcChain>
</file>

<file path=xl/sharedStrings.xml><?xml version="1.0" encoding="utf-8"?>
<sst xmlns="http://schemas.openxmlformats.org/spreadsheetml/2006/main" count="180" uniqueCount="176">
  <si>
    <t>Indian Institute of Information Technology (IIIT), Surat</t>
  </si>
  <si>
    <t>Electronics and Communication Engineering Department</t>
  </si>
  <si>
    <t>Subject Name: EC-761: INTERNET OF THINGS</t>
  </si>
  <si>
    <t>Subject Coordinator: Dr. Kaustubh Dhondge</t>
  </si>
  <si>
    <t>Faculty Name: Dr. Kaustubh Dhondge and Ms. Sejal Rathod</t>
  </si>
  <si>
    <t xml:space="preserve">JULY-DEC 2025
</t>
  </si>
  <si>
    <t>LAB</t>
  </si>
  <si>
    <t>LECTURE</t>
  </si>
  <si>
    <t>LAB+LECTUER</t>
  </si>
  <si>
    <t>Sr. No</t>
  </si>
  <si>
    <t>Enrollment No.</t>
  </si>
  <si>
    <t>Name</t>
  </si>
  <si>
    <t>Total P</t>
  </si>
  <si>
    <t>Total A</t>
  </si>
  <si>
    <t>Total</t>
  </si>
  <si>
    <t>Present (%)</t>
  </si>
  <si>
    <t>TOTAL     LAB+LEC</t>
  </si>
  <si>
    <t>TOTAL PRESNT</t>
  </si>
  <si>
    <t>TOTAL PERCENTAGE</t>
  </si>
  <si>
    <t>B.Tech - 4th year, Semester - 7th sem</t>
  </si>
  <si>
    <t>UI22CS01</t>
  </si>
  <si>
    <t>ABHIKUMAR</t>
  </si>
  <si>
    <t>UI22CS02</t>
  </si>
  <si>
    <t>ABHISHEK RATHORE</t>
  </si>
  <si>
    <t>UI22CS03</t>
  </si>
  <si>
    <t>ADITYA KUMAR</t>
  </si>
  <si>
    <t>UI22CS04</t>
  </si>
  <si>
    <t>ADITYA NARAIN TIWARI</t>
  </si>
  <si>
    <t>UI22CS05</t>
  </si>
  <si>
    <t>AMAAN KHAN</t>
  </si>
  <si>
    <t>UI22CS06</t>
  </si>
  <si>
    <t>ANIRUDH AGARWAL</t>
  </si>
  <si>
    <t>UI22CS07</t>
  </si>
  <si>
    <t>ANISHA SODANI</t>
  </si>
  <si>
    <t>UI22CS08</t>
  </si>
  <si>
    <t>ANNESHA KUILA</t>
  </si>
  <si>
    <t>UI22CS09</t>
  </si>
  <si>
    <t>ANURAG KUMAR</t>
  </si>
  <si>
    <t>UI22CS10</t>
  </si>
  <si>
    <t>ARYA TRIVEDI</t>
  </si>
  <si>
    <t>UI22CS12</t>
  </si>
  <si>
    <t>BHOKARKAR SHANTANU SHIVSAMB</t>
  </si>
  <si>
    <t>UI22CS13</t>
  </si>
  <si>
    <t>CHINTHAPARTHI HEMADEEPTHI</t>
  </si>
  <si>
    <t>UI22CS14</t>
  </si>
  <si>
    <t>DAKSH MARU</t>
  </si>
  <si>
    <t>UI22CS15</t>
  </si>
  <si>
    <t>DEEPAK KUMAR</t>
  </si>
  <si>
    <t>UI22CS16</t>
  </si>
  <si>
    <t>DEV DINESH GUPTA</t>
  </si>
  <si>
    <t>UI22CS17</t>
  </si>
  <si>
    <t>DEVANSH KUSHWAHA</t>
  </si>
  <si>
    <t>UI22CS18</t>
  </si>
  <si>
    <t>DHEERAJ</t>
  </si>
  <si>
    <t>UI22CS19</t>
  </si>
  <si>
    <t>DHOLAKIYA AKASH</t>
  </si>
  <si>
    <t>UI22CS20</t>
  </si>
  <si>
    <t>DIVYANSH SINGH</t>
  </si>
  <si>
    <t>UI22CS21</t>
  </si>
  <si>
    <t>DODDAPANENI DHANUSH</t>
  </si>
  <si>
    <t>UI22CS22</t>
  </si>
  <si>
    <t>DURGE ANWAY ANIL</t>
  </si>
  <si>
    <t>UI22CS23</t>
  </si>
  <si>
    <t>EEMANI JWALA SAI NAG MAHADEV</t>
  </si>
  <si>
    <t>UI22CS24</t>
  </si>
  <si>
    <t>ESLAVATH ADITYA</t>
  </si>
  <si>
    <t>UI22CS25</t>
  </si>
  <si>
    <t>GAJAL KUMAR</t>
  </si>
  <si>
    <t>UI22CS26</t>
  </si>
  <si>
    <t>GAVIREDDI HEMANTH</t>
  </si>
  <si>
    <t>UI22CS27</t>
  </si>
  <si>
    <t>GUNTI HEMANTH KUMAR</t>
  </si>
  <si>
    <t>UI22CS28</t>
  </si>
  <si>
    <t>HARSHVARDHAN MANI TRIPATHI</t>
  </si>
  <si>
    <t>UI22CS29</t>
  </si>
  <si>
    <t>JANHAVI RAJENDRA NAIK</t>
  </si>
  <si>
    <t>UI22CS30</t>
  </si>
  <si>
    <t>JHA SUDARSHAN RAMAN</t>
  </si>
  <si>
    <t>UI22CS31</t>
  </si>
  <si>
    <t>JOOKANTTI ABHINAV</t>
  </si>
  <si>
    <t>UI22CS32</t>
  </si>
  <si>
    <t>KACHRIYA BHAVIN MANSUKHBHAI</t>
  </si>
  <si>
    <t>UI22CS33</t>
  </si>
  <si>
    <t>KALE AMAR SANJAY</t>
  </si>
  <si>
    <t>UI22CS34</t>
  </si>
  <si>
    <t>KASHISH DHURVE</t>
  </si>
  <si>
    <t>UI22CS35</t>
  </si>
  <si>
    <t>KAVAD MEET DHIRUBHAI</t>
  </si>
  <si>
    <t>UI22CS36</t>
  </si>
  <si>
    <t>KETHAVATH SHANKAR</t>
  </si>
  <si>
    <t>UI22CS37</t>
  </si>
  <si>
    <t>KHUSHI CHOUKSEY</t>
  </si>
  <si>
    <t>UI22CS38</t>
  </si>
  <si>
    <t>KONDETI LARA PRANEETH</t>
  </si>
  <si>
    <t>UI22CS40</t>
  </si>
  <si>
    <t>KURAPATI RAGHAVI</t>
  </si>
  <si>
    <t>UI22CS41</t>
  </si>
  <si>
    <t>KUSHAGRA</t>
  </si>
  <si>
    <t>UI22CS43</t>
  </si>
  <si>
    <t>MALI AJAY GANESHBHAI</t>
  </si>
  <si>
    <t>UI22CS44</t>
  </si>
  <si>
    <t>MALOTH PRAVEEN</t>
  </si>
  <si>
    <t>UI22CS48</t>
  </si>
  <si>
    <t>MOHAMMADSAMI CHOUDHARI</t>
  </si>
  <si>
    <t>UI22CS49</t>
  </si>
  <si>
    <t>MOOD KRISHNA HARSHITHA</t>
  </si>
  <si>
    <t>UI22CS50</t>
  </si>
  <si>
    <t>MOTHUKURI NAGAVARDHAN</t>
  </si>
  <si>
    <t>UI22CS51</t>
  </si>
  <si>
    <t>NADE YOGESH RAJENDRA</t>
  </si>
  <si>
    <t>UI22CS52</t>
  </si>
  <si>
    <t>NANDINI SHARMA</t>
  </si>
  <si>
    <t>UI22CS53</t>
  </si>
  <si>
    <t>NILESH KUMAR</t>
  </si>
  <si>
    <t>UI22CS54</t>
  </si>
  <si>
    <t>OJASWA VARSHNEY</t>
  </si>
  <si>
    <t>UI22CS55</t>
  </si>
  <si>
    <t>PAKALAPATI S R S KRISHNAM RAJU</t>
  </si>
  <si>
    <t>UI22CS57</t>
  </si>
  <si>
    <t>PANCHAL TEJKUMAR JAYESH</t>
  </si>
  <si>
    <t>UI22CS58</t>
  </si>
  <si>
    <t>PATEL DATTKUMAR VINODBHAI</t>
  </si>
  <si>
    <t>UI22CS59</t>
  </si>
  <si>
    <t>PATEL JUGAL ISHVARBHAI</t>
  </si>
  <si>
    <t>UI22CS60</t>
  </si>
  <si>
    <t>PAWAR SHIVANAND</t>
  </si>
  <si>
    <t>UI22CS61</t>
  </si>
  <si>
    <t>PRASHASTI VYAS</t>
  </si>
  <si>
    <t>UI22CS63</t>
  </si>
  <si>
    <t>PRIYANKA GOYAL</t>
  </si>
  <si>
    <t>UI22CS64</t>
  </si>
  <si>
    <t>PRIYANSHU TOMAR</t>
  </si>
  <si>
    <t>UI22CS65</t>
  </si>
  <si>
    <t>PULAPA RAKESH</t>
  </si>
  <si>
    <t>UI22CS66</t>
  </si>
  <si>
    <t>RANGHOLIYA BHUMIL ASHOKBHAI</t>
  </si>
  <si>
    <t>UI22CS67</t>
  </si>
  <si>
    <t>REDDY ABHINAV</t>
  </si>
  <si>
    <t>UI22CS68</t>
  </si>
  <si>
    <t>RISHABH PARMAR</t>
  </si>
  <si>
    <t>UI22CS69</t>
  </si>
  <si>
    <t>SABNIS VEDASHREE PRASAD</t>
  </si>
  <si>
    <t>UI22CS70</t>
  </si>
  <si>
    <t>SAMARTH GANGRADE</t>
  </si>
  <si>
    <t>UI22CS71</t>
  </si>
  <si>
    <t>SECHI BURMAN</t>
  </si>
  <si>
    <t>UI22CS72</t>
  </si>
  <si>
    <t>SHAURYA DEVANG BHAVSAR</t>
  </si>
  <si>
    <t>UI22CS73</t>
  </si>
  <si>
    <t>SHIVANGI</t>
  </si>
  <si>
    <t>UI22CS75</t>
  </si>
  <si>
    <t>SHREYASKUMAR GOGDANI</t>
  </si>
  <si>
    <t>UI22CS76</t>
  </si>
  <si>
    <t>SHRUTI RAJESH PAULASTYE</t>
  </si>
  <si>
    <t>UI22CS77</t>
  </si>
  <si>
    <t>SUNOY ROY</t>
  </si>
  <si>
    <t>UI22CS78</t>
  </si>
  <si>
    <t>SUVRAT BAJPAI</t>
  </si>
  <si>
    <t>UI22CS79</t>
  </si>
  <si>
    <t>TARPITA SINGH</t>
  </si>
  <si>
    <t>UI22CS80</t>
  </si>
  <si>
    <t>TARUN KUMAR</t>
  </si>
  <si>
    <t>UI22CS81</t>
  </si>
  <si>
    <t>THAKKAR SPAARSH MITESH</t>
  </si>
  <si>
    <t>UI22CS82</t>
  </si>
  <si>
    <t>THELKALA REVANTH REDDY</t>
  </si>
  <si>
    <t>UI22CS83</t>
  </si>
  <si>
    <t>VATSAL KUMAR SINGH</t>
  </si>
  <si>
    <t>UI22CS84</t>
  </si>
  <si>
    <t>VEDIC</t>
  </si>
  <si>
    <t>UI22CS85</t>
  </si>
  <si>
    <t>VIKAS KUMAR</t>
  </si>
  <si>
    <t>UI22CS86</t>
  </si>
  <si>
    <t>VIKAS SHARMA</t>
  </si>
  <si>
    <t>UI22CS88</t>
  </si>
  <si>
    <t>YASH GUPTA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</si>
</sst>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1"/>
      <color theme="1"/>
      <name val="Calibri"/>
    </font>
    <font>
      <sz val="10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2"/>
      <color rgb="FFFFFFFF"/>
      <name val="Arial"/>
      <scheme val="minor"/>
    </font>
    <font>
      <b/>
      <sz val="10"/>
      <color theme="1"/>
      <name val="Arial"/>
    </font>
    <font>
      <sz val="11"/>
      <color theme="1"/>
      <name val="Calibri"/>
    </font>
    <font>
      <sz val="10"/>
      <color theme="1"/>
      <name val="Roboto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CE4D6"/>
        <bgColor rgb="FFFCE4D6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 applyFont="1" applyAlignment="1"/>
    <xf numFmtId="0" fontId="4" fillId="0" borderId="0" xfId="0" applyFont="1" applyAlignment="1"/>
    <xf numFmtId="0" fontId="4" fillId="0" borderId="4" xfId="0" applyFont="1" applyBorder="1" applyAlignment="1"/>
    <xf numFmtId="0" fontId="7" fillId="6" borderId="4" xfId="0" applyFont="1" applyFill="1" applyBorder="1" applyAlignment="1">
      <alignment horizontal="center"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/>
    </xf>
    <xf numFmtId="2" fontId="7" fillId="6" borderId="4" xfId="0" applyNumberFormat="1" applyFont="1" applyFill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2" fontId="1" fillId="0" borderId="4" xfId="0" applyNumberFormat="1" applyFont="1" applyBorder="1" applyAlignment="1">
      <alignment horizontal="center" wrapText="1"/>
    </xf>
    <xf numFmtId="0" fontId="2" fillId="0" borderId="4" xfId="0" applyFont="1" applyBorder="1" applyAlignment="1">
      <alignment horizontal="center"/>
    </xf>
    <xf numFmtId="2" fontId="2" fillId="0" borderId="4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9" fontId="1" fillId="0" borderId="4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center"/>
    </xf>
    <xf numFmtId="9" fontId="4" fillId="0" borderId="4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7" fillId="6" borderId="0" xfId="0" applyNumberFormat="1" applyFont="1" applyFill="1" applyAlignment="1">
      <alignment horizontal="center"/>
    </xf>
    <xf numFmtId="0" fontId="8" fillId="0" borderId="4" xfId="0" applyFont="1" applyBorder="1" applyAlignment="1">
      <alignment horizontal="center" wrapText="1"/>
    </xf>
    <xf numFmtId="0" fontId="9" fillId="0" borderId="4" xfId="0" applyFont="1" applyBorder="1" applyAlignment="1">
      <alignment horizontal="center"/>
    </xf>
    <xf numFmtId="0" fontId="8" fillId="0" borderId="4" xfId="0" applyFont="1" applyBorder="1" applyAlignment="1"/>
    <xf numFmtId="1" fontId="2" fillId="0" borderId="4" xfId="0" applyNumberFormat="1" applyFont="1" applyBorder="1" applyAlignment="1">
      <alignment horizontal="center"/>
    </xf>
    <xf numFmtId="0" fontId="8" fillId="0" borderId="5" xfId="0" applyFont="1" applyBorder="1" applyAlignment="1">
      <alignment horizontal="center" wrapText="1"/>
    </xf>
    <xf numFmtId="0" fontId="4" fillId="0" borderId="0" xfId="0" applyFont="1" applyAlignment="1"/>
    <xf numFmtId="1" fontId="7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3" borderId="1" xfId="0" applyFont="1" applyFill="1" applyBorder="1" applyAlignment="1">
      <alignment horizontal="center"/>
    </xf>
    <xf numFmtId="2" fontId="5" fillId="4" borderId="0" xfId="0" applyNumberFormat="1" applyFont="1" applyFill="1" applyAlignment="1">
      <alignment horizontal="center"/>
    </xf>
    <xf numFmtId="0" fontId="0" fillId="0" borderId="0" xfId="0" applyFont="1" applyAlignment="1"/>
    <xf numFmtId="0" fontId="6" fillId="5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99"/>
  <sheetViews>
    <sheetView tabSelected="1" workbookViewId="0">
      <selection sqref="A1:Q1"/>
    </sheetView>
  </sheetViews>
  <sheetFormatPr defaultColWidth="12.5703125" defaultRowHeight="15.75" customHeight="1"/>
  <cols>
    <col min="1" max="1" width="7.7109375" customWidth="1"/>
    <col min="3" max="3" width="27.42578125" customWidth="1"/>
    <col min="4" max="5" width="6.42578125" customWidth="1"/>
    <col min="6" max="6" width="4.85546875" customWidth="1"/>
    <col min="7" max="7" width="10.140625" customWidth="1"/>
    <col min="8" max="8" width="2" customWidth="1"/>
    <col min="9" max="9" width="7.140625" customWidth="1"/>
    <col min="10" max="10" width="8.42578125" customWidth="1"/>
    <col min="11" max="11" width="7" customWidth="1"/>
    <col min="12" max="12" width="10.7109375" customWidth="1"/>
    <col min="13" max="13" width="1.5703125" customWidth="1"/>
    <col min="14" max="14" width="10.140625" customWidth="1"/>
    <col min="15" max="15" width="9.28515625" customWidth="1"/>
    <col min="16" max="16" width="14" customWidth="1"/>
    <col min="17" max="17" width="5.42578125" customWidth="1"/>
  </cols>
  <sheetData>
    <row r="1" spans="1:17" ht="15">
      <c r="A1" s="28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30"/>
    </row>
    <row r="2" spans="1:17" ht="15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30"/>
    </row>
    <row r="3" spans="1:17" ht="15">
      <c r="A3" s="28" t="s">
        <v>19</v>
      </c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</row>
    <row r="4" spans="1:17" ht="15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</row>
    <row r="5" spans="1:17" ht="15">
      <c r="A5" s="28" t="s">
        <v>3</v>
      </c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</row>
    <row r="6" spans="1:17" ht="15">
      <c r="A6" s="28" t="s">
        <v>4</v>
      </c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</row>
    <row r="7" spans="1:17" ht="15" customHeight="1">
      <c r="A7" s="28" t="s">
        <v>5</v>
      </c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</row>
    <row r="8" spans="1:17">
      <c r="A8" s="1"/>
      <c r="B8" s="1"/>
      <c r="C8" s="2"/>
      <c r="D8" s="31" t="s">
        <v>6</v>
      </c>
      <c r="E8" s="29"/>
      <c r="F8" s="29"/>
      <c r="G8" s="30"/>
      <c r="H8" s="18"/>
      <c r="I8" s="32" t="s">
        <v>7</v>
      </c>
      <c r="J8" s="33"/>
      <c r="K8" s="33"/>
      <c r="L8" s="33"/>
      <c r="N8" s="34" t="s">
        <v>8</v>
      </c>
      <c r="O8" s="33"/>
      <c r="P8" s="33"/>
    </row>
    <row r="9" spans="1:17" ht="25.5">
      <c r="A9" s="3" t="s">
        <v>9</v>
      </c>
      <c r="B9" s="3" t="s">
        <v>10</v>
      </c>
      <c r="C9" s="4" t="s">
        <v>11</v>
      </c>
      <c r="D9" s="5" t="s">
        <v>12</v>
      </c>
      <c r="E9" s="5" t="s">
        <v>13</v>
      </c>
      <c r="F9" s="5" t="s">
        <v>14</v>
      </c>
      <c r="G9" s="6" t="s">
        <v>15</v>
      </c>
      <c r="H9" s="19"/>
      <c r="I9" s="5" t="s">
        <v>14</v>
      </c>
      <c r="J9" s="5" t="s">
        <v>12</v>
      </c>
      <c r="K9" s="5" t="s">
        <v>13</v>
      </c>
      <c r="L9" s="6" t="s">
        <v>15</v>
      </c>
      <c r="N9" s="7" t="s">
        <v>16</v>
      </c>
      <c r="O9" s="7" t="s">
        <v>17</v>
      </c>
      <c r="P9" s="8" t="s">
        <v>18</v>
      </c>
    </row>
    <row r="10" spans="1:17" ht="15">
      <c r="A10" s="20">
        <v>1</v>
      </c>
      <c r="B10" s="21" t="s">
        <v>20</v>
      </c>
      <c r="C10" s="22" t="s">
        <v>21</v>
      </c>
      <c r="D10" s="9">
        <v>10</v>
      </c>
      <c r="E10" s="9">
        <v>4</v>
      </c>
      <c r="F10" s="9">
        <v>14</v>
      </c>
      <c r="G10" s="10">
        <v>71.428571428571431</v>
      </c>
      <c r="H10" s="15"/>
      <c r="I10" s="23">
        <f t="shared" ref="I10:I87" si="0">SUM(J10:K10)</f>
        <v>22</v>
      </c>
      <c r="J10" s="23">
        <v>17</v>
      </c>
      <c r="K10" s="11">
        <v>5</v>
      </c>
      <c r="L10" s="12">
        <v>0.77</v>
      </c>
      <c r="N10" s="13">
        <f t="shared" ref="N10:N87" si="1">F10+I10</f>
        <v>36</v>
      </c>
      <c r="O10" s="13">
        <f t="shared" ref="O10:O87" si="2">D10+J10</f>
        <v>27</v>
      </c>
      <c r="P10" s="14">
        <f t="shared" ref="P10:P87" si="3">O10*100/N10</f>
        <v>75</v>
      </c>
    </row>
    <row r="11" spans="1:17" ht="15">
      <c r="A11" s="24">
        <v>2</v>
      </c>
      <c r="B11" s="21" t="s">
        <v>22</v>
      </c>
      <c r="C11" s="22" t="s">
        <v>23</v>
      </c>
      <c r="D11" s="9">
        <v>7</v>
      </c>
      <c r="E11" s="9">
        <v>7</v>
      </c>
      <c r="F11" s="9">
        <v>14</v>
      </c>
      <c r="G11" s="10">
        <v>50</v>
      </c>
      <c r="H11" s="15"/>
      <c r="I11" s="23">
        <f t="shared" si="0"/>
        <v>22</v>
      </c>
      <c r="J11" s="23">
        <v>13</v>
      </c>
      <c r="K11" s="11">
        <v>9</v>
      </c>
      <c r="L11" s="12">
        <v>0.59</v>
      </c>
      <c r="N11" s="13">
        <f t="shared" si="1"/>
        <v>36</v>
      </c>
      <c r="O11" s="13">
        <f t="shared" si="2"/>
        <v>20</v>
      </c>
      <c r="P11" s="14">
        <f t="shared" si="3"/>
        <v>55.555555555555557</v>
      </c>
    </row>
    <row r="12" spans="1:17" ht="15">
      <c r="A12" s="24">
        <v>3</v>
      </c>
      <c r="B12" s="21" t="s">
        <v>24</v>
      </c>
      <c r="C12" s="22" t="s">
        <v>25</v>
      </c>
      <c r="D12" s="9">
        <v>9</v>
      </c>
      <c r="E12" s="9">
        <v>5</v>
      </c>
      <c r="F12" s="9">
        <v>14</v>
      </c>
      <c r="G12" s="10">
        <v>64.285714285714292</v>
      </c>
      <c r="H12" s="15"/>
      <c r="I12" s="23">
        <f t="shared" si="0"/>
        <v>22</v>
      </c>
      <c r="J12" s="23">
        <v>15</v>
      </c>
      <c r="K12" s="11">
        <v>7</v>
      </c>
      <c r="L12" s="12">
        <v>0.68</v>
      </c>
      <c r="N12" s="13">
        <f t="shared" si="1"/>
        <v>36</v>
      </c>
      <c r="O12" s="13">
        <f t="shared" si="2"/>
        <v>24</v>
      </c>
      <c r="P12" s="14">
        <f t="shared" si="3"/>
        <v>66.666666666666671</v>
      </c>
    </row>
    <row r="13" spans="1:17" ht="15">
      <c r="A13" s="24">
        <v>4</v>
      </c>
      <c r="B13" s="21" t="s">
        <v>26</v>
      </c>
      <c r="C13" s="22" t="s">
        <v>27</v>
      </c>
      <c r="D13" s="9">
        <v>6</v>
      </c>
      <c r="E13" s="9">
        <v>8</v>
      </c>
      <c r="F13" s="9">
        <v>14</v>
      </c>
      <c r="G13" s="10">
        <v>42.857142857142854</v>
      </c>
      <c r="H13" s="15"/>
      <c r="I13" s="23">
        <f t="shared" si="0"/>
        <v>22</v>
      </c>
      <c r="J13" s="23">
        <v>12</v>
      </c>
      <c r="K13" s="11">
        <v>10</v>
      </c>
      <c r="L13" s="12">
        <v>0.55000000000000004</v>
      </c>
      <c r="N13" s="13">
        <f t="shared" si="1"/>
        <v>36</v>
      </c>
      <c r="O13" s="13">
        <f t="shared" si="2"/>
        <v>18</v>
      </c>
      <c r="P13" s="14">
        <f t="shared" si="3"/>
        <v>50</v>
      </c>
    </row>
    <row r="14" spans="1:17" ht="15">
      <c r="A14" s="20">
        <v>5</v>
      </c>
      <c r="B14" s="21" t="s">
        <v>28</v>
      </c>
      <c r="C14" s="22" t="s">
        <v>29</v>
      </c>
      <c r="D14" s="9">
        <v>6</v>
      </c>
      <c r="E14" s="9">
        <v>8</v>
      </c>
      <c r="F14" s="9">
        <v>14</v>
      </c>
      <c r="G14" s="10">
        <v>42.857142857142854</v>
      </c>
      <c r="H14" s="15"/>
      <c r="I14" s="23">
        <f t="shared" si="0"/>
        <v>22</v>
      </c>
      <c r="J14" s="23">
        <v>15</v>
      </c>
      <c r="K14" s="11">
        <v>7</v>
      </c>
      <c r="L14" s="12">
        <v>0.68</v>
      </c>
      <c r="N14" s="13">
        <f t="shared" si="1"/>
        <v>36</v>
      </c>
      <c r="O14" s="13">
        <f t="shared" si="2"/>
        <v>21</v>
      </c>
      <c r="P14" s="14">
        <f t="shared" si="3"/>
        <v>58.333333333333336</v>
      </c>
    </row>
    <row r="15" spans="1:17" ht="15">
      <c r="A15" s="24">
        <v>6</v>
      </c>
      <c r="B15" s="21" t="s">
        <v>30</v>
      </c>
      <c r="C15" s="22" t="s">
        <v>31</v>
      </c>
      <c r="D15" s="9">
        <v>10</v>
      </c>
      <c r="E15" s="9">
        <v>4</v>
      </c>
      <c r="F15" s="9">
        <v>14</v>
      </c>
      <c r="G15" s="10">
        <v>71.428571428571431</v>
      </c>
      <c r="H15" s="15"/>
      <c r="I15" s="23">
        <f t="shared" si="0"/>
        <v>22</v>
      </c>
      <c r="J15" s="23">
        <v>16</v>
      </c>
      <c r="K15" s="11">
        <v>6</v>
      </c>
      <c r="L15" s="12">
        <v>0.73</v>
      </c>
      <c r="N15" s="13">
        <f t="shared" si="1"/>
        <v>36</v>
      </c>
      <c r="O15" s="13">
        <f t="shared" si="2"/>
        <v>26</v>
      </c>
      <c r="P15" s="14">
        <f t="shared" si="3"/>
        <v>72.222222222222229</v>
      </c>
    </row>
    <row r="16" spans="1:17" ht="15">
      <c r="A16" s="24">
        <v>7</v>
      </c>
      <c r="B16" s="21" t="s">
        <v>32</v>
      </c>
      <c r="C16" s="22" t="s">
        <v>33</v>
      </c>
      <c r="D16" s="9">
        <v>10</v>
      </c>
      <c r="E16" s="9">
        <v>4</v>
      </c>
      <c r="F16" s="9">
        <v>14</v>
      </c>
      <c r="G16" s="10">
        <v>71.428571428571431</v>
      </c>
      <c r="H16" s="15"/>
      <c r="I16" s="23">
        <f t="shared" si="0"/>
        <v>22</v>
      </c>
      <c r="J16" s="23">
        <v>15</v>
      </c>
      <c r="K16" s="11">
        <v>7</v>
      </c>
      <c r="L16" s="12">
        <v>0.68</v>
      </c>
      <c r="N16" s="13">
        <f t="shared" si="1"/>
        <v>36</v>
      </c>
      <c r="O16" s="13">
        <f t="shared" si="2"/>
        <v>25</v>
      </c>
      <c r="P16" s="14">
        <f t="shared" si="3"/>
        <v>69.444444444444443</v>
      </c>
    </row>
    <row r="17" spans="1:16" ht="15">
      <c r="A17" s="24">
        <v>8</v>
      </c>
      <c r="B17" s="21" t="s">
        <v>34</v>
      </c>
      <c r="C17" s="22" t="s">
        <v>35</v>
      </c>
      <c r="D17" s="9">
        <v>12</v>
      </c>
      <c r="E17" s="9">
        <v>2</v>
      </c>
      <c r="F17" s="9">
        <v>14</v>
      </c>
      <c r="G17" s="10">
        <v>85.714285714285708</v>
      </c>
      <c r="H17" s="15"/>
      <c r="I17" s="23">
        <f t="shared" si="0"/>
        <v>22</v>
      </c>
      <c r="J17" s="23">
        <v>13</v>
      </c>
      <c r="K17" s="11">
        <v>9</v>
      </c>
      <c r="L17" s="12">
        <v>0.59</v>
      </c>
      <c r="N17" s="13">
        <f t="shared" si="1"/>
        <v>36</v>
      </c>
      <c r="O17" s="13">
        <f t="shared" si="2"/>
        <v>25</v>
      </c>
      <c r="P17" s="14">
        <f t="shared" si="3"/>
        <v>69.444444444444443</v>
      </c>
    </row>
    <row r="18" spans="1:16" ht="15">
      <c r="A18" s="20">
        <v>9</v>
      </c>
      <c r="B18" s="21" t="s">
        <v>36</v>
      </c>
      <c r="C18" s="22" t="s">
        <v>37</v>
      </c>
      <c r="D18" s="9">
        <v>5</v>
      </c>
      <c r="E18" s="9">
        <v>9</v>
      </c>
      <c r="F18" s="9">
        <v>14</v>
      </c>
      <c r="G18" s="10">
        <v>35.714285714285715</v>
      </c>
      <c r="H18" s="15"/>
      <c r="I18" s="23">
        <f t="shared" si="0"/>
        <v>22</v>
      </c>
      <c r="J18" s="23">
        <v>12</v>
      </c>
      <c r="K18" s="11">
        <v>10</v>
      </c>
      <c r="L18" s="12">
        <v>0.55000000000000004</v>
      </c>
      <c r="N18" s="13">
        <f t="shared" si="1"/>
        <v>36</v>
      </c>
      <c r="O18" s="13">
        <f t="shared" si="2"/>
        <v>17</v>
      </c>
      <c r="P18" s="14">
        <f t="shared" si="3"/>
        <v>47.222222222222221</v>
      </c>
    </row>
    <row r="19" spans="1:16" ht="15">
      <c r="A19" s="24">
        <v>10</v>
      </c>
      <c r="B19" s="21" t="s">
        <v>38</v>
      </c>
      <c r="C19" s="22" t="s">
        <v>39</v>
      </c>
      <c r="D19" s="9">
        <v>6</v>
      </c>
      <c r="E19" s="9">
        <v>8</v>
      </c>
      <c r="F19" s="9">
        <v>14</v>
      </c>
      <c r="G19" s="10">
        <v>42.857142857142854</v>
      </c>
      <c r="H19" s="15"/>
      <c r="I19" s="23">
        <f t="shared" si="0"/>
        <v>22</v>
      </c>
      <c r="J19" s="23">
        <v>14</v>
      </c>
      <c r="K19" s="11">
        <v>8</v>
      </c>
      <c r="L19" s="12">
        <v>0.64</v>
      </c>
      <c r="N19" s="13">
        <f t="shared" si="1"/>
        <v>36</v>
      </c>
      <c r="O19" s="13">
        <f t="shared" si="2"/>
        <v>20</v>
      </c>
      <c r="P19" s="14">
        <f t="shared" si="3"/>
        <v>55.555555555555557</v>
      </c>
    </row>
    <row r="20" spans="1:16" ht="15">
      <c r="A20" s="24">
        <v>11</v>
      </c>
      <c r="B20" s="21" t="s">
        <v>40</v>
      </c>
      <c r="C20" s="22" t="s">
        <v>41</v>
      </c>
      <c r="D20" s="9">
        <v>4</v>
      </c>
      <c r="E20" s="9">
        <v>10</v>
      </c>
      <c r="F20" s="9">
        <v>14</v>
      </c>
      <c r="G20" s="10">
        <v>28.571428571428569</v>
      </c>
      <c r="H20" s="15"/>
      <c r="I20" s="23">
        <f t="shared" si="0"/>
        <v>22</v>
      </c>
      <c r="J20" s="23">
        <v>10</v>
      </c>
      <c r="K20" s="11">
        <v>12</v>
      </c>
      <c r="L20" s="12">
        <v>0.45</v>
      </c>
      <c r="N20" s="13">
        <f t="shared" si="1"/>
        <v>36</v>
      </c>
      <c r="O20" s="13">
        <f t="shared" si="2"/>
        <v>14</v>
      </c>
      <c r="P20" s="14">
        <f t="shared" si="3"/>
        <v>38.888888888888886</v>
      </c>
    </row>
    <row r="21" spans="1:16" ht="15">
      <c r="A21" s="24">
        <v>12</v>
      </c>
      <c r="B21" s="21" t="s">
        <v>42</v>
      </c>
      <c r="C21" s="22" t="s">
        <v>43</v>
      </c>
      <c r="D21" s="9">
        <v>12</v>
      </c>
      <c r="E21" s="9">
        <v>2</v>
      </c>
      <c r="F21" s="9">
        <v>14</v>
      </c>
      <c r="G21" s="10">
        <v>85.714285714285708</v>
      </c>
      <c r="H21" s="15"/>
      <c r="I21" s="23">
        <f t="shared" si="0"/>
        <v>22</v>
      </c>
      <c r="J21" s="23">
        <v>16</v>
      </c>
      <c r="K21" s="11">
        <v>6</v>
      </c>
      <c r="L21" s="12">
        <v>0.73</v>
      </c>
      <c r="N21" s="13">
        <f t="shared" si="1"/>
        <v>36</v>
      </c>
      <c r="O21" s="13">
        <f t="shared" si="2"/>
        <v>28</v>
      </c>
      <c r="P21" s="14">
        <f t="shared" si="3"/>
        <v>77.777777777777771</v>
      </c>
    </row>
    <row r="22" spans="1:16" ht="15">
      <c r="A22" s="20">
        <v>13</v>
      </c>
      <c r="B22" s="21" t="s">
        <v>44</v>
      </c>
      <c r="C22" s="22" t="s">
        <v>45</v>
      </c>
      <c r="D22" s="9">
        <v>10</v>
      </c>
      <c r="E22" s="9">
        <v>4</v>
      </c>
      <c r="F22" s="9">
        <v>14</v>
      </c>
      <c r="G22" s="10">
        <v>71.428571428571431</v>
      </c>
      <c r="H22" s="15"/>
      <c r="I22" s="23">
        <f t="shared" si="0"/>
        <v>22</v>
      </c>
      <c r="J22" s="23">
        <v>16</v>
      </c>
      <c r="K22" s="11">
        <v>6</v>
      </c>
      <c r="L22" s="12">
        <v>0.73</v>
      </c>
      <c r="N22" s="13">
        <f t="shared" si="1"/>
        <v>36</v>
      </c>
      <c r="O22" s="13">
        <f t="shared" si="2"/>
        <v>26</v>
      </c>
      <c r="P22" s="14">
        <f t="shared" si="3"/>
        <v>72.222222222222229</v>
      </c>
    </row>
    <row r="23" spans="1:16" ht="15">
      <c r="A23" s="24">
        <v>14</v>
      </c>
      <c r="B23" s="21" t="s">
        <v>46</v>
      </c>
      <c r="C23" s="22" t="s">
        <v>47</v>
      </c>
      <c r="D23" s="9">
        <v>6</v>
      </c>
      <c r="E23" s="9">
        <v>8</v>
      </c>
      <c r="F23" s="9">
        <v>14</v>
      </c>
      <c r="G23" s="10">
        <v>42.857142857142854</v>
      </c>
      <c r="H23" s="15"/>
      <c r="I23" s="23">
        <f t="shared" si="0"/>
        <v>22</v>
      </c>
      <c r="J23" s="23">
        <v>10</v>
      </c>
      <c r="K23" s="11">
        <v>12</v>
      </c>
      <c r="L23" s="12">
        <v>0.45</v>
      </c>
      <c r="N23" s="13">
        <f t="shared" si="1"/>
        <v>36</v>
      </c>
      <c r="O23" s="13">
        <f t="shared" si="2"/>
        <v>16</v>
      </c>
      <c r="P23" s="14">
        <f t="shared" si="3"/>
        <v>44.444444444444443</v>
      </c>
    </row>
    <row r="24" spans="1:16" ht="15">
      <c r="A24" s="24">
        <v>15</v>
      </c>
      <c r="B24" s="21" t="s">
        <v>48</v>
      </c>
      <c r="C24" s="22" t="s">
        <v>49</v>
      </c>
      <c r="D24" s="9">
        <v>11</v>
      </c>
      <c r="E24" s="9">
        <v>3</v>
      </c>
      <c r="F24" s="9">
        <v>14</v>
      </c>
      <c r="G24" s="10">
        <v>78.571428571428569</v>
      </c>
      <c r="H24" s="15"/>
      <c r="I24" s="23">
        <f t="shared" si="0"/>
        <v>22</v>
      </c>
      <c r="J24" s="23">
        <v>16</v>
      </c>
      <c r="K24" s="11">
        <v>6</v>
      </c>
      <c r="L24" s="12">
        <v>0.73</v>
      </c>
      <c r="N24" s="13">
        <f t="shared" si="1"/>
        <v>36</v>
      </c>
      <c r="O24" s="13">
        <f t="shared" si="2"/>
        <v>27</v>
      </c>
      <c r="P24" s="14">
        <f t="shared" si="3"/>
        <v>75</v>
      </c>
    </row>
    <row r="25" spans="1:16" ht="15">
      <c r="A25" s="24">
        <v>16</v>
      </c>
      <c r="B25" s="21" t="s">
        <v>50</v>
      </c>
      <c r="C25" s="22" t="s">
        <v>51</v>
      </c>
      <c r="D25" s="9">
        <v>10</v>
      </c>
      <c r="E25" s="9">
        <v>4</v>
      </c>
      <c r="F25" s="9">
        <v>14</v>
      </c>
      <c r="G25" s="10">
        <v>71.428571428571431</v>
      </c>
      <c r="H25" s="15"/>
      <c r="I25" s="23">
        <f t="shared" si="0"/>
        <v>22</v>
      </c>
      <c r="J25" s="23">
        <v>15</v>
      </c>
      <c r="K25" s="11">
        <v>7</v>
      </c>
      <c r="L25" s="12">
        <v>0.68</v>
      </c>
      <c r="N25" s="13">
        <f t="shared" si="1"/>
        <v>36</v>
      </c>
      <c r="O25" s="13">
        <f t="shared" si="2"/>
        <v>25</v>
      </c>
      <c r="P25" s="14">
        <f t="shared" si="3"/>
        <v>69.444444444444443</v>
      </c>
    </row>
    <row r="26" spans="1:16" ht="15">
      <c r="A26" s="20">
        <v>17</v>
      </c>
      <c r="B26" s="21" t="s">
        <v>52</v>
      </c>
      <c r="C26" s="22" t="s">
        <v>53</v>
      </c>
      <c r="D26" s="9">
        <v>7</v>
      </c>
      <c r="E26" s="9">
        <v>7</v>
      </c>
      <c r="F26" s="9">
        <v>14</v>
      </c>
      <c r="G26" s="10">
        <v>50</v>
      </c>
      <c r="H26" s="15"/>
      <c r="I26" s="23">
        <f t="shared" si="0"/>
        <v>22</v>
      </c>
      <c r="J26" s="23">
        <v>5</v>
      </c>
      <c r="K26" s="11">
        <v>17</v>
      </c>
      <c r="L26" s="12">
        <v>0.23</v>
      </c>
      <c r="N26" s="13">
        <f t="shared" si="1"/>
        <v>36</v>
      </c>
      <c r="O26" s="13">
        <f t="shared" si="2"/>
        <v>12</v>
      </c>
      <c r="P26" s="14">
        <f t="shared" si="3"/>
        <v>33.333333333333336</v>
      </c>
    </row>
    <row r="27" spans="1:16" ht="15">
      <c r="A27" s="24">
        <v>18</v>
      </c>
      <c r="B27" s="21" t="s">
        <v>54</v>
      </c>
      <c r="C27" s="22" t="s">
        <v>55</v>
      </c>
      <c r="D27" s="9">
        <v>11</v>
      </c>
      <c r="E27" s="9">
        <v>3</v>
      </c>
      <c r="F27" s="9">
        <v>14</v>
      </c>
      <c r="G27" s="10">
        <v>78.571428571428569</v>
      </c>
      <c r="H27" s="15"/>
      <c r="I27" s="23">
        <f t="shared" si="0"/>
        <v>22</v>
      </c>
      <c r="J27" s="23">
        <v>17</v>
      </c>
      <c r="K27" s="11">
        <v>5</v>
      </c>
      <c r="L27" s="12">
        <v>0.77</v>
      </c>
      <c r="N27" s="13">
        <f t="shared" si="1"/>
        <v>36</v>
      </c>
      <c r="O27" s="13">
        <f t="shared" si="2"/>
        <v>28</v>
      </c>
      <c r="P27" s="14">
        <f t="shared" si="3"/>
        <v>77.777777777777771</v>
      </c>
    </row>
    <row r="28" spans="1:16" ht="15">
      <c r="A28" s="24">
        <v>19</v>
      </c>
      <c r="B28" s="21" t="s">
        <v>56</v>
      </c>
      <c r="C28" s="22" t="s">
        <v>57</v>
      </c>
      <c r="D28" s="9">
        <v>7</v>
      </c>
      <c r="E28" s="9">
        <v>7</v>
      </c>
      <c r="F28" s="9">
        <v>14</v>
      </c>
      <c r="G28" s="10">
        <v>50</v>
      </c>
      <c r="H28" s="15"/>
      <c r="I28" s="23">
        <f t="shared" si="0"/>
        <v>22</v>
      </c>
      <c r="J28" s="23">
        <v>11</v>
      </c>
      <c r="K28" s="11">
        <v>11</v>
      </c>
      <c r="L28" s="12">
        <v>0.5</v>
      </c>
      <c r="N28" s="13">
        <f t="shared" si="1"/>
        <v>36</v>
      </c>
      <c r="O28" s="13">
        <f t="shared" si="2"/>
        <v>18</v>
      </c>
      <c r="P28" s="14">
        <f t="shared" si="3"/>
        <v>50</v>
      </c>
    </row>
    <row r="29" spans="1:16" ht="15">
      <c r="A29" s="24">
        <v>20</v>
      </c>
      <c r="B29" s="21" t="s">
        <v>58</v>
      </c>
      <c r="C29" s="22" t="s">
        <v>59</v>
      </c>
      <c r="D29" s="9">
        <v>8</v>
      </c>
      <c r="E29" s="9">
        <v>6</v>
      </c>
      <c r="F29" s="9">
        <v>14</v>
      </c>
      <c r="G29" s="10">
        <v>57.142857142857139</v>
      </c>
      <c r="H29" s="15"/>
      <c r="I29" s="23">
        <f t="shared" si="0"/>
        <v>22</v>
      </c>
      <c r="J29" s="23">
        <v>10</v>
      </c>
      <c r="K29" s="11">
        <v>12</v>
      </c>
      <c r="L29" s="12">
        <v>0.45</v>
      </c>
      <c r="N29" s="13">
        <f t="shared" si="1"/>
        <v>36</v>
      </c>
      <c r="O29" s="13">
        <f t="shared" si="2"/>
        <v>18</v>
      </c>
      <c r="P29" s="14">
        <f t="shared" si="3"/>
        <v>50</v>
      </c>
    </row>
    <row r="30" spans="1:16" ht="15">
      <c r="A30" s="20">
        <v>21</v>
      </c>
      <c r="B30" s="21" t="s">
        <v>60</v>
      </c>
      <c r="C30" s="22" t="s">
        <v>61</v>
      </c>
      <c r="D30" s="9">
        <v>7</v>
      </c>
      <c r="E30" s="9">
        <v>7</v>
      </c>
      <c r="F30" s="9">
        <v>14</v>
      </c>
      <c r="G30" s="10">
        <v>50</v>
      </c>
      <c r="H30" s="15"/>
      <c r="I30" s="23">
        <f t="shared" si="0"/>
        <v>22</v>
      </c>
      <c r="J30" s="23">
        <v>13</v>
      </c>
      <c r="K30" s="11">
        <v>9</v>
      </c>
      <c r="L30" s="12">
        <v>0.59</v>
      </c>
      <c r="N30" s="13">
        <f t="shared" si="1"/>
        <v>36</v>
      </c>
      <c r="O30" s="13">
        <f t="shared" si="2"/>
        <v>20</v>
      </c>
      <c r="P30" s="14">
        <f t="shared" si="3"/>
        <v>55.555555555555557</v>
      </c>
    </row>
    <row r="31" spans="1:16" ht="15">
      <c r="A31" s="24">
        <v>22</v>
      </c>
      <c r="B31" s="21" t="s">
        <v>62</v>
      </c>
      <c r="C31" s="22" t="s">
        <v>63</v>
      </c>
      <c r="D31" s="9">
        <v>6</v>
      </c>
      <c r="E31" s="9">
        <v>8</v>
      </c>
      <c r="F31" s="9">
        <v>14</v>
      </c>
      <c r="G31" s="10">
        <v>42.857142857142854</v>
      </c>
      <c r="H31" s="15"/>
      <c r="I31" s="23">
        <f t="shared" si="0"/>
        <v>22</v>
      </c>
      <c r="J31" s="23">
        <v>13</v>
      </c>
      <c r="K31" s="11">
        <v>9</v>
      </c>
      <c r="L31" s="12">
        <v>0.59</v>
      </c>
      <c r="N31" s="13">
        <f t="shared" si="1"/>
        <v>36</v>
      </c>
      <c r="O31" s="13">
        <f t="shared" si="2"/>
        <v>19</v>
      </c>
      <c r="P31" s="14">
        <f t="shared" si="3"/>
        <v>52.777777777777779</v>
      </c>
    </row>
    <row r="32" spans="1:16" ht="15">
      <c r="A32" s="24">
        <v>23</v>
      </c>
      <c r="B32" s="21" t="s">
        <v>64</v>
      </c>
      <c r="C32" s="22" t="s">
        <v>65</v>
      </c>
      <c r="D32" s="9">
        <v>10</v>
      </c>
      <c r="E32" s="9">
        <v>4</v>
      </c>
      <c r="F32" s="9">
        <v>14</v>
      </c>
      <c r="G32" s="10">
        <v>71.428571428571431</v>
      </c>
      <c r="H32" s="15"/>
      <c r="I32" s="23">
        <f t="shared" si="0"/>
        <v>22</v>
      </c>
      <c r="J32" s="23">
        <v>14</v>
      </c>
      <c r="K32" s="11">
        <v>8</v>
      </c>
      <c r="L32" s="12">
        <v>0.64</v>
      </c>
      <c r="N32" s="13">
        <f t="shared" si="1"/>
        <v>36</v>
      </c>
      <c r="O32" s="13">
        <f t="shared" si="2"/>
        <v>24</v>
      </c>
      <c r="P32" s="14">
        <f t="shared" si="3"/>
        <v>66.666666666666671</v>
      </c>
    </row>
    <row r="33" spans="1:16" ht="15">
      <c r="A33" s="24">
        <v>24</v>
      </c>
      <c r="B33" s="21" t="s">
        <v>66</v>
      </c>
      <c r="C33" s="22" t="s">
        <v>67</v>
      </c>
      <c r="D33" s="9">
        <v>6</v>
      </c>
      <c r="E33" s="9">
        <v>8</v>
      </c>
      <c r="F33" s="9">
        <v>14</v>
      </c>
      <c r="G33" s="10">
        <v>42.857142857142854</v>
      </c>
      <c r="H33" s="15"/>
      <c r="I33" s="23">
        <f t="shared" si="0"/>
        <v>22</v>
      </c>
      <c r="J33" s="23">
        <v>12</v>
      </c>
      <c r="K33" s="11">
        <v>10</v>
      </c>
      <c r="L33" s="12">
        <v>0.55000000000000004</v>
      </c>
      <c r="N33" s="13">
        <f t="shared" si="1"/>
        <v>36</v>
      </c>
      <c r="O33" s="13">
        <f t="shared" si="2"/>
        <v>18</v>
      </c>
      <c r="P33" s="14">
        <f t="shared" si="3"/>
        <v>50</v>
      </c>
    </row>
    <row r="34" spans="1:16" ht="15">
      <c r="A34" s="20">
        <v>25</v>
      </c>
      <c r="B34" s="21" t="s">
        <v>68</v>
      </c>
      <c r="C34" s="22" t="s">
        <v>69</v>
      </c>
      <c r="D34" s="9">
        <v>9</v>
      </c>
      <c r="E34" s="9">
        <v>5</v>
      </c>
      <c r="F34" s="9">
        <v>14</v>
      </c>
      <c r="G34" s="10">
        <v>64.285714285714292</v>
      </c>
      <c r="H34" s="15"/>
      <c r="I34" s="23">
        <f t="shared" si="0"/>
        <v>22</v>
      </c>
      <c r="J34" s="23">
        <v>14</v>
      </c>
      <c r="K34" s="11">
        <v>8</v>
      </c>
      <c r="L34" s="12">
        <v>0.64</v>
      </c>
      <c r="N34" s="13">
        <f t="shared" si="1"/>
        <v>36</v>
      </c>
      <c r="O34" s="13">
        <f t="shared" si="2"/>
        <v>23</v>
      </c>
      <c r="P34" s="14">
        <f t="shared" si="3"/>
        <v>63.888888888888886</v>
      </c>
    </row>
    <row r="35" spans="1:16" ht="15">
      <c r="A35" s="24">
        <v>26</v>
      </c>
      <c r="B35" s="21" t="s">
        <v>70</v>
      </c>
      <c r="C35" s="22" t="s">
        <v>71</v>
      </c>
      <c r="D35" s="9">
        <v>7</v>
      </c>
      <c r="E35" s="9">
        <v>7</v>
      </c>
      <c r="F35" s="9">
        <v>14</v>
      </c>
      <c r="G35" s="10">
        <v>50</v>
      </c>
      <c r="H35" s="15"/>
      <c r="I35" s="23">
        <f t="shared" si="0"/>
        <v>22</v>
      </c>
      <c r="J35" s="23">
        <v>11</v>
      </c>
      <c r="K35" s="11">
        <v>11</v>
      </c>
      <c r="L35" s="12">
        <v>0.5</v>
      </c>
      <c r="N35" s="13">
        <f t="shared" si="1"/>
        <v>36</v>
      </c>
      <c r="O35" s="13">
        <f t="shared" si="2"/>
        <v>18</v>
      </c>
      <c r="P35" s="14">
        <f t="shared" si="3"/>
        <v>50</v>
      </c>
    </row>
    <row r="36" spans="1:16" ht="15">
      <c r="A36" s="24">
        <v>27</v>
      </c>
      <c r="B36" s="21" t="s">
        <v>72</v>
      </c>
      <c r="C36" s="22" t="s">
        <v>73</v>
      </c>
      <c r="D36" s="9">
        <v>7</v>
      </c>
      <c r="E36" s="9">
        <v>7</v>
      </c>
      <c r="F36" s="9">
        <v>14</v>
      </c>
      <c r="G36" s="10">
        <v>50</v>
      </c>
      <c r="H36" s="15"/>
      <c r="I36" s="23">
        <f t="shared" si="0"/>
        <v>22</v>
      </c>
      <c r="J36" s="23">
        <v>10</v>
      </c>
      <c r="K36" s="11">
        <v>12</v>
      </c>
      <c r="L36" s="12">
        <v>0.45</v>
      </c>
      <c r="N36" s="13">
        <f t="shared" si="1"/>
        <v>36</v>
      </c>
      <c r="O36" s="13">
        <f t="shared" si="2"/>
        <v>17</v>
      </c>
      <c r="P36" s="14">
        <f t="shared" si="3"/>
        <v>47.222222222222221</v>
      </c>
    </row>
    <row r="37" spans="1:16" ht="15">
      <c r="A37" s="24">
        <v>28</v>
      </c>
      <c r="B37" s="21" t="s">
        <v>74</v>
      </c>
      <c r="C37" s="22" t="s">
        <v>75</v>
      </c>
      <c r="D37" s="9">
        <v>7</v>
      </c>
      <c r="E37" s="9">
        <v>7</v>
      </c>
      <c r="F37" s="9">
        <v>14</v>
      </c>
      <c r="G37" s="10">
        <v>50</v>
      </c>
      <c r="H37" s="15"/>
      <c r="I37" s="23">
        <f t="shared" si="0"/>
        <v>22</v>
      </c>
      <c r="J37" s="23">
        <v>13</v>
      </c>
      <c r="K37" s="11">
        <v>9</v>
      </c>
      <c r="L37" s="12">
        <v>0.59</v>
      </c>
      <c r="N37" s="13">
        <f t="shared" si="1"/>
        <v>36</v>
      </c>
      <c r="O37" s="13">
        <f t="shared" si="2"/>
        <v>20</v>
      </c>
      <c r="P37" s="14">
        <f t="shared" si="3"/>
        <v>55.555555555555557</v>
      </c>
    </row>
    <row r="38" spans="1:16" ht="15">
      <c r="A38" s="20">
        <v>29</v>
      </c>
      <c r="B38" s="21" t="s">
        <v>76</v>
      </c>
      <c r="C38" s="22" t="s">
        <v>77</v>
      </c>
      <c r="D38" s="9">
        <v>11</v>
      </c>
      <c r="E38" s="9">
        <v>3</v>
      </c>
      <c r="F38" s="9">
        <v>14</v>
      </c>
      <c r="G38" s="10">
        <v>78.571428571428569</v>
      </c>
      <c r="H38" s="15"/>
      <c r="I38" s="23">
        <f t="shared" si="0"/>
        <v>22</v>
      </c>
      <c r="J38" s="23">
        <v>13</v>
      </c>
      <c r="K38" s="11">
        <v>9</v>
      </c>
      <c r="L38" s="12">
        <v>0.59</v>
      </c>
      <c r="N38" s="13">
        <f t="shared" si="1"/>
        <v>36</v>
      </c>
      <c r="O38" s="13">
        <f t="shared" si="2"/>
        <v>24</v>
      </c>
      <c r="P38" s="14">
        <f t="shared" si="3"/>
        <v>66.666666666666671</v>
      </c>
    </row>
    <row r="39" spans="1:16" ht="15">
      <c r="A39" s="24">
        <v>30</v>
      </c>
      <c r="B39" s="21" t="s">
        <v>78</v>
      </c>
      <c r="C39" s="22" t="s">
        <v>79</v>
      </c>
      <c r="D39" s="9">
        <v>7</v>
      </c>
      <c r="E39" s="9">
        <v>7</v>
      </c>
      <c r="F39" s="9">
        <v>14</v>
      </c>
      <c r="G39" s="10">
        <v>50</v>
      </c>
      <c r="H39" s="15"/>
      <c r="I39" s="23">
        <f t="shared" si="0"/>
        <v>22</v>
      </c>
      <c r="J39" s="23">
        <v>12</v>
      </c>
      <c r="K39" s="11">
        <v>10</v>
      </c>
      <c r="L39" s="12">
        <v>0.55000000000000004</v>
      </c>
      <c r="N39" s="13">
        <f t="shared" si="1"/>
        <v>36</v>
      </c>
      <c r="O39" s="13">
        <f t="shared" si="2"/>
        <v>19</v>
      </c>
      <c r="P39" s="14">
        <f t="shared" si="3"/>
        <v>52.777777777777779</v>
      </c>
    </row>
    <row r="40" spans="1:16" ht="15">
      <c r="A40" s="24">
        <v>31</v>
      </c>
      <c r="B40" s="21" t="s">
        <v>80</v>
      </c>
      <c r="C40" s="22" t="s">
        <v>81</v>
      </c>
      <c r="D40" s="9">
        <v>9</v>
      </c>
      <c r="E40" s="9">
        <v>5</v>
      </c>
      <c r="F40" s="9">
        <v>14</v>
      </c>
      <c r="G40" s="10">
        <v>64.285714285714292</v>
      </c>
      <c r="H40" s="15"/>
      <c r="I40" s="23">
        <f t="shared" si="0"/>
        <v>22</v>
      </c>
      <c r="J40" s="23">
        <v>11</v>
      </c>
      <c r="K40" s="11">
        <v>11</v>
      </c>
      <c r="L40" s="12">
        <v>0.5</v>
      </c>
      <c r="N40" s="13">
        <f t="shared" si="1"/>
        <v>36</v>
      </c>
      <c r="O40" s="13">
        <f t="shared" si="2"/>
        <v>20</v>
      </c>
      <c r="P40" s="14">
        <f t="shared" si="3"/>
        <v>55.555555555555557</v>
      </c>
    </row>
    <row r="41" spans="1:16" ht="15">
      <c r="A41" s="24">
        <v>32</v>
      </c>
      <c r="B41" s="21" t="s">
        <v>82</v>
      </c>
      <c r="C41" s="22" t="s">
        <v>83</v>
      </c>
      <c r="D41" s="9">
        <v>6</v>
      </c>
      <c r="E41" s="9">
        <v>8</v>
      </c>
      <c r="F41" s="9">
        <v>14</v>
      </c>
      <c r="G41" s="10">
        <v>42.857142857142854</v>
      </c>
      <c r="H41" s="15"/>
      <c r="I41" s="23">
        <f t="shared" si="0"/>
        <v>22</v>
      </c>
      <c r="J41" s="23">
        <v>9</v>
      </c>
      <c r="K41" s="11">
        <v>13</v>
      </c>
      <c r="L41" s="12">
        <v>0.41</v>
      </c>
      <c r="N41" s="13">
        <f t="shared" si="1"/>
        <v>36</v>
      </c>
      <c r="O41" s="13">
        <f t="shared" si="2"/>
        <v>15</v>
      </c>
      <c r="P41" s="14">
        <f t="shared" si="3"/>
        <v>41.666666666666664</v>
      </c>
    </row>
    <row r="42" spans="1:16" ht="15">
      <c r="A42" s="20">
        <v>33</v>
      </c>
      <c r="B42" s="21" t="s">
        <v>84</v>
      </c>
      <c r="C42" s="22" t="s">
        <v>85</v>
      </c>
      <c r="D42" s="9">
        <v>8</v>
      </c>
      <c r="E42" s="9">
        <v>6</v>
      </c>
      <c r="F42" s="9">
        <v>14</v>
      </c>
      <c r="G42" s="10">
        <v>57.142857142857139</v>
      </c>
      <c r="H42" s="15"/>
      <c r="I42" s="23">
        <f t="shared" si="0"/>
        <v>22</v>
      </c>
      <c r="J42" s="23">
        <v>12</v>
      </c>
      <c r="K42" s="11">
        <v>10</v>
      </c>
      <c r="L42" s="12">
        <v>0.55000000000000004</v>
      </c>
      <c r="N42" s="13">
        <f t="shared" si="1"/>
        <v>36</v>
      </c>
      <c r="O42" s="13">
        <f t="shared" si="2"/>
        <v>20</v>
      </c>
      <c r="P42" s="14">
        <f t="shared" si="3"/>
        <v>55.555555555555557</v>
      </c>
    </row>
    <row r="43" spans="1:16" ht="15">
      <c r="A43" s="24">
        <v>34</v>
      </c>
      <c r="B43" s="21" t="s">
        <v>86</v>
      </c>
      <c r="C43" s="22" t="s">
        <v>87</v>
      </c>
      <c r="D43" s="9">
        <v>12</v>
      </c>
      <c r="E43" s="9">
        <v>2</v>
      </c>
      <c r="F43" s="9">
        <v>14</v>
      </c>
      <c r="G43" s="10">
        <v>85.714285714285708</v>
      </c>
      <c r="H43" s="15"/>
      <c r="I43" s="23">
        <f t="shared" si="0"/>
        <v>22</v>
      </c>
      <c r="J43" s="23">
        <v>15</v>
      </c>
      <c r="K43" s="11">
        <v>7</v>
      </c>
      <c r="L43" s="12">
        <v>0.68</v>
      </c>
      <c r="N43" s="13">
        <f t="shared" si="1"/>
        <v>36</v>
      </c>
      <c r="O43" s="13">
        <f t="shared" si="2"/>
        <v>27</v>
      </c>
      <c r="P43" s="14">
        <f t="shared" si="3"/>
        <v>75</v>
      </c>
    </row>
    <row r="44" spans="1:16" ht="15">
      <c r="A44" s="24">
        <v>35</v>
      </c>
      <c r="B44" s="21" t="s">
        <v>88</v>
      </c>
      <c r="C44" s="22" t="s">
        <v>89</v>
      </c>
      <c r="D44" s="9">
        <v>8</v>
      </c>
      <c r="E44" s="9">
        <v>6</v>
      </c>
      <c r="F44" s="9">
        <v>14</v>
      </c>
      <c r="G44" s="10">
        <v>57.142857142857139</v>
      </c>
      <c r="H44" s="15"/>
      <c r="I44" s="23">
        <f t="shared" si="0"/>
        <v>22</v>
      </c>
      <c r="J44" s="23">
        <v>12</v>
      </c>
      <c r="K44" s="11">
        <v>10</v>
      </c>
      <c r="L44" s="12">
        <v>0.55000000000000004</v>
      </c>
      <c r="N44" s="13">
        <f t="shared" si="1"/>
        <v>36</v>
      </c>
      <c r="O44" s="13">
        <f t="shared" si="2"/>
        <v>20</v>
      </c>
      <c r="P44" s="14">
        <f t="shared" si="3"/>
        <v>55.555555555555557</v>
      </c>
    </row>
    <row r="45" spans="1:16" ht="15">
      <c r="A45" s="24">
        <v>36</v>
      </c>
      <c r="B45" s="21" t="s">
        <v>90</v>
      </c>
      <c r="C45" s="22" t="s">
        <v>91</v>
      </c>
      <c r="D45" s="9">
        <v>5</v>
      </c>
      <c r="E45" s="9">
        <v>9</v>
      </c>
      <c r="F45" s="9">
        <v>14</v>
      </c>
      <c r="G45" s="10">
        <v>35.714285714285715</v>
      </c>
      <c r="H45" s="15"/>
      <c r="I45" s="23">
        <f t="shared" si="0"/>
        <v>22</v>
      </c>
      <c r="J45" s="23">
        <v>14</v>
      </c>
      <c r="K45" s="11">
        <v>8</v>
      </c>
      <c r="L45" s="12">
        <v>0.64</v>
      </c>
      <c r="N45" s="13">
        <f t="shared" si="1"/>
        <v>36</v>
      </c>
      <c r="O45" s="13">
        <f t="shared" si="2"/>
        <v>19</v>
      </c>
      <c r="P45" s="14">
        <f t="shared" si="3"/>
        <v>52.777777777777779</v>
      </c>
    </row>
    <row r="46" spans="1:16" ht="15">
      <c r="A46" s="20">
        <v>37</v>
      </c>
      <c r="B46" s="21" t="s">
        <v>92</v>
      </c>
      <c r="C46" s="22" t="s">
        <v>93</v>
      </c>
      <c r="D46" s="9">
        <v>8</v>
      </c>
      <c r="E46" s="9">
        <v>6</v>
      </c>
      <c r="F46" s="9">
        <v>14</v>
      </c>
      <c r="G46" s="10">
        <v>57.142857142857139</v>
      </c>
      <c r="H46" s="15"/>
      <c r="I46" s="23">
        <f t="shared" si="0"/>
        <v>22</v>
      </c>
      <c r="J46" s="23">
        <v>11</v>
      </c>
      <c r="K46" s="11">
        <v>11</v>
      </c>
      <c r="L46" s="12">
        <v>0.5</v>
      </c>
      <c r="N46" s="13">
        <f t="shared" si="1"/>
        <v>36</v>
      </c>
      <c r="O46" s="13">
        <f t="shared" si="2"/>
        <v>19</v>
      </c>
      <c r="P46" s="14">
        <f t="shared" si="3"/>
        <v>52.777777777777779</v>
      </c>
    </row>
    <row r="47" spans="1:16" ht="15">
      <c r="A47" s="24">
        <v>38</v>
      </c>
      <c r="B47" s="21" t="s">
        <v>94</v>
      </c>
      <c r="C47" s="22" t="s">
        <v>95</v>
      </c>
      <c r="D47" s="9">
        <v>10</v>
      </c>
      <c r="E47" s="9">
        <v>4</v>
      </c>
      <c r="F47" s="9">
        <v>14</v>
      </c>
      <c r="G47" s="10">
        <v>71.428571428571431</v>
      </c>
      <c r="H47" s="15"/>
      <c r="I47" s="23">
        <f t="shared" si="0"/>
        <v>22</v>
      </c>
      <c r="J47" s="23">
        <v>14</v>
      </c>
      <c r="K47" s="11">
        <v>8</v>
      </c>
      <c r="L47" s="12">
        <v>0.64</v>
      </c>
      <c r="N47" s="13">
        <f t="shared" si="1"/>
        <v>36</v>
      </c>
      <c r="O47" s="13">
        <f t="shared" si="2"/>
        <v>24</v>
      </c>
      <c r="P47" s="14">
        <f t="shared" si="3"/>
        <v>66.666666666666671</v>
      </c>
    </row>
    <row r="48" spans="1:16" ht="15">
      <c r="A48" s="24">
        <v>39</v>
      </c>
      <c r="B48" s="21" t="s">
        <v>96</v>
      </c>
      <c r="C48" s="22" t="s">
        <v>97</v>
      </c>
      <c r="D48" s="9">
        <v>6</v>
      </c>
      <c r="E48" s="9">
        <v>8</v>
      </c>
      <c r="F48" s="9">
        <v>14</v>
      </c>
      <c r="G48" s="10">
        <v>42.857142857142854</v>
      </c>
      <c r="H48" s="15"/>
      <c r="I48" s="23">
        <f t="shared" si="0"/>
        <v>22</v>
      </c>
      <c r="J48" s="23">
        <v>9</v>
      </c>
      <c r="K48" s="11">
        <v>13</v>
      </c>
      <c r="L48" s="12">
        <v>0.41</v>
      </c>
      <c r="N48" s="13">
        <f t="shared" si="1"/>
        <v>36</v>
      </c>
      <c r="O48" s="13">
        <f t="shared" si="2"/>
        <v>15</v>
      </c>
      <c r="P48" s="14">
        <f t="shared" si="3"/>
        <v>41.666666666666664</v>
      </c>
    </row>
    <row r="49" spans="1:16" ht="15">
      <c r="A49" s="24">
        <v>40</v>
      </c>
      <c r="B49" s="21" t="s">
        <v>98</v>
      </c>
      <c r="C49" s="22" t="s">
        <v>99</v>
      </c>
      <c r="D49" s="9">
        <v>9</v>
      </c>
      <c r="E49" s="9">
        <v>5</v>
      </c>
      <c r="F49" s="9">
        <v>14</v>
      </c>
      <c r="G49" s="10">
        <v>64.285714285714292</v>
      </c>
      <c r="H49" s="15"/>
      <c r="I49" s="23">
        <f t="shared" si="0"/>
        <v>22</v>
      </c>
      <c r="J49" s="23">
        <v>16</v>
      </c>
      <c r="K49" s="11">
        <v>6</v>
      </c>
      <c r="L49" s="12">
        <v>0.73</v>
      </c>
      <c r="N49" s="13">
        <f t="shared" si="1"/>
        <v>36</v>
      </c>
      <c r="O49" s="13">
        <f t="shared" si="2"/>
        <v>25</v>
      </c>
      <c r="P49" s="14">
        <f t="shared" si="3"/>
        <v>69.444444444444443</v>
      </c>
    </row>
    <row r="50" spans="1:16" ht="15">
      <c r="A50" s="20">
        <v>41</v>
      </c>
      <c r="B50" s="21" t="s">
        <v>100</v>
      </c>
      <c r="C50" s="22" t="s">
        <v>101</v>
      </c>
      <c r="D50" s="9">
        <v>9</v>
      </c>
      <c r="E50" s="9">
        <v>5</v>
      </c>
      <c r="F50" s="9">
        <v>14</v>
      </c>
      <c r="G50" s="10">
        <v>64.285714285714292</v>
      </c>
      <c r="H50" s="15"/>
      <c r="I50" s="23">
        <f t="shared" si="0"/>
        <v>22</v>
      </c>
      <c r="J50" s="23">
        <v>15</v>
      </c>
      <c r="K50" s="11">
        <v>7</v>
      </c>
      <c r="L50" s="12">
        <v>0.68</v>
      </c>
      <c r="N50" s="13">
        <f t="shared" si="1"/>
        <v>36</v>
      </c>
      <c r="O50" s="13">
        <f t="shared" si="2"/>
        <v>24</v>
      </c>
      <c r="P50" s="14">
        <f t="shared" si="3"/>
        <v>66.666666666666671</v>
      </c>
    </row>
    <row r="51" spans="1:16" ht="15">
      <c r="A51" s="24">
        <v>42</v>
      </c>
      <c r="B51" s="21" t="s">
        <v>102</v>
      </c>
      <c r="C51" s="22" t="s">
        <v>103</v>
      </c>
      <c r="D51" s="9">
        <v>8</v>
      </c>
      <c r="E51" s="9">
        <v>6</v>
      </c>
      <c r="F51" s="9">
        <v>14</v>
      </c>
      <c r="G51" s="10">
        <v>57.142857142857139</v>
      </c>
      <c r="H51" s="15"/>
      <c r="I51" s="23">
        <f t="shared" si="0"/>
        <v>22</v>
      </c>
      <c r="J51" s="23">
        <v>10</v>
      </c>
      <c r="K51" s="11">
        <v>12</v>
      </c>
      <c r="L51" s="12">
        <v>0.45</v>
      </c>
      <c r="N51" s="13">
        <f t="shared" si="1"/>
        <v>36</v>
      </c>
      <c r="O51" s="13">
        <f t="shared" si="2"/>
        <v>18</v>
      </c>
      <c r="P51" s="14">
        <f t="shared" si="3"/>
        <v>50</v>
      </c>
    </row>
    <row r="52" spans="1:16" ht="15">
      <c r="A52" s="24">
        <v>43</v>
      </c>
      <c r="B52" s="21" t="s">
        <v>104</v>
      </c>
      <c r="C52" s="22" t="s">
        <v>105</v>
      </c>
      <c r="D52" s="9">
        <v>10</v>
      </c>
      <c r="E52" s="9">
        <v>4</v>
      </c>
      <c r="F52" s="9">
        <v>14</v>
      </c>
      <c r="G52" s="10">
        <v>71.428571428571431</v>
      </c>
      <c r="H52" s="15"/>
      <c r="I52" s="23">
        <f t="shared" si="0"/>
        <v>22</v>
      </c>
      <c r="J52" s="23">
        <v>15</v>
      </c>
      <c r="K52" s="11">
        <v>7</v>
      </c>
      <c r="L52" s="12">
        <v>0.68</v>
      </c>
      <c r="N52" s="13">
        <f t="shared" si="1"/>
        <v>36</v>
      </c>
      <c r="O52" s="13">
        <f t="shared" si="2"/>
        <v>25</v>
      </c>
      <c r="P52" s="14">
        <f t="shared" si="3"/>
        <v>69.444444444444443</v>
      </c>
    </row>
    <row r="53" spans="1:16" ht="15">
      <c r="A53" s="24">
        <v>44</v>
      </c>
      <c r="B53" s="21" t="s">
        <v>106</v>
      </c>
      <c r="C53" s="22" t="s">
        <v>107</v>
      </c>
      <c r="D53" s="9">
        <v>8</v>
      </c>
      <c r="E53" s="9">
        <v>6</v>
      </c>
      <c r="F53" s="9">
        <v>14</v>
      </c>
      <c r="G53" s="10">
        <v>57.142857142857139</v>
      </c>
      <c r="H53" s="15"/>
      <c r="I53" s="23">
        <f t="shared" si="0"/>
        <v>22</v>
      </c>
      <c r="J53" s="23">
        <v>16</v>
      </c>
      <c r="K53" s="11">
        <v>6</v>
      </c>
      <c r="L53" s="12">
        <v>0.73</v>
      </c>
      <c r="N53" s="13">
        <f t="shared" si="1"/>
        <v>36</v>
      </c>
      <c r="O53" s="13">
        <f t="shared" si="2"/>
        <v>24</v>
      </c>
      <c r="P53" s="14">
        <f t="shared" si="3"/>
        <v>66.666666666666671</v>
      </c>
    </row>
    <row r="54" spans="1:16" ht="15">
      <c r="A54" s="20">
        <v>45</v>
      </c>
      <c r="B54" s="21" t="s">
        <v>108</v>
      </c>
      <c r="C54" s="22" t="s">
        <v>109</v>
      </c>
      <c r="D54" s="9">
        <v>4</v>
      </c>
      <c r="E54" s="9">
        <v>10</v>
      </c>
      <c r="F54" s="9">
        <v>14</v>
      </c>
      <c r="G54" s="10">
        <v>28.571428571428569</v>
      </c>
      <c r="H54" s="15"/>
      <c r="I54" s="23">
        <f t="shared" si="0"/>
        <v>22</v>
      </c>
      <c r="J54" s="23">
        <v>13</v>
      </c>
      <c r="K54" s="11">
        <v>9</v>
      </c>
      <c r="L54" s="12">
        <v>0.59</v>
      </c>
      <c r="N54" s="13">
        <f t="shared" si="1"/>
        <v>36</v>
      </c>
      <c r="O54" s="13">
        <f t="shared" si="2"/>
        <v>17</v>
      </c>
      <c r="P54" s="14">
        <f t="shared" si="3"/>
        <v>47.222222222222221</v>
      </c>
    </row>
    <row r="55" spans="1:16" ht="15">
      <c r="A55" s="24">
        <v>46</v>
      </c>
      <c r="B55" s="21" t="s">
        <v>110</v>
      </c>
      <c r="C55" s="22" t="s">
        <v>111</v>
      </c>
      <c r="D55" s="9">
        <v>7</v>
      </c>
      <c r="E55" s="9">
        <v>7</v>
      </c>
      <c r="F55" s="9">
        <v>14</v>
      </c>
      <c r="G55" s="10">
        <v>50</v>
      </c>
      <c r="H55" s="15"/>
      <c r="I55" s="23">
        <f t="shared" si="0"/>
        <v>22</v>
      </c>
      <c r="J55" s="23">
        <v>11</v>
      </c>
      <c r="K55" s="11">
        <v>11</v>
      </c>
      <c r="L55" s="12">
        <v>0.5</v>
      </c>
      <c r="N55" s="13">
        <f t="shared" si="1"/>
        <v>36</v>
      </c>
      <c r="O55" s="13">
        <f t="shared" si="2"/>
        <v>18</v>
      </c>
      <c r="P55" s="14">
        <f t="shared" si="3"/>
        <v>50</v>
      </c>
    </row>
    <row r="56" spans="1:16" ht="15">
      <c r="A56" s="24">
        <v>47</v>
      </c>
      <c r="B56" s="21" t="s">
        <v>112</v>
      </c>
      <c r="C56" s="22" t="s">
        <v>113</v>
      </c>
      <c r="D56" s="9">
        <v>12</v>
      </c>
      <c r="E56" s="9">
        <v>2</v>
      </c>
      <c r="F56" s="9">
        <v>14</v>
      </c>
      <c r="G56" s="10">
        <v>85.714285714285708</v>
      </c>
      <c r="H56" s="15"/>
      <c r="I56" s="23">
        <f t="shared" si="0"/>
        <v>22</v>
      </c>
      <c r="J56" s="23">
        <v>15</v>
      </c>
      <c r="K56" s="11">
        <v>7</v>
      </c>
      <c r="L56" s="12">
        <v>0.68</v>
      </c>
      <c r="N56" s="13">
        <f t="shared" si="1"/>
        <v>36</v>
      </c>
      <c r="O56" s="13">
        <f t="shared" si="2"/>
        <v>27</v>
      </c>
      <c r="P56" s="14">
        <f t="shared" si="3"/>
        <v>75</v>
      </c>
    </row>
    <row r="57" spans="1:16" ht="15">
      <c r="A57" s="24">
        <v>48</v>
      </c>
      <c r="B57" s="21" t="s">
        <v>114</v>
      </c>
      <c r="C57" s="22" t="s">
        <v>115</v>
      </c>
      <c r="D57" s="9">
        <v>7</v>
      </c>
      <c r="E57" s="9">
        <v>7</v>
      </c>
      <c r="F57" s="9">
        <v>14</v>
      </c>
      <c r="G57" s="10">
        <v>50</v>
      </c>
      <c r="H57" s="15"/>
      <c r="I57" s="23">
        <f t="shared" si="0"/>
        <v>22</v>
      </c>
      <c r="J57" s="23">
        <v>13</v>
      </c>
      <c r="K57" s="11">
        <v>9</v>
      </c>
      <c r="L57" s="12">
        <v>0.59</v>
      </c>
      <c r="N57" s="13">
        <f t="shared" si="1"/>
        <v>36</v>
      </c>
      <c r="O57" s="13">
        <f t="shared" si="2"/>
        <v>20</v>
      </c>
      <c r="P57" s="14">
        <f t="shared" si="3"/>
        <v>55.555555555555557</v>
      </c>
    </row>
    <row r="58" spans="1:16" ht="15">
      <c r="A58" s="20">
        <v>49</v>
      </c>
      <c r="B58" s="21" t="s">
        <v>116</v>
      </c>
      <c r="C58" s="22" t="s">
        <v>117</v>
      </c>
      <c r="D58" s="9">
        <v>9</v>
      </c>
      <c r="E58" s="9">
        <v>5</v>
      </c>
      <c r="F58" s="9">
        <v>14</v>
      </c>
      <c r="G58" s="10">
        <v>64.285714285714292</v>
      </c>
      <c r="H58" s="15"/>
      <c r="I58" s="23">
        <f t="shared" si="0"/>
        <v>22</v>
      </c>
      <c r="J58" s="23">
        <v>17</v>
      </c>
      <c r="K58" s="11">
        <v>5</v>
      </c>
      <c r="L58" s="12">
        <v>0.77</v>
      </c>
      <c r="N58" s="13">
        <f t="shared" si="1"/>
        <v>36</v>
      </c>
      <c r="O58" s="13">
        <f t="shared" si="2"/>
        <v>26</v>
      </c>
      <c r="P58" s="14">
        <f t="shared" si="3"/>
        <v>72.222222222222229</v>
      </c>
    </row>
    <row r="59" spans="1:16" ht="15">
      <c r="A59" s="24">
        <v>50</v>
      </c>
      <c r="B59" s="21" t="s">
        <v>118</v>
      </c>
      <c r="C59" s="22" t="s">
        <v>119</v>
      </c>
      <c r="D59" s="9">
        <v>9</v>
      </c>
      <c r="E59" s="9">
        <v>5</v>
      </c>
      <c r="F59" s="9">
        <v>14</v>
      </c>
      <c r="G59" s="10">
        <v>64.285714285714292</v>
      </c>
      <c r="H59" s="15"/>
      <c r="I59" s="23">
        <f t="shared" si="0"/>
        <v>22</v>
      </c>
      <c r="J59" s="23">
        <v>13</v>
      </c>
      <c r="K59" s="11">
        <v>9</v>
      </c>
      <c r="L59" s="12">
        <v>0.59</v>
      </c>
      <c r="N59" s="13">
        <f t="shared" si="1"/>
        <v>36</v>
      </c>
      <c r="O59" s="13">
        <f t="shared" si="2"/>
        <v>22</v>
      </c>
      <c r="P59" s="14">
        <f t="shared" si="3"/>
        <v>61.111111111111114</v>
      </c>
    </row>
    <row r="60" spans="1:16" ht="15">
      <c r="A60" s="24">
        <v>51</v>
      </c>
      <c r="B60" s="21" t="s">
        <v>120</v>
      </c>
      <c r="C60" s="22" t="s">
        <v>121</v>
      </c>
      <c r="D60" s="9">
        <v>7</v>
      </c>
      <c r="E60" s="9">
        <v>7</v>
      </c>
      <c r="F60" s="9">
        <v>14</v>
      </c>
      <c r="G60" s="10">
        <v>50</v>
      </c>
      <c r="H60" s="15"/>
      <c r="I60" s="23">
        <f t="shared" si="0"/>
        <v>22</v>
      </c>
      <c r="J60" s="23">
        <v>14</v>
      </c>
      <c r="K60" s="11">
        <v>8</v>
      </c>
      <c r="L60" s="12">
        <v>0.64</v>
      </c>
      <c r="N60" s="13">
        <f t="shared" si="1"/>
        <v>36</v>
      </c>
      <c r="O60" s="13">
        <f t="shared" si="2"/>
        <v>21</v>
      </c>
      <c r="P60" s="14">
        <f t="shared" si="3"/>
        <v>58.333333333333336</v>
      </c>
    </row>
    <row r="61" spans="1:16" ht="15">
      <c r="A61" s="24">
        <v>52</v>
      </c>
      <c r="B61" s="21" t="s">
        <v>122</v>
      </c>
      <c r="C61" s="22" t="s">
        <v>123</v>
      </c>
      <c r="D61" s="9">
        <v>10</v>
      </c>
      <c r="E61" s="9">
        <v>4</v>
      </c>
      <c r="F61" s="9">
        <v>14</v>
      </c>
      <c r="G61" s="10">
        <v>71.428571428571431</v>
      </c>
      <c r="H61" s="15"/>
      <c r="I61" s="23">
        <f t="shared" si="0"/>
        <v>22</v>
      </c>
      <c r="J61" s="23">
        <v>11</v>
      </c>
      <c r="K61" s="11">
        <v>11</v>
      </c>
      <c r="L61" s="12">
        <v>0.5</v>
      </c>
      <c r="N61" s="13">
        <f t="shared" si="1"/>
        <v>36</v>
      </c>
      <c r="O61" s="13">
        <f t="shared" si="2"/>
        <v>21</v>
      </c>
      <c r="P61" s="14">
        <f t="shared" si="3"/>
        <v>58.333333333333336</v>
      </c>
    </row>
    <row r="62" spans="1:16" ht="15">
      <c r="A62" s="20">
        <v>53</v>
      </c>
      <c r="B62" s="21" t="s">
        <v>124</v>
      </c>
      <c r="C62" s="22" t="s">
        <v>125</v>
      </c>
      <c r="D62" s="9">
        <v>5</v>
      </c>
      <c r="E62" s="9">
        <v>9</v>
      </c>
      <c r="F62" s="9">
        <v>14</v>
      </c>
      <c r="G62" s="10">
        <v>35.714285714285715</v>
      </c>
      <c r="H62" s="15"/>
      <c r="I62" s="23">
        <f t="shared" si="0"/>
        <v>22</v>
      </c>
      <c r="J62" s="23">
        <v>11</v>
      </c>
      <c r="K62" s="11">
        <v>11</v>
      </c>
      <c r="L62" s="12">
        <v>0.5</v>
      </c>
      <c r="N62" s="13">
        <f t="shared" si="1"/>
        <v>36</v>
      </c>
      <c r="O62" s="13">
        <f t="shared" si="2"/>
        <v>16</v>
      </c>
      <c r="P62" s="14">
        <f t="shared" si="3"/>
        <v>44.444444444444443</v>
      </c>
    </row>
    <row r="63" spans="1:16" ht="15">
      <c r="A63" s="24">
        <v>54</v>
      </c>
      <c r="B63" s="21" t="s">
        <v>126</v>
      </c>
      <c r="C63" s="22" t="s">
        <v>127</v>
      </c>
      <c r="D63" s="9">
        <v>10</v>
      </c>
      <c r="E63" s="9">
        <v>4</v>
      </c>
      <c r="F63" s="9">
        <v>14</v>
      </c>
      <c r="G63" s="10">
        <v>71.428571428571431</v>
      </c>
      <c r="H63" s="15"/>
      <c r="I63" s="23">
        <f t="shared" si="0"/>
        <v>22</v>
      </c>
      <c r="J63" s="23">
        <v>13</v>
      </c>
      <c r="K63" s="11">
        <v>9</v>
      </c>
      <c r="L63" s="12">
        <v>0.59</v>
      </c>
      <c r="N63" s="13">
        <f t="shared" si="1"/>
        <v>36</v>
      </c>
      <c r="O63" s="13">
        <f t="shared" si="2"/>
        <v>23</v>
      </c>
      <c r="P63" s="14">
        <f t="shared" si="3"/>
        <v>63.888888888888886</v>
      </c>
    </row>
    <row r="64" spans="1:16" ht="15">
      <c r="A64" s="24">
        <v>55</v>
      </c>
      <c r="B64" s="21" t="s">
        <v>128</v>
      </c>
      <c r="C64" s="22" t="s">
        <v>129</v>
      </c>
      <c r="D64" s="9">
        <v>7</v>
      </c>
      <c r="E64" s="9">
        <v>7</v>
      </c>
      <c r="F64" s="9">
        <v>14</v>
      </c>
      <c r="G64" s="10">
        <v>50</v>
      </c>
      <c r="H64" s="15"/>
      <c r="I64" s="23">
        <f t="shared" si="0"/>
        <v>22</v>
      </c>
      <c r="J64" s="23">
        <v>12</v>
      </c>
      <c r="K64" s="11">
        <v>10</v>
      </c>
      <c r="L64" s="12">
        <v>0.55000000000000004</v>
      </c>
      <c r="N64" s="13">
        <f t="shared" si="1"/>
        <v>36</v>
      </c>
      <c r="O64" s="13">
        <f t="shared" si="2"/>
        <v>19</v>
      </c>
      <c r="P64" s="14">
        <f t="shared" si="3"/>
        <v>52.777777777777779</v>
      </c>
    </row>
    <row r="65" spans="1:16" ht="15">
      <c r="A65" s="24">
        <v>56</v>
      </c>
      <c r="B65" s="21" t="s">
        <v>130</v>
      </c>
      <c r="C65" s="22" t="s">
        <v>131</v>
      </c>
      <c r="D65" s="9">
        <v>2</v>
      </c>
      <c r="E65" s="9">
        <v>12</v>
      </c>
      <c r="F65" s="9">
        <v>14</v>
      </c>
      <c r="G65" s="10">
        <v>14.285714285714285</v>
      </c>
      <c r="H65" s="15"/>
      <c r="I65" s="23">
        <f t="shared" si="0"/>
        <v>22</v>
      </c>
      <c r="J65" s="23">
        <v>10</v>
      </c>
      <c r="K65" s="11">
        <v>12</v>
      </c>
      <c r="L65" s="12">
        <v>0.45</v>
      </c>
      <c r="N65" s="13">
        <f t="shared" si="1"/>
        <v>36</v>
      </c>
      <c r="O65" s="13">
        <f t="shared" si="2"/>
        <v>12</v>
      </c>
      <c r="P65" s="14">
        <f t="shared" si="3"/>
        <v>33.333333333333336</v>
      </c>
    </row>
    <row r="66" spans="1:16" ht="15">
      <c r="A66" s="20">
        <v>57</v>
      </c>
      <c r="B66" s="21" t="s">
        <v>132</v>
      </c>
      <c r="C66" s="22" t="s">
        <v>133</v>
      </c>
      <c r="D66" s="9">
        <v>6</v>
      </c>
      <c r="E66" s="9">
        <v>8</v>
      </c>
      <c r="F66" s="9">
        <v>14</v>
      </c>
      <c r="G66" s="10">
        <v>42.857142857142854</v>
      </c>
      <c r="H66" s="15"/>
      <c r="I66" s="23">
        <f t="shared" si="0"/>
        <v>22</v>
      </c>
      <c r="J66" s="23">
        <v>16</v>
      </c>
      <c r="K66" s="11">
        <v>6</v>
      </c>
      <c r="L66" s="12">
        <v>0.73</v>
      </c>
      <c r="N66" s="13">
        <f t="shared" si="1"/>
        <v>36</v>
      </c>
      <c r="O66" s="13">
        <f t="shared" si="2"/>
        <v>22</v>
      </c>
      <c r="P66" s="14">
        <f t="shared" si="3"/>
        <v>61.111111111111114</v>
      </c>
    </row>
    <row r="67" spans="1:16" ht="15">
      <c r="A67" s="24">
        <v>58</v>
      </c>
      <c r="B67" s="21" t="s">
        <v>134</v>
      </c>
      <c r="C67" s="22" t="s">
        <v>135</v>
      </c>
      <c r="D67" s="9">
        <v>9</v>
      </c>
      <c r="E67" s="9">
        <v>5</v>
      </c>
      <c r="F67" s="9">
        <v>14</v>
      </c>
      <c r="G67" s="10">
        <v>64.285714285714292</v>
      </c>
      <c r="H67" s="15"/>
      <c r="I67" s="23">
        <f t="shared" si="0"/>
        <v>22</v>
      </c>
      <c r="J67" s="23">
        <v>13</v>
      </c>
      <c r="K67" s="11">
        <v>9</v>
      </c>
      <c r="L67" s="12">
        <v>0.59</v>
      </c>
      <c r="N67" s="13">
        <f t="shared" si="1"/>
        <v>36</v>
      </c>
      <c r="O67" s="13">
        <f t="shared" si="2"/>
        <v>22</v>
      </c>
      <c r="P67" s="14">
        <f t="shared" si="3"/>
        <v>61.111111111111114</v>
      </c>
    </row>
    <row r="68" spans="1:16" ht="15">
      <c r="A68" s="24">
        <v>59</v>
      </c>
      <c r="B68" s="21" t="s">
        <v>136</v>
      </c>
      <c r="C68" s="22" t="s">
        <v>137</v>
      </c>
      <c r="D68" s="9">
        <v>7</v>
      </c>
      <c r="E68" s="9">
        <v>7</v>
      </c>
      <c r="F68" s="9">
        <v>14</v>
      </c>
      <c r="G68" s="10">
        <v>50</v>
      </c>
      <c r="H68" s="15"/>
      <c r="I68" s="23">
        <f t="shared" si="0"/>
        <v>22</v>
      </c>
      <c r="J68" s="23">
        <v>14</v>
      </c>
      <c r="K68" s="11">
        <v>8</v>
      </c>
      <c r="L68" s="12">
        <v>0.64</v>
      </c>
      <c r="N68" s="13">
        <f t="shared" si="1"/>
        <v>36</v>
      </c>
      <c r="O68" s="13">
        <f t="shared" si="2"/>
        <v>21</v>
      </c>
      <c r="P68" s="14">
        <f t="shared" si="3"/>
        <v>58.333333333333336</v>
      </c>
    </row>
    <row r="69" spans="1:16" ht="15">
      <c r="A69" s="24">
        <v>60</v>
      </c>
      <c r="B69" s="21" t="s">
        <v>138</v>
      </c>
      <c r="C69" s="22" t="s">
        <v>139</v>
      </c>
      <c r="D69" s="9">
        <v>9</v>
      </c>
      <c r="E69" s="9">
        <v>5</v>
      </c>
      <c r="F69" s="9">
        <v>14</v>
      </c>
      <c r="G69" s="10">
        <v>64.285714285714292</v>
      </c>
      <c r="H69" s="15"/>
      <c r="I69" s="23">
        <f t="shared" si="0"/>
        <v>22</v>
      </c>
      <c r="J69" s="23">
        <v>9</v>
      </c>
      <c r="K69" s="11">
        <v>13</v>
      </c>
      <c r="L69" s="12">
        <v>0.41</v>
      </c>
      <c r="N69" s="13">
        <f t="shared" si="1"/>
        <v>36</v>
      </c>
      <c r="O69" s="13">
        <f t="shared" si="2"/>
        <v>18</v>
      </c>
      <c r="P69" s="14">
        <f t="shared" si="3"/>
        <v>50</v>
      </c>
    </row>
    <row r="70" spans="1:16" ht="15">
      <c r="A70" s="20">
        <v>61</v>
      </c>
      <c r="B70" s="21" t="s">
        <v>140</v>
      </c>
      <c r="C70" s="22" t="s">
        <v>141</v>
      </c>
      <c r="D70" s="9">
        <v>11</v>
      </c>
      <c r="E70" s="9">
        <v>3</v>
      </c>
      <c r="F70" s="9">
        <v>14</v>
      </c>
      <c r="G70" s="10">
        <v>78.571428571428569</v>
      </c>
      <c r="H70" s="15"/>
      <c r="I70" s="23">
        <f t="shared" si="0"/>
        <v>22</v>
      </c>
      <c r="J70" s="23">
        <v>16</v>
      </c>
      <c r="K70" s="11">
        <v>6</v>
      </c>
      <c r="L70" s="12">
        <v>0.73</v>
      </c>
      <c r="N70" s="13">
        <f t="shared" si="1"/>
        <v>36</v>
      </c>
      <c r="O70" s="13">
        <f t="shared" si="2"/>
        <v>27</v>
      </c>
      <c r="P70" s="14">
        <f t="shared" si="3"/>
        <v>75</v>
      </c>
    </row>
    <row r="71" spans="1:16" ht="15">
      <c r="A71" s="24">
        <v>62</v>
      </c>
      <c r="B71" s="21" t="s">
        <v>142</v>
      </c>
      <c r="C71" s="22" t="s">
        <v>143</v>
      </c>
      <c r="D71" s="9">
        <v>8</v>
      </c>
      <c r="E71" s="9">
        <v>6</v>
      </c>
      <c r="F71" s="9">
        <v>14</v>
      </c>
      <c r="G71" s="10">
        <v>57.142857142857139</v>
      </c>
      <c r="H71" s="15"/>
      <c r="I71" s="23">
        <f t="shared" si="0"/>
        <v>22</v>
      </c>
      <c r="J71" s="23">
        <v>13</v>
      </c>
      <c r="K71" s="11">
        <v>9</v>
      </c>
      <c r="L71" s="12">
        <v>0.59</v>
      </c>
      <c r="N71" s="13">
        <f t="shared" si="1"/>
        <v>36</v>
      </c>
      <c r="O71" s="13">
        <f t="shared" si="2"/>
        <v>21</v>
      </c>
      <c r="P71" s="14">
        <f t="shared" si="3"/>
        <v>58.333333333333336</v>
      </c>
    </row>
    <row r="72" spans="1:16" ht="15">
      <c r="A72" s="24">
        <v>63</v>
      </c>
      <c r="B72" s="21" t="s">
        <v>144</v>
      </c>
      <c r="C72" s="22" t="s">
        <v>145</v>
      </c>
      <c r="D72" s="9">
        <v>10</v>
      </c>
      <c r="E72" s="9">
        <v>4</v>
      </c>
      <c r="F72" s="9">
        <v>14</v>
      </c>
      <c r="G72" s="10">
        <v>71.428571428571431</v>
      </c>
      <c r="H72" s="15"/>
      <c r="I72" s="23">
        <f t="shared" si="0"/>
        <v>22</v>
      </c>
      <c r="J72" s="23">
        <v>14</v>
      </c>
      <c r="K72" s="11">
        <v>8</v>
      </c>
      <c r="L72" s="12">
        <v>0.64</v>
      </c>
      <c r="N72" s="13">
        <f t="shared" si="1"/>
        <v>36</v>
      </c>
      <c r="O72" s="13">
        <f t="shared" si="2"/>
        <v>24</v>
      </c>
      <c r="P72" s="14">
        <f t="shared" si="3"/>
        <v>66.666666666666671</v>
      </c>
    </row>
    <row r="73" spans="1:16" ht="15">
      <c r="A73" s="24">
        <v>64</v>
      </c>
      <c r="B73" s="21" t="s">
        <v>146</v>
      </c>
      <c r="C73" s="22" t="s">
        <v>147</v>
      </c>
      <c r="D73" s="9">
        <v>6</v>
      </c>
      <c r="E73" s="9">
        <v>8</v>
      </c>
      <c r="F73" s="9">
        <v>14</v>
      </c>
      <c r="G73" s="10">
        <v>42.857142857142854</v>
      </c>
      <c r="H73" s="15"/>
      <c r="I73" s="23">
        <f t="shared" si="0"/>
        <v>22</v>
      </c>
      <c r="J73" s="23">
        <v>13</v>
      </c>
      <c r="K73" s="11">
        <v>9</v>
      </c>
      <c r="L73" s="12">
        <v>0.59</v>
      </c>
      <c r="N73" s="13">
        <f t="shared" si="1"/>
        <v>36</v>
      </c>
      <c r="O73" s="13">
        <f t="shared" si="2"/>
        <v>19</v>
      </c>
      <c r="P73" s="14">
        <f t="shared" si="3"/>
        <v>52.777777777777779</v>
      </c>
    </row>
    <row r="74" spans="1:16" ht="15">
      <c r="A74" s="20">
        <v>65</v>
      </c>
      <c r="B74" s="21" t="s">
        <v>148</v>
      </c>
      <c r="C74" s="22" t="s">
        <v>149</v>
      </c>
      <c r="D74" s="9">
        <v>8</v>
      </c>
      <c r="E74" s="9">
        <v>6</v>
      </c>
      <c r="F74" s="9">
        <v>14</v>
      </c>
      <c r="G74" s="10">
        <v>57.142857142857139</v>
      </c>
      <c r="H74" s="15"/>
      <c r="I74" s="23">
        <f t="shared" si="0"/>
        <v>22</v>
      </c>
      <c r="J74" s="23">
        <v>13</v>
      </c>
      <c r="K74" s="11">
        <v>9</v>
      </c>
      <c r="L74" s="12">
        <v>0.59</v>
      </c>
      <c r="N74" s="13">
        <f t="shared" si="1"/>
        <v>36</v>
      </c>
      <c r="O74" s="13">
        <f t="shared" si="2"/>
        <v>21</v>
      </c>
      <c r="P74" s="14">
        <f t="shared" si="3"/>
        <v>58.333333333333336</v>
      </c>
    </row>
    <row r="75" spans="1:16" ht="15">
      <c r="A75" s="24">
        <v>66</v>
      </c>
      <c r="B75" s="21" t="s">
        <v>150</v>
      </c>
      <c r="C75" s="22" t="s">
        <v>151</v>
      </c>
      <c r="D75" s="9">
        <v>8</v>
      </c>
      <c r="E75" s="9">
        <v>6</v>
      </c>
      <c r="F75" s="9">
        <v>14</v>
      </c>
      <c r="G75" s="10">
        <v>57.142857142857139</v>
      </c>
      <c r="H75" s="15"/>
      <c r="I75" s="23">
        <f t="shared" si="0"/>
        <v>22</v>
      </c>
      <c r="J75" s="23">
        <v>16</v>
      </c>
      <c r="K75" s="11">
        <v>6</v>
      </c>
      <c r="L75" s="12">
        <v>0.73</v>
      </c>
      <c r="N75" s="13">
        <f t="shared" si="1"/>
        <v>36</v>
      </c>
      <c r="O75" s="13">
        <f t="shared" si="2"/>
        <v>24</v>
      </c>
      <c r="P75" s="14">
        <f t="shared" si="3"/>
        <v>66.666666666666671</v>
      </c>
    </row>
    <row r="76" spans="1:16" ht="15">
      <c r="A76" s="24">
        <v>67</v>
      </c>
      <c r="B76" s="21" t="s">
        <v>152</v>
      </c>
      <c r="C76" s="22" t="s">
        <v>153</v>
      </c>
      <c r="D76" s="9">
        <v>6</v>
      </c>
      <c r="E76" s="9">
        <v>8</v>
      </c>
      <c r="F76" s="9">
        <v>14</v>
      </c>
      <c r="G76" s="10">
        <v>42.857142857142854</v>
      </c>
      <c r="H76" s="15"/>
      <c r="I76" s="23">
        <f t="shared" si="0"/>
        <v>22</v>
      </c>
      <c r="J76" s="23">
        <v>12</v>
      </c>
      <c r="K76" s="11">
        <v>10</v>
      </c>
      <c r="L76" s="12">
        <v>0.55000000000000004</v>
      </c>
      <c r="N76" s="13">
        <f t="shared" si="1"/>
        <v>36</v>
      </c>
      <c r="O76" s="13">
        <f t="shared" si="2"/>
        <v>18</v>
      </c>
      <c r="P76" s="14">
        <f t="shared" si="3"/>
        <v>50</v>
      </c>
    </row>
    <row r="77" spans="1:16" ht="15">
      <c r="A77" s="24">
        <v>68</v>
      </c>
      <c r="B77" s="21" t="s">
        <v>154</v>
      </c>
      <c r="C77" s="22" t="s">
        <v>155</v>
      </c>
      <c r="D77" s="9">
        <v>7</v>
      </c>
      <c r="E77" s="9">
        <v>7</v>
      </c>
      <c r="F77" s="9">
        <v>14</v>
      </c>
      <c r="G77" s="10">
        <v>50</v>
      </c>
      <c r="H77" s="15"/>
      <c r="I77" s="23">
        <f t="shared" si="0"/>
        <v>22</v>
      </c>
      <c r="J77" s="23">
        <v>17</v>
      </c>
      <c r="K77" s="11">
        <v>5</v>
      </c>
      <c r="L77" s="12">
        <v>0.77</v>
      </c>
      <c r="N77" s="13">
        <f t="shared" si="1"/>
        <v>36</v>
      </c>
      <c r="O77" s="13">
        <f t="shared" si="2"/>
        <v>24</v>
      </c>
      <c r="P77" s="14">
        <f t="shared" si="3"/>
        <v>66.666666666666671</v>
      </c>
    </row>
    <row r="78" spans="1:16" ht="15">
      <c r="A78" s="20">
        <v>69</v>
      </c>
      <c r="B78" s="21" t="s">
        <v>156</v>
      </c>
      <c r="C78" s="22" t="s">
        <v>157</v>
      </c>
      <c r="D78" s="9">
        <v>10</v>
      </c>
      <c r="E78" s="9">
        <v>4</v>
      </c>
      <c r="F78" s="9">
        <v>14</v>
      </c>
      <c r="G78" s="10">
        <v>71.428571428571431</v>
      </c>
      <c r="H78" s="15"/>
      <c r="I78" s="23">
        <f t="shared" si="0"/>
        <v>22</v>
      </c>
      <c r="J78" s="23">
        <v>14</v>
      </c>
      <c r="K78" s="11">
        <v>8</v>
      </c>
      <c r="L78" s="12">
        <v>0.64</v>
      </c>
      <c r="N78" s="13">
        <f t="shared" si="1"/>
        <v>36</v>
      </c>
      <c r="O78" s="13">
        <f t="shared" si="2"/>
        <v>24</v>
      </c>
      <c r="P78" s="14">
        <f t="shared" si="3"/>
        <v>66.666666666666671</v>
      </c>
    </row>
    <row r="79" spans="1:16" ht="15">
      <c r="A79" s="24">
        <v>70</v>
      </c>
      <c r="B79" s="21" t="s">
        <v>158</v>
      </c>
      <c r="C79" s="22" t="s">
        <v>159</v>
      </c>
      <c r="D79" s="9">
        <v>7</v>
      </c>
      <c r="E79" s="9">
        <v>7</v>
      </c>
      <c r="F79" s="9">
        <v>14</v>
      </c>
      <c r="G79" s="10">
        <v>50</v>
      </c>
      <c r="H79" s="25"/>
      <c r="I79" s="23">
        <f t="shared" si="0"/>
        <v>22</v>
      </c>
      <c r="J79" s="26">
        <v>13</v>
      </c>
      <c r="K79" s="16">
        <v>9</v>
      </c>
      <c r="L79" s="17">
        <v>0.59</v>
      </c>
      <c r="N79" s="13">
        <f t="shared" si="1"/>
        <v>36</v>
      </c>
      <c r="O79" s="13">
        <f t="shared" si="2"/>
        <v>20</v>
      </c>
      <c r="P79" s="14">
        <f t="shared" si="3"/>
        <v>55.555555555555557</v>
      </c>
    </row>
    <row r="80" spans="1:16" ht="15">
      <c r="A80" s="24">
        <v>71</v>
      </c>
      <c r="B80" s="21" t="s">
        <v>160</v>
      </c>
      <c r="C80" s="22" t="s">
        <v>161</v>
      </c>
      <c r="D80" s="9">
        <v>8</v>
      </c>
      <c r="E80" s="9">
        <v>6</v>
      </c>
      <c r="F80" s="9">
        <v>14</v>
      </c>
      <c r="G80" s="10">
        <v>57.142857142857139</v>
      </c>
      <c r="H80" s="25"/>
      <c r="I80" s="23">
        <f t="shared" si="0"/>
        <v>22</v>
      </c>
      <c r="J80" s="26">
        <v>17</v>
      </c>
      <c r="K80" s="16">
        <v>5</v>
      </c>
      <c r="L80" s="17">
        <v>0.77</v>
      </c>
      <c r="N80" s="13">
        <f t="shared" si="1"/>
        <v>36</v>
      </c>
      <c r="O80" s="13">
        <f t="shared" si="2"/>
        <v>25</v>
      </c>
      <c r="P80" s="14">
        <f t="shared" si="3"/>
        <v>69.444444444444443</v>
      </c>
    </row>
    <row r="81" spans="1:17" ht="15">
      <c r="A81" s="24">
        <v>72</v>
      </c>
      <c r="B81" s="21" t="s">
        <v>162</v>
      </c>
      <c r="C81" s="22" t="s">
        <v>163</v>
      </c>
      <c r="D81" s="9">
        <v>11</v>
      </c>
      <c r="E81" s="9">
        <v>3</v>
      </c>
      <c r="F81" s="9">
        <v>14</v>
      </c>
      <c r="G81" s="10">
        <v>78.571428571428569</v>
      </c>
      <c r="H81" s="25"/>
      <c r="I81" s="23">
        <f t="shared" si="0"/>
        <v>22</v>
      </c>
      <c r="J81" s="26">
        <v>17</v>
      </c>
      <c r="K81" s="16">
        <v>5</v>
      </c>
      <c r="L81" s="17">
        <v>0.77</v>
      </c>
      <c r="N81" s="13">
        <f t="shared" si="1"/>
        <v>36</v>
      </c>
      <c r="O81" s="13">
        <f t="shared" si="2"/>
        <v>28</v>
      </c>
      <c r="P81" s="14">
        <f t="shared" si="3"/>
        <v>77.777777777777771</v>
      </c>
    </row>
    <row r="82" spans="1:17" ht="15">
      <c r="A82" s="20">
        <v>73</v>
      </c>
      <c r="B82" s="21" t="s">
        <v>164</v>
      </c>
      <c r="C82" s="22" t="s">
        <v>165</v>
      </c>
      <c r="D82" s="9">
        <v>11</v>
      </c>
      <c r="E82" s="9">
        <v>3</v>
      </c>
      <c r="F82" s="9">
        <v>14</v>
      </c>
      <c r="G82" s="10">
        <v>78.571428571428569</v>
      </c>
      <c r="H82" s="25"/>
      <c r="I82" s="23">
        <f t="shared" si="0"/>
        <v>22</v>
      </c>
      <c r="J82" s="26">
        <v>14</v>
      </c>
      <c r="K82" s="16">
        <v>8</v>
      </c>
      <c r="L82" s="17">
        <v>0.64</v>
      </c>
      <c r="N82" s="13">
        <f t="shared" si="1"/>
        <v>36</v>
      </c>
      <c r="O82" s="13">
        <f t="shared" si="2"/>
        <v>25</v>
      </c>
      <c r="P82" s="14">
        <f t="shared" si="3"/>
        <v>69.444444444444443</v>
      </c>
    </row>
    <row r="83" spans="1:17" ht="15">
      <c r="A83" s="24">
        <v>74</v>
      </c>
      <c r="B83" s="21" t="s">
        <v>166</v>
      </c>
      <c r="C83" s="22" t="s">
        <v>167</v>
      </c>
      <c r="D83" s="9">
        <v>10</v>
      </c>
      <c r="E83" s="9">
        <v>4</v>
      </c>
      <c r="F83" s="9">
        <v>14</v>
      </c>
      <c r="G83" s="10">
        <v>71.428571428571431</v>
      </c>
      <c r="H83" s="25"/>
      <c r="I83" s="23">
        <f t="shared" si="0"/>
        <v>22</v>
      </c>
      <c r="J83" s="26">
        <v>19</v>
      </c>
      <c r="K83" s="16">
        <v>3</v>
      </c>
      <c r="L83" s="17">
        <v>0.86</v>
      </c>
      <c r="N83" s="13">
        <f t="shared" si="1"/>
        <v>36</v>
      </c>
      <c r="O83" s="13">
        <f t="shared" si="2"/>
        <v>29</v>
      </c>
      <c r="P83" s="14">
        <f t="shared" si="3"/>
        <v>80.555555555555557</v>
      </c>
    </row>
    <row r="84" spans="1:17" ht="15">
      <c r="A84" s="24">
        <v>75</v>
      </c>
      <c r="B84" s="21" t="s">
        <v>168</v>
      </c>
      <c r="C84" s="22" t="s">
        <v>169</v>
      </c>
      <c r="D84" s="9">
        <v>10</v>
      </c>
      <c r="E84" s="9">
        <v>4</v>
      </c>
      <c r="F84" s="9">
        <v>14</v>
      </c>
      <c r="G84" s="10">
        <v>71.428571428571431</v>
      </c>
      <c r="H84" s="25"/>
      <c r="I84" s="23">
        <f t="shared" si="0"/>
        <v>22</v>
      </c>
      <c r="J84" s="26">
        <v>15</v>
      </c>
      <c r="K84" s="16">
        <v>7</v>
      </c>
      <c r="L84" s="17">
        <v>0.68</v>
      </c>
      <c r="N84" s="13">
        <f t="shared" si="1"/>
        <v>36</v>
      </c>
      <c r="O84" s="13">
        <f t="shared" si="2"/>
        <v>25</v>
      </c>
      <c r="P84" s="14">
        <f t="shared" si="3"/>
        <v>69.444444444444443</v>
      </c>
    </row>
    <row r="85" spans="1:17" ht="15">
      <c r="A85" s="24">
        <v>76</v>
      </c>
      <c r="B85" s="21" t="s">
        <v>170</v>
      </c>
      <c r="C85" s="22" t="s">
        <v>171</v>
      </c>
      <c r="D85" s="9">
        <v>6</v>
      </c>
      <c r="E85" s="9">
        <v>8</v>
      </c>
      <c r="F85" s="9">
        <v>14</v>
      </c>
      <c r="G85" s="10">
        <v>42.857142857142854</v>
      </c>
      <c r="H85" s="25"/>
      <c r="I85" s="23">
        <f t="shared" si="0"/>
        <v>22</v>
      </c>
      <c r="J85" s="26">
        <v>16</v>
      </c>
      <c r="K85" s="16">
        <v>6</v>
      </c>
      <c r="L85" s="17">
        <v>0.73</v>
      </c>
      <c r="N85" s="13">
        <f t="shared" si="1"/>
        <v>36</v>
      </c>
      <c r="O85" s="13">
        <f t="shared" si="2"/>
        <v>22</v>
      </c>
      <c r="P85" s="14">
        <f t="shared" si="3"/>
        <v>61.111111111111114</v>
      </c>
    </row>
    <row r="86" spans="1:17" ht="15">
      <c r="A86" s="20">
        <v>77</v>
      </c>
      <c r="B86" s="21" t="s">
        <v>172</v>
      </c>
      <c r="C86" s="22" t="s">
        <v>173</v>
      </c>
      <c r="D86" s="9">
        <v>7</v>
      </c>
      <c r="E86" s="9">
        <v>7</v>
      </c>
      <c r="F86" s="9">
        <v>14</v>
      </c>
      <c r="G86" s="10">
        <v>50</v>
      </c>
      <c r="H86" s="25"/>
      <c r="I86" s="23">
        <f t="shared" si="0"/>
        <v>22</v>
      </c>
      <c r="J86" s="26">
        <v>15</v>
      </c>
      <c r="K86" s="16">
        <v>7</v>
      </c>
      <c r="L86" s="17">
        <v>0.68</v>
      </c>
      <c r="N86" s="13">
        <f t="shared" si="1"/>
        <v>36</v>
      </c>
      <c r="O86" s="13">
        <f t="shared" si="2"/>
        <v>22</v>
      </c>
      <c r="P86" s="14">
        <f t="shared" si="3"/>
        <v>61.111111111111114</v>
      </c>
    </row>
    <row r="87" spans="1:17" ht="15">
      <c r="A87" s="24">
        <v>78</v>
      </c>
      <c r="B87" s="21" t="s">
        <v>174</v>
      </c>
      <c r="C87" s="22" t="s">
        <v>175</v>
      </c>
      <c r="D87" s="9">
        <v>9</v>
      </c>
      <c r="E87" s="9">
        <v>5</v>
      </c>
      <c r="F87" s="9">
        <v>14</v>
      </c>
      <c r="G87" s="10">
        <v>64.285714285714292</v>
      </c>
      <c r="H87" s="25"/>
      <c r="I87" s="23">
        <f t="shared" si="0"/>
        <v>22</v>
      </c>
      <c r="J87" s="26">
        <v>14</v>
      </c>
      <c r="K87" s="16">
        <v>8</v>
      </c>
      <c r="L87" s="17">
        <v>0.64</v>
      </c>
      <c r="N87" s="13">
        <f t="shared" si="1"/>
        <v>36</v>
      </c>
      <c r="O87" s="13">
        <f t="shared" si="2"/>
        <v>23</v>
      </c>
      <c r="P87" s="14">
        <f t="shared" si="3"/>
        <v>63.888888888888886</v>
      </c>
    </row>
    <row r="88" spans="1:17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7"/>
      <c r="O88" s="27"/>
      <c r="P88" s="18"/>
      <c r="Q88" s="1"/>
    </row>
    <row r="89" spans="1:17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7"/>
      <c r="O89" s="27"/>
      <c r="P89" s="18"/>
      <c r="Q89" s="1"/>
    </row>
    <row r="90" spans="1:17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7"/>
      <c r="O90" s="27"/>
      <c r="P90" s="18"/>
      <c r="Q90" s="1"/>
    </row>
    <row r="91" spans="1:17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7"/>
      <c r="O91" s="27"/>
      <c r="P91" s="18"/>
      <c r="Q91" s="1"/>
    </row>
    <row r="92" spans="1:17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7"/>
      <c r="O92" s="27"/>
      <c r="P92" s="18"/>
      <c r="Q92" s="1"/>
    </row>
    <row r="93" spans="1:17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7"/>
      <c r="O93" s="27"/>
      <c r="P93" s="18"/>
      <c r="Q93" s="1"/>
    </row>
    <row r="94" spans="1:17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7"/>
      <c r="O94" s="27"/>
      <c r="P94" s="18"/>
      <c r="Q94" s="1"/>
    </row>
    <row r="95" spans="1:17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7"/>
      <c r="O95" s="27"/>
      <c r="P95" s="18"/>
      <c r="Q95" s="1"/>
    </row>
    <row r="96" spans="1:17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7"/>
      <c r="O96" s="27"/>
      <c r="P96" s="18"/>
      <c r="Q96" s="1"/>
    </row>
    <row r="97" spans="1:17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7"/>
      <c r="O97" s="27"/>
      <c r="P97" s="18"/>
      <c r="Q97" s="1"/>
    </row>
    <row r="98" spans="1:17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7"/>
      <c r="O98" s="27"/>
      <c r="P98" s="18"/>
      <c r="Q98" s="1"/>
    </row>
    <row r="99" spans="1:17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7"/>
      <c r="O99" s="27"/>
      <c r="P99" s="18"/>
      <c r="Q99" s="1"/>
    </row>
    <row r="100" spans="1:17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7"/>
      <c r="O100" s="27"/>
      <c r="P100" s="18"/>
      <c r="Q100" s="1"/>
    </row>
    <row r="101" spans="1:17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7"/>
      <c r="O101" s="27"/>
      <c r="P101" s="18"/>
      <c r="Q101" s="1"/>
    </row>
    <row r="102" spans="1:17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7"/>
      <c r="O102" s="27"/>
      <c r="P102" s="18"/>
      <c r="Q102" s="1"/>
    </row>
    <row r="103" spans="1:17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7"/>
      <c r="O103" s="27"/>
      <c r="P103" s="18"/>
      <c r="Q103" s="1"/>
    </row>
    <row r="104" spans="1:17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7"/>
      <c r="O104" s="27"/>
      <c r="P104" s="18"/>
      <c r="Q104" s="1"/>
    </row>
    <row r="105" spans="1:17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7"/>
      <c r="O105" s="27"/>
      <c r="P105" s="18"/>
      <c r="Q105" s="1"/>
    </row>
    <row r="106" spans="1:17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7"/>
      <c r="O106" s="27"/>
      <c r="P106" s="18"/>
      <c r="Q106" s="1"/>
    </row>
    <row r="107" spans="1:17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7"/>
      <c r="O107" s="27"/>
      <c r="P107" s="18"/>
      <c r="Q107" s="1"/>
    </row>
    <row r="108" spans="1:17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7"/>
      <c r="O108" s="27"/>
      <c r="P108" s="18"/>
      <c r="Q108" s="1"/>
    </row>
    <row r="109" spans="1:17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7"/>
      <c r="O109" s="27"/>
      <c r="P109" s="18"/>
      <c r="Q109" s="1"/>
    </row>
    <row r="110" spans="1:17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7"/>
      <c r="O110" s="27"/>
      <c r="P110" s="18"/>
      <c r="Q110" s="1"/>
    </row>
    <row r="111" spans="1:17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7"/>
      <c r="O111" s="27"/>
      <c r="P111" s="18"/>
      <c r="Q111" s="1"/>
    </row>
    <row r="112" spans="1:17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7"/>
      <c r="O112" s="27"/>
      <c r="P112" s="18"/>
      <c r="Q112" s="1"/>
    </row>
    <row r="113" spans="1:17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7"/>
      <c r="O113" s="27"/>
      <c r="P113" s="18"/>
      <c r="Q113" s="1"/>
    </row>
    <row r="114" spans="1:17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7"/>
      <c r="O114" s="27"/>
      <c r="P114" s="18"/>
      <c r="Q114" s="1"/>
    </row>
    <row r="115" spans="1:17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7"/>
      <c r="O115" s="27"/>
      <c r="P115" s="18"/>
      <c r="Q115" s="1"/>
    </row>
    <row r="116" spans="1:17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7"/>
      <c r="O116" s="27"/>
      <c r="P116" s="18"/>
      <c r="Q116" s="1"/>
    </row>
    <row r="117" spans="1:17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7"/>
      <c r="O117" s="27"/>
      <c r="P117" s="18"/>
      <c r="Q117" s="1"/>
    </row>
    <row r="118" spans="1:17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7"/>
      <c r="O118" s="27"/>
      <c r="P118" s="18"/>
      <c r="Q118" s="1"/>
    </row>
    <row r="119" spans="1:17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7"/>
      <c r="O119" s="27"/>
      <c r="P119" s="18"/>
      <c r="Q119" s="1"/>
    </row>
    <row r="120" spans="1:17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7"/>
      <c r="O120" s="27"/>
      <c r="P120" s="18"/>
      <c r="Q120" s="1"/>
    </row>
    <row r="121" spans="1:17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7"/>
      <c r="O121" s="27"/>
      <c r="P121" s="18"/>
      <c r="Q121" s="1"/>
    </row>
    <row r="122" spans="1:17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7"/>
      <c r="O122" s="27"/>
      <c r="P122" s="18"/>
      <c r="Q122" s="1"/>
    </row>
    <row r="123" spans="1:17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7"/>
      <c r="O123" s="27"/>
      <c r="P123" s="18"/>
      <c r="Q123" s="1"/>
    </row>
    <row r="124" spans="1:17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7"/>
      <c r="O124" s="27"/>
      <c r="P124" s="18"/>
      <c r="Q124" s="1"/>
    </row>
    <row r="125" spans="1:17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7"/>
      <c r="O125" s="27"/>
      <c r="P125" s="18"/>
      <c r="Q125" s="1"/>
    </row>
    <row r="126" spans="1:17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7"/>
      <c r="O126" s="27"/>
      <c r="P126" s="18"/>
      <c r="Q126" s="1"/>
    </row>
    <row r="127" spans="1:17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7"/>
      <c r="O127" s="27"/>
      <c r="P127" s="18"/>
      <c r="Q127" s="1"/>
    </row>
    <row r="128" spans="1:17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7"/>
      <c r="O128" s="27"/>
      <c r="P128" s="18"/>
      <c r="Q128" s="1"/>
    </row>
    <row r="129" spans="1:17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7"/>
      <c r="O129" s="27"/>
      <c r="P129" s="18"/>
      <c r="Q129" s="1"/>
    </row>
    <row r="130" spans="1:17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7"/>
      <c r="O130" s="27"/>
      <c r="P130" s="18"/>
      <c r="Q130" s="1"/>
    </row>
    <row r="131" spans="1:17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7"/>
      <c r="O131" s="27"/>
      <c r="P131" s="18"/>
      <c r="Q131" s="1"/>
    </row>
    <row r="132" spans="1:17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7"/>
      <c r="O132" s="27"/>
      <c r="P132" s="18"/>
      <c r="Q132" s="1"/>
    </row>
    <row r="133" spans="1:17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7"/>
      <c r="O133" s="27"/>
      <c r="P133" s="18"/>
      <c r="Q133" s="1"/>
    </row>
    <row r="134" spans="1:17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7"/>
      <c r="O134" s="27"/>
      <c r="P134" s="18"/>
      <c r="Q134" s="1"/>
    </row>
    <row r="135" spans="1:17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7"/>
      <c r="O135" s="27"/>
      <c r="P135" s="18"/>
      <c r="Q135" s="1"/>
    </row>
    <row r="136" spans="1:17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7"/>
      <c r="O136" s="27"/>
      <c r="P136" s="18"/>
      <c r="Q136" s="1"/>
    </row>
    <row r="137" spans="1:17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7"/>
      <c r="O137" s="27"/>
      <c r="P137" s="18"/>
      <c r="Q137" s="1"/>
    </row>
    <row r="138" spans="1:17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7"/>
      <c r="O138" s="27"/>
      <c r="P138" s="18"/>
      <c r="Q138" s="1"/>
    </row>
    <row r="139" spans="1:17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7"/>
      <c r="O139" s="27"/>
      <c r="P139" s="18"/>
      <c r="Q139" s="1"/>
    </row>
    <row r="140" spans="1:17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7"/>
      <c r="O140" s="27"/>
      <c r="P140" s="18"/>
      <c r="Q140" s="1"/>
    </row>
    <row r="141" spans="1:17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7"/>
      <c r="O141" s="27"/>
      <c r="P141" s="18"/>
      <c r="Q141" s="1"/>
    </row>
    <row r="142" spans="1:17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7"/>
      <c r="O142" s="27"/>
      <c r="P142" s="18"/>
      <c r="Q142" s="1"/>
    </row>
    <row r="143" spans="1:17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7"/>
      <c r="O143" s="27"/>
      <c r="P143" s="18"/>
      <c r="Q143" s="1"/>
    </row>
    <row r="144" spans="1:17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7"/>
      <c r="O144" s="27"/>
      <c r="P144" s="18"/>
      <c r="Q144" s="1"/>
    </row>
    <row r="145" spans="1:17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7"/>
      <c r="O145" s="27"/>
      <c r="P145" s="18"/>
      <c r="Q145" s="1"/>
    </row>
    <row r="146" spans="1:17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7"/>
      <c r="O146" s="27"/>
      <c r="P146" s="18"/>
      <c r="Q146" s="1"/>
    </row>
    <row r="147" spans="1:17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7"/>
      <c r="O147" s="27"/>
      <c r="P147" s="18"/>
      <c r="Q147" s="1"/>
    </row>
    <row r="148" spans="1:17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7"/>
      <c r="O148" s="27"/>
      <c r="P148" s="18"/>
      <c r="Q148" s="1"/>
    </row>
    <row r="149" spans="1:17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7"/>
      <c r="O149" s="27"/>
      <c r="P149" s="18"/>
      <c r="Q149" s="1"/>
    </row>
    <row r="150" spans="1:17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7"/>
      <c r="O150" s="27"/>
      <c r="P150" s="18"/>
      <c r="Q150" s="1"/>
    </row>
    <row r="151" spans="1:17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7"/>
      <c r="O151" s="27"/>
      <c r="P151" s="18"/>
      <c r="Q151" s="1"/>
    </row>
    <row r="152" spans="1:17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7"/>
      <c r="O152" s="27"/>
      <c r="P152" s="18"/>
      <c r="Q152" s="1"/>
    </row>
    <row r="153" spans="1:17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7"/>
      <c r="O153" s="27"/>
      <c r="P153" s="18"/>
      <c r="Q153" s="1"/>
    </row>
    <row r="154" spans="1:17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7"/>
      <c r="O154" s="27"/>
      <c r="P154" s="18"/>
      <c r="Q154" s="1"/>
    </row>
    <row r="155" spans="1:17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7"/>
      <c r="O155" s="27"/>
      <c r="P155" s="18"/>
      <c r="Q155" s="1"/>
    </row>
    <row r="156" spans="1:17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7"/>
      <c r="O156" s="27"/>
      <c r="P156" s="18"/>
      <c r="Q156" s="1"/>
    </row>
    <row r="157" spans="1:17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7"/>
      <c r="O157" s="27"/>
      <c r="P157" s="18"/>
      <c r="Q157" s="1"/>
    </row>
    <row r="158" spans="1:17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7"/>
      <c r="O158" s="27"/>
      <c r="P158" s="18"/>
      <c r="Q158" s="1"/>
    </row>
    <row r="159" spans="1:17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7"/>
      <c r="O159" s="27"/>
      <c r="P159" s="18"/>
      <c r="Q159" s="1"/>
    </row>
    <row r="160" spans="1:17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7"/>
      <c r="O160" s="27"/>
      <c r="P160" s="18"/>
      <c r="Q160" s="1"/>
    </row>
    <row r="161" spans="1:17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7"/>
      <c r="O161" s="27"/>
      <c r="P161" s="18"/>
      <c r="Q161" s="1"/>
    </row>
    <row r="162" spans="1:17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7"/>
      <c r="O162" s="27"/>
      <c r="P162" s="18"/>
      <c r="Q162" s="1"/>
    </row>
    <row r="163" spans="1:17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7"/>
      <c r="O163" s="27"/>
      <c r="P163" s="18"/>
      <c r="Q163" s="1"/>
    </row>
    <row r="164" spans="1:17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7"/>
      <c r="O164" s="27"/>
      <c r="P164" s="18"/>
      <c r="Q164" s="1"/>
    </row>
    <row r="165" spans="1:17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7"/>
      <c r="O165" s="27"/>
      <c r="P165" s="18"/>
      <c r="Q165" s="1"/>
    </row>
    <row r="166" spans="1:17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7"/>
      <c r="O166" s="27"/>
      <c r="P166" s="18"/>
      <c r="Q166" s="1"/>
    </row>
    <row r="167" spans="1:17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7"/>
      <c r="O167" s="27"/>
      <c r="P167" s="18"/>
      <c r="Q167" s="1"/>
    </row>
    <row r="168" spans="1:17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7"/>
      <c r="O168" s="27"/>
      <c r="P168" s="18"/>
      <c r="Q168" s="1"/>
    </row>
    <row r="169" spans="1:17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7"/>
      <c r="O169" s="27"/>
      <c r="P169" s="18"/>
      <c r="Q169" s="1"/>
    </row>
    <row r="170" spans="1:17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7"/>
      <c r="O170" s="27"/>
      <c r="P170" s="18"/>
      <c r="Q170" s="1"/>
    </row>
    <row r="171" spans="1:17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7"/>
      <c r="O171" s="27"/>
      <c r="P171" s="18"/>
      <c r="Q171" s="1"/>
    </row>
    <row r="172" spans="1:17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7"/>
      <c r="O172" s="27"/>
      <c r="P172" s="18"/>
      <c r="Q172" s="1"/>
    </row>
    <row r="173" spans="1:17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7"/>
      <c r="O173" s="27"/>
      <c r="P173" s="18"/>
      <c r="Q173" s="1"/>
    </row>
    <row r="174" spans="1:17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7"/>
      <c r="O174" s="27"/>
      <c r="P174" s="18"/>
      <c r="Q174" s="1"/>
    </row>
    <row r="175" spans="1:17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7"/>
      <c r="O175" s="27"/>
      <c r="P175" s="18"/>
      <c r="Q175" s="1"/>
    </row>
    <row r="176" spans="1:17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7"/>
      <c r="O176" s="27"/>
      <c r="P176" s="18"/>
      <c r="Q176" s="1"/>
    </row>
    <row r="177" spans="1:17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7"/>
      <c r="O177" s="27"/>
      <c r="P177" s="18"/>
      <c r="Q177" s="1"/>
    </row>
    <row r="178" spans="1:17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7"/>
      <c r="O178" s="27"/>
      <c r="P178" s="18"/>
      <c r="Q178" s="1"/>
    </row>
    <row r="179" spans="1:17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7"/>
      <c r="O179" s="27"/>
      <c r="P179" s="18"/>
      <c r="Q179" s="1"/>
    </row>
    <row r="180" spans="1:17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7"/>
      <c r="O180" s="27"/>
      <c r="P180" s="18"/>
      <c r="Q180" s="1"/>
    </row>
    <row r="181" spans="1:17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7"/>
      <c r="O181" s="27"/>
      <c r="P181" s="18"/>
      <c r="Q181" s="1"/>
    </row>
    <row r="182" spans="1:17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7"/>
      <c r="O182" s="27"/>
      <c r="P182" s="18"/>
      <c r="Q182" s="1"/>
    </row>
    <row r="183" spans="1:17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7"/>
      <c r="O183" s="27"/>
      <c r="P183" s="18"/>
      <c r="Q183" s="1"/>
    </row>
    <row r="184" spans="1:17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7"/>
      <c r="O184" s="27"/>
      <c r="P184" s="18"/>
      <c r="Q184" s="1"/>
    </row>
    <row r="185" spans="1:17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7"/>
      <c r="O185" s="27"/>
      <c r="P185" s="18"/>
      <c r="Q185" s="1"/>
    </row>
    <row r="186" spans="1:17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7"/>
      <c r="O186" s="27"/>
      <c r="P186" s="18"/>
      <c r="Q186" s="1"/>
    </row>
    <row r="187" spans="1:17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7"/>
      <c r="O187" s="27"/>
      <c r="P187" s="18"/>
      <c r="Q187" s="1"/>
    </row>
    <row r="188" spans="1:17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7"/>
      <c r="O188" s="27"/>
      <c r="P188" s="18"/>
      <c r="Q188" s="1"/>
    </row>
    <row r="189" spans="1:17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7"/>
      <c r="O189" s="27"/>
      <c r="P189" s="18"/>
      <c r="Q189" s="1"/>
    </row>
    <row r="190" spans="1:17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7"/>
      <c r="O190" s="27"/>
      <c r="P190" s="18"/>
      <c r="Q190" s="1"/>
    </row>
    <row r="191" spans="1:17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7"/>
      <c r="O191" s="27"/>
      <c r="P191" s="18"/>
      <c r="Q191" s="1"/>
    </row>
    <row r="192" spans="1:17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7"/>
      <c r="O192" s="27"/>
      <c r="P192" s="18"/>
      <c r="Q192" s="1"/>
    </row>
    <row r="193" spans="1:17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7"/>
      <c r="O193" s="27"/>
      <c r="P193" s="18"/>
      <c r="Q193" s="1"/>
    </row>
    <row r="194" spans="1:17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7"/>
      <c r="O194" s="27"/>
      <c r="P194" s="18"/>
      <c r="Q194" s="1"/>
    </row>
    <row r="195" spans="1:17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7"/>
      <c r="O195" s="27"/>
      <c r="P195" s="18"/>
      <c r="Q195" s="1"/>
    </row>
    <row r="196" spans="1:17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7"/>
      <c r="O196" s="27"/>
      <c r="P196" s="18"/>
      <c r="Q196" s="1"/>
    </row>
    <row r="197" spans="1:17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7"/>
      <c r="O197" s="27"/>
      <c r="P197" s="18"/>
      <c r="Q197" s="1"/>
    </row>
    <row r="198" spans="1:17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7"/>
      <c r="O198" s="27"/>
      <c r="P198" s="18"/>
      <c r="Q198" s="1"/>
    </row>
    <row r="199" spans="1:17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7"/>
      <c r="O199" s="27"/>
      <c r="P199" s="18"/>
      <c r="Q199" s="1"/>
    </row>
    <row r="200" spans="1:17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7"/>
      <c r="O200" s="27"/>
      <c r="P200" s="18"/>
      <c r="Q200" s="1"/>
    </row>
    <row r="201" spans="1:17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7"/>
      <c r="O201" s="27"/>
      <c r="P201" s="18"/>
      <c r="Q201" s="1"/>
    </row>
    <row r="202" spans="1:17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7"/>
      <c r="O202" s="27"/>
      <c r="P202" s="18"/>
      <c r="Q202" s="1"/>
    </row>
    <row r="203" spans="1:17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7"/>
      <c r="O203" s="27"/>
      <c r="P203" s="18"/>
      <c r="Q203" s="1"/>
    </row>
    <row r="204" spans="1:17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7"/>
      <c r="O204" s="27"/>
      <c r="P204" s="18"/>
      <c r="Q204" s="1"/>
    </row>
    <row r="205" spans="1:17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7"/>
      <c r="O205" s="27"/>
      <c r="P205" s="18"/>
      <c r="Q205" s="1"/>
    </row>
    <row r="206" spans="1:17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7"/>
      <c r="O206" s="27"/>
      <c r="P206" s="18"/>
      <c r="Q206" s="1"/>
    </row>
    <row r="207" spans="1:17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7"/>
      <c r="O207" s="27"/>
      <c r="P207" s="18"/>
      <c r="Q207" s="1"/>
    </row>
    <row r="208" spans="1:17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7"/>
      <c r="O208" s="27"/>
      <c r="P208" s="18"/>
      <c r="Q208" s="1"/>
    </row>
    <row r="209" spans="1:17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7"/>
      <c r="O209" s="27"/>
      <c r="P209" s="18"/>
      <c r="Q209" s="1"/>
    </row>
    <row r="210" spans="1:17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7"/>
      <c r="O210" s="27"/>
      <c r="P210" s="18"/>
      <c r="Q210" s="1"/>
    </row>
    <row r="211" spans="1:17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7"/>
      <c r="O211" s="27"/>
      <c r="P211" s="18"/>
      <c r="Q211" s="1"/>
    </row>
    <row r="212" spans="1:17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7"/>
      <c r="O212" s="27"/>
      <c r="P212" s="18"/>
      <c r="Q212" s="1"/>
    </row>
    <row r="213" spans="1:17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7"/>
      <c r="O213" s="27"/>
      <c r="P213" s="18"/>
      <c r="Q213" s="1"/>
    </row>
    <row r="214" spans="1:17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7"/>
      <c r="O214" s="27"/>
      <c r="P214" s="18"/>
      <c r="Q214" s="1"/>
    </row>
    <row r="215" spans="1:17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7"/>
      <c r="O215" s="27"/>
      <c r="P215" s="18"/>
      <c r="Q215" s="1"/>
    </row>
    <row r="216" spans="1:17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7"/>
      <c r="O216" s="27"/>
      <c r="P216" s="18"/>
      <c r="Q216" s="1"/>
    </row>
    <row r="217" spans="1:17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7"/>
      <c r="O217" s="27"/>
      <c r="P217" s="18"/>
      <c r="Q217" s="1"/>
    </row>
    <row r="218" spans="1:17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7"/>
      <c r="O218" s="27"/>
      <c r="P218" s="18"/>
      <c r="Q218" s="1"/>
    </row>
    <row r="219" spans="1:17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7"/>
      <c r="O219" s="27"/>
      <c r="P219" s="18"/>
      <c r="Q219" s="1"/>
    </row>
    <row r="220" spans="1:17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7"/>
      <c r="O220" s="27"/>
      <c r="P220" s="18"/>
      <c r="Q220" s="1"/>
    </row>
    <row r="221" spans="1:17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27"/>
      <c r="O221" s="27"/>
      <c r="P221" s="18"/>
      <c r="Q221" s="1"/>
    </row>
    <row r="222" spans="1:17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27"/>
      <c r="O222" s="27"/>
      <c r="P222" s="18"/>
      <c r="Q222" s="1"/>
    </row>
    <row r="223" spans="1:17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27"/>
      <c r="O223" s="27"/>
      <c r="P223" s="18"/>
      <c r="Q223" s="1"/>
    </row>
    <row r="224" spans="1:17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27"/>
      <c r="O224" s="27"/>
      <c r="P224" s="18"/>
      <c r="Q224" s="1"/>
    </row>
    <row r="225" spans="1:17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27"/>
      <c r="O225" s="27"/>
      <c r="P225" s="18"/>
      <c r="Q225" s="1"/>
    </row>
    <row r="226" spans="1:17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27"/>
      <c r="O226" s="27"/>
      <c r="P226" s="18"/>
      <c r="Q226" s="1"/>
    </row>
    <row r="227" spans="1:17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27"/>
      <c r="O227" s="27"/>
      <c r="P227" s="18"/>
      <c r="Q227" s="1"/>
    </row>
    <row r="228" spans="1:17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27"/>
      <c r="O228" s="27"/>
      <c r="P228" s="18"/>
      <c r="Q228" s="1"/>
    </row>
    <row r="229" spans="1:17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27"/>
      <c r="O229" s="27"/>
      <c r="P229" s="18"/>
      <c r="Q229" s="1"/>
    </row>
    <row r="230" spans="1:17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27"/>
      <c r="O230" s="27"/>
      <c r="P230" s="18"/>
      <c r="Q230" s="1"/>
    </row>
    <row r="231" spans="1:17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27"/>
      <c r="O231" s="27"/>
      <c r="P231" s="18"/>
      <c r="Q231" s="1"/>
    </row>
    <row r="232" spans="1:17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27"/>
      <c r="O232" s="27"/>
      <c r="P232" s="18"/>
      <c r="Q232" s="1"/>
    </row>
    <row r="233" spans="1:17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27"/>
      <c r="O233" s="27"/>
      <c r="P233" s="18"/>
      <c r="Q233" s="1"/>
    </row>
    <row r="234" spans="1:17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27"/>
      <c r="O234" s="27"/>
      <c r="P234" s="18"/>
      <c r="Q234" s="1"/>
    </row>
    <row r="235" spans="1:17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27"/>
      <c r="O235" s="27"/>
      <c r="P235" s="18"/>
      <c r="Q235" s="1"/>
    </row>
    <row r="236" spans="1:17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27"/>
      <c r="O236" s="27"/>
      <c r="P236" s="18"/>
      <c r="Q236" s="1"/>
    </row>
    <row r="237" spans="1:17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27"/>
      <c r="O237" s="27"/>
      <c r="P237" s="18"/>
      <c r="Q237" s="1"/>
    </row>
    <row r="238" spans="1:17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27"/>
      <c r="O238" s="27"/>
      <c r="P238" s="18"/>
      <c r="Q238" s="1"/>
    </row>
    <row r="239" spans="1:17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27"/>
      <c r="O239" s="27"/>
      <c r="P239" s="18"/>
      <c r="Q239" s="1"/>
    </row>
    <row r="240" spans="1:17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27"/>
      <c r="O240" s="27"/>
      <c r="P240" s="18"/>
      <c r="Q240" s="1"/>
    </row>
    <row r="241" spans="1:17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27"/>
      <c r="O241" s="27"/>
      <c r="P241" s="18"/>
      <c r="Q241" s="1"/>
    </row>
    <row r="242" spans="1:17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27"/>
      <c r="O242" s="27"/>
      <c r="P242" s="18"/>
      <c r="Q242" s="1"/>
    </row>
    <row r="243" spans="1:17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27"/>
      <c r="O243" s="27"/>
      <c r="P243" s="18"/>
      <c r="Q243" s="1"/>
    </row>
    <row r="244" spans="1:17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27"/>
      <c r="O244" s="27"/>
      <c r="P244" s="18"/>
      <c r="Q244" s="1"/>
    </row>
    <row r="245" spans="1:17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27"/>
      <c r="O245" s="27"/>
      <c r="P245" s="18"/>
      <c r="Q245" s="1"/>
    </row>
    <row r="246" spans="1:17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27"/>
      <c r="O246" s="27"/>
      <c r="P246" s="18"/>
      <c r="Q246" s="1"/>
    </row>
    <row r="247" spans="1:17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27"/>
      <c r="O247" s="27"/>
      <c r="P247" s="18"/>
      <c r="Q247" s="1"/>
    </row>
    <row r="248" spans="1:17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27"/>
      <c r="O248" s="27"/>
      <c r="P248" s="18"/>
      <c r="Q248" s="1"/>
    </row>
    <row r="249" spans="1:17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27"/>
      <c r="O249" s="27"/>
      <c r="P249" s="18"/>
      <c r="Q249" s="1"/>
    </row>
    <row r="250" spans="1:17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27"/>
      <c r="O250" s="27"/>
      <c r="P250" s="18"/>
      <c r="Q250" s="1"/>
    </row>
    <row r="251" spans="1:17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27"/>
      <c r="O251" s="27"/>
      <c r="P251" s="18"/>
      <c r="Q251" s="1"/>
    </row>
    <row r="252" spans="1:17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27"/>
      <c r="O252" s="27"/>
      <c r="P252" s="18"/>
      <c r="Q252" s="1"/>
    </row>
    <row r="253" spans="1:17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27"/>
      <c r="O253" s="27"/>
      <c r="P253" s="18"/>
      <c r="Q253" s="1"/>
    </row>
    <row r="254" spans="1:17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27"/>
      <c r="O254" s="27"/>
      <c r="P254" s="18"/>
      <c r="Q254" s="1"/>
    </row>
    <row r="255" spans="1:17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27"/>
      <c r="O255" s="27"/>
      <c r="P255" s="18"/>
      <c r="Q255" s="1"/>
    </row>
    <row r="256" spans="1:17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27"/>
      <c r="O256" s="27"/>
      <c r="P256" s="18"/>
      <c r="Q256" s="1"/>
    </row>
    <row r="257" spans="1:17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27"/>
      <c r="O257" s="27"/>
      <c r="P257" s="18"/>
      <c r="Q257" s="1"/>
    </row>
    <row r="258" spans="1:17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27"/>
      <c r="O258" s="27"/>
      <c r="P258" s="18"/>
      <c r="Q258" s="1"/>
    </row>
    <row r="259" spans="1:17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27"/>
      <c r="O259" s="27"/>
      <c r="P259" s="18"/>
      <c r="Q259" s="1"/>
    </row>
    <row r="260" spans="1:17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27"/>
      <c r="O260" s="27"/>
      <c r="P260" s="18"/>
      <c r="Q260" s="1"/>
    </row>
    <row r="261" spans="1:17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27"/>
      <c r="O261" s="27"/>
      <c r="P261" s="18"/>
      <c r="Q261" s="1"/>
    </row>
    <row r="262" spans="1:17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27"/>
      <c r="O262" s="27"/>
      <c r="P262" s="18"/>
      <c r="Q262" s="1"/>
    </row>
    <row r="263" spans="1:17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27"/>
      <c r="O263" s="27"/>
      <c r="P263" s="18"/>
      <c r="Q263" s="1"/>
    </row>
    <row r="264" spans="1:17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27"/>
      <c r="O264" s="27"/>
      <c r="P264" s="18"/>
      <c r="Q264" s="1"/>
    </row>
    <row r="265" spans="1:17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27"/>
      <c r="O265" s="27"/>
      <c r="P265" s="18"/>
      <c r="Q265" s="1"/>
    </row>
    <row r="266" spans="1:17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27"/>
      <c r="O266" s="27"/>
      <c r="P266" s="18"/>
      <c r="Q266" s="1"/>
    </row>
    <row r="267" spans="1:17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27"/>
      <c r="O267" s="27"/>
      <c r="P267" s="18"/>
      <c r="Q267" s="1"/>
    </row>
    <row r="268" spans="1:17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27"/>
      <c r="O268" s="27"/>
      <c r="P268" s="18"/>
      <c r="Q268" s="1"/>
    </row>
    <row r="269" spans="1:17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27"/>
      <c r="O269" s="27"/>
      <c r="P269" s="18"/>
      <c r="Q269" s="1"/>
    </row>
    <row r="270" spans="1:17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27"/>
      <c r="O270" s="27"/>
      <c r="P270" s="18"/>
      <c r="Q270" s="1"/>
    </row>
    <row r="271" spans="1:17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27"/>
      <c r="O271" s="27"/>
      <c r="P271" s="18"/>
      <c r="Q271" s="1"/>
    </row>
    <row r="272" spans="1:17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27"/>
      <c r="O272" s="27"/>
      <c r="P272" s="18"/>
      <c r="Q272" s="1"/>
    </row>
    <row r="273" spans="1:17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27"/>
      <c r="O273" s="27"/>
      <c r="P273" s="18"/>
      <c r="Q273" s="1"/>
    </row>
    <row r="274" spans="1:17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27"/>
      <c r="O274" s="27"/>
      <c r="P274" s="18"/>
      <c r="Q274" s="1"/>
    </row>
    <row r="275" spans="1:17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27"/>
      <c r="O275" s="27"/>
      <c r="P275" s="18"/>
      <c r="Q275" s="1"/>
    </row>
    <row r="276" spans="1:17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27"/>
      <c r="O276" s="27"/>
      <c r="P276" s="18"/>
      <c r="Q276" s="1"/>
    </row>
    <row r="277" spans="1:17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27"/>
      <c r="O277" s="27"/>
      <c r="P277" s="18"/>
      <c r="Q277" s="1"/>
    </row>
    <row r="278" spans="1:17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27"/>
      <c r="O278" s="27"/>
      <c r="P278" s="18"/>
      <c r="Q278" s="1"/>
    </row>
    <row r="279" spans="1:17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27"/>
      <c r="O279" s="27"/>
      <c r="P279" s="18"/>
      <c r="Q279" s="1"/>
    </row>
    <row r="280" spans="1:17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27"/>
      <c r="O280" s="27"/>
      <c r="P280" s="18"/>
      <c r="Q280" s="1"/>
    </row>
    <row r="281" spans="1:17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27"/>
      <c r="O281" s="27"/>
      <c r="P281" s="18"/>
      <c r="Q281" s="1"/>
    </row>
    <row r="282" spans="1:17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27"/>
      <c r="O282" s="27"/>
      <c r="P282" s="18"/>
      <c r="Q282" s="1"/>
    </row>
    <row r="283" spans="1:17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27"/>
      <c r="O283" s="27"/>
      <c r="P283" s="18"/>
      <c r="Q283" s="1"/>
    </row>
    <row r="284" spans="1:17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27"/>
      <c r="O284" s="27"/>
      <c r="P284" s="18"/>
      <c r="Q284" s="1"/>
    </row>
    <row r="285" spans="1:17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27"/>
      <c r="O285" s="27"/>
      <c r="P285" s="18"/>
      <c r="Q285" s="1"/>
    </row>
    <row r="286" spans="1:17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27"/>
      <c r="O286" s="27"/>
      <c r="P286" s="18"/>
      <c r="Q286" s="1"/>
    </row>
    <row r="287" spans="1:17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27"/>
      <c r="O287" s="27"/>
      <c r="P287" s="18"/>
      <c r="Q287" s="1"/>
    </row>
    <row r="288" spans="1:17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27"/>
      <c r="O288" s="27"/>
      <c r="P288" s="18"/>
      <c r="Q288" s="1"/>
    </row>
    <row r="289" spans="1:17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27"/>
      <c r="O289" s="27"/>
      <c r="P289" s="18"/>
      <c r="Q289" s="1"/>
    </row>
    <row r="290" spans="1:17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27"/>
      <c r="O290" s="27"/>
      <c r="P290" s="18"/>
      <c r="Q290" s="1"/>
    </row>
    <row r="291" spans="1:17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27"/>
      <c r="O291" s="27"/>
      <c r="P291" s="18"/>
      <c r="Q291" s="1"/>
    </row>
    <row r="292" spans="1:17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27"/>
      <c r="O292" s="27"/>
      <c r="P292" s="18"/>
      <c r="Q292" s="1"/>
    </row>
    <row r="293" spans="1:17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27"/>
      <c r="O293" s="27"/>
      <c r="P293" s="18"/>
      <c r="Q293" s="1"/>
    </row>
    <row r="294" spans="1:17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27"/>
      <c r="O294" s="27"/>
      <c r="P294" s="18"/>
      <c r="Q294" s="1"/>
    </row>
    <row r="295" spans="1:17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27"/>
      <c r="O295" s="27"/>
      <c r="P295" s="18"/>
      <c r="Q295" s="1"/>
    </row>
    <row r="296" spans="1:17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27"/>
      <c r="O296" s="27"/>
      <c r="P296" s="18"/>
      <c r="Q296" s="1"/>
    </row>
    <row r="297" spans="1:17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27"/>
      <c r="O297" s="27"/>
      <c r="P297" s="18"/>
      <c r="Q297" s="1"/>
    </row>
    <row r="298" spans="1:17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27"/>
      <c r="O298" s="27"/>
      <c r="P298" s="18"/>
      <c r="Q298" s="1"/>
    </row>
    <row r="299" spans="1:17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27"/>
      <c r="O299" s="27"/>
      <c r="P299" s="18"/>
      <c r="Q299" s="1"/>
    </row>
    <row r="300" spans="1:17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27"/>
      <c r="O300" s="27"/>
      <c r="P300" s="18"/>
      <c r="Q300" s="1"/>
    </row>
    <row r="301" spans="1:17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27"/>
      <c r="O301" s="27"/>
      <c r="P301" s="18"/>
      <c r="Q301" s="1"/>
    </row>
    <row r="302" spans="1:17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27"/>
      <c r="O302" s="27"/>
      <c r="P302" s="18"/>
      <c r="Q302" s="1"/>
    </row>
    <row r="303" spans="1:17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27"/>
      <c r="O303" s="27"/>
      <c r="P303" s="18"/>
      <c r="Q303" s="1"/>
    </row>
    <row r="304" spans="1:17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27"/>
      <c r="O304" s="27"/>
      <c r="P304" s="18"/>
      <c r="Q304" s="1"/>
    </row>
    <row r="305" spans="1:17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27"/>
      <c r="O305" s="27"/>
      <c r="P305" s="18"/>
      <c r="Q305" s="1"/>
    </row>
    <row r="306" spans="1:17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27"/>
      <c r="O306" s="27"/>
      <c r="P306" s="18"/>
      <c r="Q306" s="1"/>
    </row>
    <row r="307" spans="1:17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27"/>
      <c r="O307" s="27"/>
      <c r="P307" s="18"/>
      <c r="Q307" s="1"/>
    </row>
    <row r="308" spans="1:17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27"/>
      <c r="O308" s="27"/>
      <c r="P308" s="18"/>
      <c r="Q308" s="1"/>
    </row>
    <row r="309" spans="1:17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27"/>
      <c r="O309" s="27"/>
      <c r="P309" s="18"/>
      <c r="Q309" s="1"/>
    </row>
    <row r="310" spans="1:17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27"/>
      <c r="O310" s="27"/>
      <c r="P310" s="18"/>
      <c r="Q310" s="1"/>
    </row>
    <row r="311" spans="1:17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27"/>
      <c r="O311" s="27"/>
      <c r="P311" s="18"/>
      <c r="Q311" s="1"/>
    </row>
    <row r="312" spans="1:17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27"/>
      <c r="O312" s="27"/>
      <c r="P312" s="18"/>
      <c r="Q312" s="1"/>
    </row>
    <row r="313" spans="1:17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27"/>
      <c r="O313" s="27"/>
      <c r="P313" s="18"/>
      <c r="Q313" s="1"/>
    </row>
    <row r="314" spans="1:17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27"/>
      <c r="O314" s="27"/>
      <c r="P314" s="18"/>
      <c r="Q314" s="1"/>
    </row>
    <row r="315" spans="1:17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27"/>
      <c r="O315" s="27"/>
      <c r="P315" s="18"/>
      <c r="Q315" s="1"/>
    </row>
    <row r="316" spans="1:17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27"/>
      <c r="O316" s="27"/>
      <c r="P316" s="18"/>
      <c r="Q316" s="1"/>
    </row>
    <row r="317" spans="1:17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27"/>
      <c r="O317" s="27"/>
      <c r="P317" s="18"/>
      <c r="Q317" s="1"/>
    </row>
    <row r="318" spans="1:17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27"/>
      <c r="O318" s="27"/>
      <c r="P318" s="18"/>
      <c r="Q318" s="1"/>
    </row>
    <row r="319" spans="1:17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27"/>
      <c r="O319" s="27"/>
      <c r="P319" s="18"/>
      <c r="Q319" s="1"/>
    </row>
    <row r="320" spans="1:17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27"/>
      <c r="O320" s="27"/>
      <c r="P320" s="18"/>
      <c r="Q320" s="1"/>
    </row>
    <row r="321" spans="1:17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27"/>
      <c r="O321" s="27"/>
      <c r="P321" s="18"/>
      <c r="Q321" s="1"/>
    </row>
    <row r="322" spans="1:17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27"/>
      <c r="O322" s="27"/>
      <c r="P322" s="18"/>
      <c r="Q322" s="1"/>
    </row>
    <row r="323" spans="1:17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27"/>
      <c r="O323" s="27"/>
      <c r="P323" s="18"/>
      <c r="Q323" s="1"/>
    </row>
    <row r="324" spans="1:17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27"/>
      <c r="O324" s="27"/>
      <c r="P324" s="18"/>
      <c r="Q324" s="1"/>
    </row>
    <row r="325" spans="1:17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27"/>
      <c r="O325" s="27"/>
      <c r="P325" s="18"/>
      <c r="Q325" s="1"/>
    </row>
    <row r="326" spans="1:17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27"/>
      <c r="O326" s="27"/>
      <c r="P326" s="18"/>
      <c r="Q326" s="1"/>
    </row>
    <row r="327" spans="1:17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27"/>
      <c r="O327" s="27"/>
      <c r="P327" s="18"/>
      <c r="Q327" s="1"/>
    </row>
    <row r="328" spans="1:17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27"/>
      <c r="O328" s="27"/>
      <c r="P328" s="18"/>
      <c r="Q328" s="1"/>
    </row>
    <row r="329" spans="1:17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27"/>
      <c r="O329" s="27"/>
      <c r="P329" s="18"/>
      <c r="Q329" s="1"/>
    </row>
    <row r="330" spans="1:17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27"/>
      <c r="O330" s="27"/>
      <c r="P330" s="18"/>
      <c r="Q330" s="1"/>
    </row>
    <row r="331" spans="1:17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27"/>
      <c r="O331" s="27"/>
      <c r="P331" s="18"/>
      <c r="Q331" s="1"/>
    </row>
    <row r="332" spans="1:17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27"/>
      <c r="O332" s="27"/>
      <c r="P332" s="18"/>
      <c r="Q332" s="1"/>
    </row>
    <row r="333" spans="1:17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27"/>
      <c r="O333" s="27"/>
      <c r="P333" s="18"/>
      <c r="Q333" s="1"/>
    </row>
    <row r="334" spans="1:17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27"/>
      <c r="O334" s="27"/>
      <c r="P334" s="18"/>
      <c r="Q334" s="1"/>
    </row>
    <row r="335" spans="1:17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27"/>
      <c r="O335" s="27"/>
      <c r="P335" s="18"/>
      <c r="Q335" s="1"/>
    </row>
    <row r="336" spans="1:17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27"/>
      <c r="O336" s="27"/>
      <c r="P336" s="18"/>
      <c r="Q336" s="1"/>
    </row>
    <row r="337" spans="1:17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27"/>
      <c r="O337" s="27"/>
      <c r="P337" s="18"/>
      <c r="Q337" s="1"/>
    </row>
    <row r="338" spans="1:17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27"/>
      <c r="O338" s="27"/>
      <c r="P338" s="18"/>
      <c r="Q338" s="1"/>
    </row>
    <row r="339" spans="1:17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27"/>
      <c r="O339" s="27"/>
      <c r="P339" s="18"/>
      <c r="Q339" s="1"/>
    </row>
    <row r="340" spans="1:17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27"/>
      <c r="O340" s="27"/>
      <c r="P340" s="18"/>
      <c r="Q340" s="1"/>
    </row>
    <row r="341" spans="1:17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27"/>
      <c r="O341" s="27"/>
      <c r="P341" s="18"/>
      <c r="Q341" s="1"/>
    </row>
    <row r="342" spans="1:17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27"/>
      <c r="O342" s="27"/>
      <c r="P342" s="18"/>
      <c r="Q342" s="1"/>
    </row>
    <row r="343" spans="1:17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27"/>
      <c r="O343" s="27"/>
      <c r="P343" s="18"/>
      <c r="Q343" s="1"/>
    </row>
    <row r="344" spans="1:17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27"/>
      <c r="O344" s="27"/>
      <c r="P344" s="18"/>
      <c r="Q344" s="1"/>
    </row>
    <row r="345" spans="1:17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27"/>
      <c r="O345" s="27"/>
      <c r="P345" s="18"/>
      <c r="Q345" s="1"/>
    </row>
    <row r="346" spans="1:17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27"/>
      <c r="O346" s="27"/>
      <c r="P346" s="18"/>
      <c r="Q346" s="1"/>
    </row>
    <row r="347" spans="1:17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27"/>
      <c r="O347" s="27"/>
      <c r="P347" s="18"/>
      <c r="Q347" s="1"/>
    </row>
    <row r="348" spans="1:17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27"/>
      <c r="O348" s="27"/>
      <c r="P348" s="18"/>
      <c r="Q348" s="1"/>
    </row>
    <row r="349" spans="1:17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27"/>
      <c r="O349" s="27"/>
      <c r="P349" s="18"/>
      <c r="Q349" s="1"/>
    </row>
    <row r="350" spans="1:17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27"/>
      <c r="O350" s="27"/>
      <c r="P350" s="18"/>
      <c r="Q350" s="1"/>
    </row>
    <row r="351" spans="1:17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27"/>
      <c r="O351" s="27"/>
      <c r="P351" s="18"/>
      <c r="Q351" s="1"/>
    </row>
    <row r="352" spans="1:17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27"/>
      <c r="O352" s="27"/>
      <c r="P352" s="18"/>
      <c r="Q352" s="1"/>
    </row>
    <row r="353" spans="1:17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27"/>
      <c r="O353" s="27"/>
      <c r="P353" s="18"/>
      <c r="Q353" s="1"/>
    </row>
    <row r="354" spans="1:17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27"/>
      <c r="O354" s="27"/>
      <c r="P354" s="18"/>
      <c r="Q354" s="1"/>
    </row>
    <row r="355" spans="1:17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27"/>
      <c r="O355" s="27"/>
      <c r="P355" s="18"/>
      <c r="Q355" s="1"/>
    </row>
    <row r="356" spans="1:17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27"/>
      <c r="O356" s="27"/>
      <c r="P356" s="18"/>
      <c r="Q356" s="1"/>
    </row>
    <row r="357" spans="1:17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27"/>
      <c r="O357" s="27"/>
      <c r="P357" s="18"/>
      <c r="Q357" s="1"/>
    </row>
    <row r="358" spans="1:17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27"/>
      <c r="O358" s="27"/>
      <c r="P358" s="18"/>
      <c r="Q358" s="1"/>
    </row>
    <row r="359" spans="1:17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27"/>
      <c r="O359" s="27"/>
      <c r="P359" s="18"/>
      <c r="Q359" s="1"/>
    </row>
    <row r="360" spans="1:17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27"/>
      <c r="O360" s="27"/>
      <c r="P360" s="18"/>
      <c r="Q360" s="1"/>
    </row>
    <row r="361" spans="1:17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27"/>
      <c r="O361" s="27"/>
      <c r="P361" s="18"/>
      <c r="Q361" s="1"/>
    </row>
    <row r="362" spans="1:17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27"/>
      <c r="O362" s="27"/>
      <c r="P362" s="18"/>
      <c r="Q362" s="1"/>
    </row>
    <row r="363" spans="1:17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27"/>
      <c r="O363" s="27"/>
      <c r="P363" s="18"/>
      <c r="Q363" s="1"/>
    </row>
    <row r="364" spans="1:17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27"/>
      <c r="O364" s="27"/>
      <c r="P364" s="18"/>
      <c r="Q364" s="1"/>
    </row>
    <row r="365" spans="1:17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27"/>
      <c r="O365" s="27"/>
      <c r="P365" s="18"/>
      <c r="Q365" s="1"/>
    </row>
    <row r="366" spans="1:17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27"/>
      <c r="O366" s="27"/>
      <c r="P366" s="18"/>
      <c r="Q366" s="1"/>
    </row>
    <row r="367" spans="1:17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27"/>
      <c r="O367" s="27"/>
      <c r="P367" s="18"/>
      <c r="Q367" s="1"/>
    </row>
    <row r="368" spans="1:17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27"/>
      <c r="O368" s="27"/>
      <c r="P368" s="18"/>
      <c r="Q368" s="1"/>
    </row>
    <row r="369" spans="1:17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27"/>
      <c r="O369" s="27"/>
      <c r="P369" s="18"/>
      <c r="Q369" s="1"/>
    </row>
    <row r="370" spans="1:17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27"/>
      <c r="O370" s="27"/>
      <c r="P370" s="18"/>
      <c r="Q370" s="1"/>
    </row>
    <row r="371" spans="1:17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27"/>
      <c r="O371" s="27"/>
      <c r="P371" s="18"/>
      <c r="Q371" s="1"/>
    </row>
    <row r="372" spans="1:17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27"/>
      <c r="O372" s="27"/>
      <c r="P372" s="18"/>
      <c r="Q372" s="1"/>
    </row>
    <row r="373" spans="1:17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27"/>
      <c r="O373" s="27"/>
      <c r="P373" s="18"/>
      <c r="Q373" s="1"/>
    </row>
    <row r="374" spans="1:17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27"/>
      <c r="O374" s="27"/>
      <c r="P374" s="18"/>
      <c r="Q374" s="1"/>
    </row>
    <row r="375" spans="1:17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27"/>
      <c r="O375" s="27"/>
      <c r="P375" s="18"/>
      <c r="Q375" s="1"/>
    </row>
    <row r="376" spans="1:17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27"/>
      <c r="O376" s="27"/>
      <c r="P376" s="18"/>
      <c r="Q376" s="1"/>
    </row>
    <row r="377" spans="1:17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27"/>
      <c r="O377" s="27"/>
      <c r="P377" s="18"/>
      <c r="Q377" s="1"/>
    </row>
    <row r="378" spans="1:17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27"/>
      <c r="O378" s="27"/>
      <c r="P378" s="18"/>
      <c r="Q378" s="1"/>
    </row>
    <row r="379" spans="1:17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27"/>
      <c r="O379" s="27"/>
      <c r="P379" s="18"/>
      <c r="Q379" s="1"/>
    </row>
    <row r="380" spans="1:17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27"/>
      <c r="O380" s="27"/>
      <c r="P380" s="18"/>
      <c r="Q380" s="1"/>
    </row>
    <row r="381" spans="1:17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27"/>
      <c r="O381" s="27"/>
      <c r="P381" s="18"/>
      <c r="Q381" s="1"/>
    </row>
    <row r="382" spans="1:17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27"/>
      <c r="O382" s="27"/>
      <c r="P382" s="18"/>
      <c r="Q382" s="1"/>
    </row>
    <row r="383" spans="1:17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27"/>
      <c r="O383" s="27"/>
      <c r="P383" s="18"/>
      <c r="Q383" s="1"/>
    </row>
    <row r="384" spans="1:17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27"/>
      <c r="O384" s="27"/>
      <c r="P384" s="18"/>
      <c r="Q384" s="1"/>
    </row>
    <row r="385" spans="1:17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27"/>
      <c r="O385" s="27"/>
      <c r="P385" s="18"/>
      <c r="Q385" s="1"/>
    </row>
    <row r="386" spans="1:17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27"/>
      <c r="O386" s="27"/>
      <c r="P386" s="18"/>
      <c r="Q386" s="1"/>
    </row>
    <row r="387" spans="1:17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27"/>
      <c r="O387" s="27"/>
      <c r="P387" s="18"/>
      <c r="Q387" s="1"/>
    </row>
    <row r="388" spans="1:17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27"/>
      <c r="O388" s="27"/>
      <c r="P388" s="18"/>
      <c r="Q388" s="1"/>
    </row>
    <row r="389" spans="1:17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27"/>
      <c r="O389" s="27"/>
      <c r="P389" s="18"/>
      <c r="Q389" s="1"/>
    </row>
    <row r="390" spans="1:17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27"/>
      <c r="O390" s="27"/>
      <c r="P390" s="18"/>
      <c r="Q390" s="1"/>
    </row>
    <row r="391" spans="1:17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27"/>
      <c r="O391" s="27"/>
      <c r="P391" s="18"/>
      <c r="Q391" s="1"/>
    </row>
    <row r="392" spans="1:17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27"/>
      <c r="O392" s="27"/>
      <c r="P392" s="18"/>
      <c r="Q392" s="1"/>
    </row>
    <row r="393" spans="1:17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27"/>
      <c r="O393" s="27"/>
      <c r="P393" s="18"/>
      <c r="Q393" s="1"/>
    </row>
    <row r="394" spans="1:17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27"/>
      <c r="O394" s="27"/>
      <c r="P394" s="18"/>
      <c r="Q394" s="1"/>
    </row>
    <row r="395" spans="1:17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27"/>
      <c r="O395" s="27"/>
      <c r="P395" s="18"/>
      <c r="Q395" s="1"/>
    </row>
    <row r="396" spans="1:17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27"/>
      <c r="O396" s="27"/>
      <c r="P396" s="18"/>
      <c r="Q396" s="1"/>
    </row>
    <row r="397" spans="1:17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27"/>
      <c r="O397" s="27"/>
      <c r="P397" s="18"/>
      <c r="Q397" s="1"/>
    </row>
    <row r="398" spans="1:17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27"/>
      <c r="O398" s="27"/>
      <c r="P398" s="18"/>
      <c r="Q398" s="1"/>
    </row>
    <row r="399" spans="1:17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27"/>
      <c r="O399" s="27"/>
      <c r="P399" s="18"/>
      <c r="Q399" s="1"/>
    </row>
    <row r="400" spans="1:17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27"/>
      <c r="O400" s="27"/>
      <c r="P400" s="18"/>
      <c r="Q400" s="1"/>
    </row>
    <row r="401" spans="1:17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27"/>
      <c r="O401" s="27"/>
      <c r="P401" s="18"/>
      <c r="Q401" s="1"/>
    </row>
    <row r="402" spans="1:17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27"/>
      <c r="O402" s="27"/>
      <c r="P402" s="18"/>
      <c r="Q402" s="1"/>
    </row>
    <row r="403" spans="1:17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27"/>
      <c r="O403" s="27"/>
      <c r="P403" s="18"/>
      <c r="Q403" s="1"/>
    </row>
    <row r="404" spans="1:17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27"/>
      <c r="O404" s="27"/>
      <c r="P404" s="18"/>
      <c r="Q404" s="1"/>
    </row>
    <row r="405" spans="1:17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27"/>
      <c r="O405" s="27"/>
      <c r="P405" s="18"/>
      <c r="Q405" s="1"/>
    </row>
    <row r="406" spans="1:17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27"/>
      <c r="O406" s="27"/>
      <c r="P406" s="18"/>
      <c r="Q406" s="1"/>
    </row>
    <row r="407" spans="1:17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27"/>
      <c r="O407" s="27"/>
      <c r="P407" s="18"/>
      <c r="Q407" s="1"/>
    </row>
    <row r="408" spans="1:17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27"/>
      <c r="O408" s="27"/>
      <c r="P408" s="18"/>
      <c r="Q408" s="1"/>
    </row>
    <row r="409" spans="1:17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27"/>
      <c r="O409" s="27"/>
      <c r="P409" s="18"/>
      <c r="Q409" s="1"/>
    </row>
    <row r="410" spans="1:17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27"/>
      <c r="O410" s="27"/>
      <c r="P410" s="18"/>
      <c r="Q410" s="1"/>
    </row>
    <row r="411" spans="1:17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27"/>
      <c r="O411" s="27"/>
      <c r="P411" s="18"/>
      <c r="Q411" s="1"/>
    </row>
    <row r="412" spans="1:17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27"/>
      <c r="O412" s="27"/>
      <c r="P412" s="18"/>
      <c r="Q412" s="1"/>
    </row>
    <row r="413" spans="1:17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27"/>
      <c r="O413" s="27"/>
      <c r="P413" s="18"/>
      <c r="Q413" s="1"/>
    </row>
    <row r="414" spans="1:17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27"/>
      <c r="O414" s="27"/>
      <c r="P414" s="18"/>
      <c r="Q414" s="1"/>
    </row>
    <row r="415" spans="1:17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27"/>
      <c r="O415" s="27"/>
      <c r="P415" s="18"/>
      <c r="Q415" s="1"/>
    </row>
    <row r="416" spans="1:17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27"/>
      <c r="O416" s="27"/>
      <c r="P416" s="18"/>
      <c r="Q416" s="1"/>
    </row>
    <row r="417" spans="1:17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27"/>
      <c r="O417" s="27"/>
      <c r="P417" s="18"/>
      <c r="Q417" s="1"/>
    </row>
    <row r="418" spans="1:17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27"/>
      <c r="O418" s="27"/>
      <c r="P418" s="18"/>
      <c r="Q418" s="1"/>
    </row>
    <row r="419" spans="1:17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27"/>
      <c r="O419" s="27"/>
      <c r="P419" s="18"/>
      <c r="Q419" s="1"/>
    </row>
    <row r="420" spans="1:17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27"/>
      <c r="O420" s="27"/>
      <c r="P420" s="18"/>
      <c r="Q420" s="1"/>
    </row>
    <row r="421" spans="1:17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27"/>
      <c r="O421" s="27"/>
      <c r="P421" s="18"/>
      <c r="Q421" s="1"/>
    </row>
    <row r="422" spans="1:17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27"/>
      <c r="O422" s="27"/>
      <c r="P422" s="18"/>
      <c r="Q422" s="1"/>
    </row>
    <row r="423" spans="1:17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27"/>
      <c r="O423" s="27"/>
      <c r="P423" s="18"/>
      <c r="Q423" s="1"/>
    </row>
    <row r="424" spans="1:17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27"/>
      <c r="O424" s="27"/>
      <c r="P424" s="18"/>
      <c r="Q424" s="1"/>
    </row>
    <row r="425" spans="1:17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27"/>
      <c r="O425" s="27"/>
      <c r="P425" s="18"/>
      <c r="Q425" s="1"/>
    </row>
    <row r="426" spans="1:17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27"/>
      <c r="O426" s="27"/>
      <c r="P426" s="18"/>
      <c r="Q426" s="1"/>
    </row>
    <row r="427" spans="1:17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27"/>
      <c r="O427" s="27"/>
      <c r="P427" s="18"/>
      <c r="Q427" s="1"/>
    </row>
    <row r="428" spans="1:17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27"/>
      <c r="O428" s="27"/>
      <c r="P428" s="18"/>
      <c r="Q428" s="1"/>
    </row>
    <row r="429" spans="1:17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27"/>
      <c r="O429" s="27"/>
      <c r="P429" s="18"/>
      <c r="Q429" s="1"/>
    </row>
    <row r="430" spans="1:17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27"/>
      <c r="O430" s="27"/>
      <c r="P430" s="18"/>
      <c r="Q430" s="1"/>
    </row>
    <row r="431" spans="1:17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27"/>
      <c r="O431" s="27"/>
      <c r="P431" s="18"/>
      <c r="Q431" s="1"/>
    </row>
    <row r="432" spans="1:17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27"/>
      <c r="O432" s="27"/>
      <c r="P432" s="18"/>
      <c r="Q432" s="1"/>
    </row>
    <row r="433" spans="1:17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27"/>
      <c r="O433" s="27"/>
      <c r="P433" s="18"/>
      <c r="Q433" s="1"/>
    </row>
    <row r="434" spans="1:17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27"/>
      <c r="O434" s="27"/>
      <c r="P434" s="18"/>
      <c r="Q434" s="1"/>
    </row>
    <row r="435" spans="1:17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27"/>
      <c r="O435" s="27"/>
      <c r="P435" s="18"/>
      <c r="Q435" s="1"/>
    </row>
    <row r="436" spans="1:17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27"/>
      <c r="O436" s="27"/>
      <c r="P436" s="18"/>
      <c r="Q436" s="1"/>
    </row>
    <row r="437" spans="1:17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27"/>
      <c r="O437" s="27"/>
      <c r="P437" s="18"/>
      <c r="Q437" s="1"/>
    </row>
    <row r="438" spans="1:17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27"/>
      <c r="O438" s="27"/>
      <c r="P438" s="18"/>
      <c r="Q438" s="1"/>
    </row>
    <row r="439" spans="1:17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27"/>
      <c r="O439" s="27"/>
      <c r="P439" s="18"/>
      <c r="Q439" s="1"/>
    </row>
    <row r="440" spans="1:17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27"/>
      <c r="O440" s="27"/>
      <c r="P440" s="18"/>
      <c r="Q440" s="1"/>
    </row>
    <row r="441" spans="1:17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27"/>
      <c r="O441" s="27"/>
      <c r="P441" s="18"/>
      <c r="Q441" s="1"/>
    </row>
    <row r="442" spans="1:17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27"/>
      <c r="O442" s="27"/>
      <c r="P442" s="18"/>
      <c r="Q442" s="1"/>
    </row>
    <row r="443" spans="1:17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27"/>
      <c r="O443" s="27"/>
      <c r="P443" s="18"/>
      <c r="Q443" s="1"/>
    </row>
    <row r="444" spans="1:17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27"/>
      <c r="O444" s="27"/>
      <c r="P444" s="18"/>
      <c r="Q444" s="1"/>
    </row>
    <row r="445" spans="1:17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27"/>
      <c r="O445" s="27"/>
      <c r="P445" s="18"/>
      <c r="Q445" s="1"/>
    </row>
    <row r="446" spans="1:17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27"/>
      <c r="O446" s="27"/>
      <c r="P446" s="18"/>
      <c r="Q446" s="1"/>
    </row>
    <row r="447" spans="1:17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27"/>
      <c r="O447" s="27"/>
      <c r="P447" s="18"/>
      <c r="Q447" s="1"/>
    </row>
    <row r="448" spans="1:17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27"/>
      <c r="O448" s="27"/>
      <c r="P448" s="18"/>
      <c r="Q448" s="1"/>
    </row>
    <row r="449" spans="1:17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27"/>
      <c r="O449" s="27"/>
      <c r="P449" s="18"/>
      <c r="Q449" s="1"/>
    </row>
    <row r="450" spans="1:17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27"/>
      <c r="O450" s="27"/>
      <c r="P450" s="18"/>
      <c r="Q450" s="1"/>
    </row>
    <row r="451" spans="1:17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27"/>
      <c r="O451" s="27"/>
      <c r="P451" s="18"/>
      <c r="Q451" s="1"/>
    </row>
    <row r="452" spans="1:17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27"/>
      <c r="O452" s="27"/>
      <c r="P452" s="18"/>
      <c r="Q452" s="1"/>
    </row>
    <row r="453" spans="1:17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27"/>
      <c r="O453" s="27"/>
      <c r="P453" s="18"/>
      <c r="Q453" s="1"/>
    </row>
    <row r="454" spans="1:17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27"/>
      <c r="O454" s="27"/>
      <c r="P454" s="18"/>
      <c r="Q454" s="1"/>
    </row>
    <row r="455" spans="1:17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27"/>
      <c r="O455" s="27"/>
      <c r="P455" s="18"/>
      <c r="Q455" s="1"/>
    </row>
    <row r="456" spans="1:17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27"/>
      <c r="O456" s="27"/>
      <c r="P456" s="18"/>
      <c r="Q456" s="1"/>
    </row>
    <row r="457" spans="1:17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27"/>
      <c r="O457" s="27"/>
      <c r="P457" s="18"/>
      <c r="Q457" s="1"/>
    </row>
    <row r="458" spans="1:17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27"/>
      <c r="O458" s="27"/>
      <c r="P458" s="18"/>
      <c r="Q458" s="1"/>
    </row>
    <row r="459" spans="1:17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27"/>
      <c r="O459" s="27"/>
      <c r="P459" s="18"/>
      <c r="Q459" s="1"/>
    </row>
    <row r="460" spans="1:17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27"/>
      <c r="O460" s="27"/>
      <c r="P460" s="18"/>
      <c r="Q460" s="1"/>
    </row>
    <row r="461" spans="1:17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27"/>
      <c r="O461" s="27"/>
      <c r="P461" s="18"/>
      <c r="Q461" s="1"/>
    </row>
    <row r="462" spans="1:17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27"/>
      <c r="O462" s="27"/>
      <c r="P462" s="18"/>
      <c r="Q462" s="1"/>
    </row>
    <row r="463" spans="1:17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27"/>
      <c r="O463" s="27"/>
      <c r="P463" s="18"/>
      <c r="Q463" s="1"/>
    </row>
    <row r="464" spans="1:17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27"/>
      <c r="O464" s="27"/>
      <c r="P464" s="18"/>
      <c r="Q464" s="1"/>
    </row>
    <row r="465" spans="1:17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27"/>
      <c r="O465" s="27"/>
      <c r="P465" s="18"/>
      <c r="Q465" s="1"/>
    </row>
    <row r="466" spans="1:17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27"/>
      <c r="O466" s="27"/>
      <c r="P466" s="18"/>
      <c r="Q466" s="1"/>
    </row>
    <row r="467" spans="1:17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27"/>
      <c r="O467" s="27"/>
      <c r="P467" s="18"/>
      <c r="Q467" s="1"/>
    </row>
    <row r="468" spans="1:17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27"/>
      <c r="O468" s="27"/>
      <c r="P468" s="18"/>
      <c r="Q468" s="1"/>
    </row>
    <row r="469" spans="1:17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27"/>
      <c r="O469" s="27"/>
      <c r="P469" s="18"/>
      <c r="Q469" s="1"/>
    </row>
    <row r="470" spans="1:17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27"/>
      <c r="O470" s="27"/>
      <c r="P470" s="18"/>
      <c r="Q470" s="1"/>
    </row>
    <row r="471" spans="1:17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27"/>
      <c r="O471" s="27"/>
      <c r="P471" s="18"/>
      <c r="Q471" s="1"/>
    </row>
    <row r="472" spans="1:17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27"/>
      <c r="O472" s="27"/>
      <c r="P472" s="18"/>
      <c r="Q472" s="1"/>
    </row>
    <row r="473" spans="1:17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27"/>
      <c r="O473" s="27"/>
      <c r="P473" s="18"/>
      <c r="Q473" s="1"/>
    </row>
    <row r="474" spans="1:17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27"/>
      <c r="O474" s="27"/>
      <c r="P474" s="18"/>
      <c r="Q474" s="1"/>
    </row>
    <row r="475" spans="1:17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27"/>
      <c r="O475" s="27"/>
      <c r="P475" s="18"/>
      <c r="Q475" s="1"/>
    </row>
    <row r="476" spans="1:17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27"/>
      <c r="O476" s="27"/>
      <c r="P476" s="18"/>
      <c r="Q476" s="1"/>
    </row>
    <row r="477" spans="1:17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27"/>
      <c r="O477" s="27"/>
      <c r="P477" s="18"/>
      <c r="Q477" s="1"/>
    </row>
    <row r="478" spans="1:17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27"/>
      <c r="O478" s="27"/>
      <c r="P478" s="18"/>
      <c r="Q478" s="1"/>
    </row>
    <row r="479" spans="1:17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27"/>
      <c r="O479" s="27"/>
      <c r="P479" s="18"/>
      <c r="Q479" s="1"/>
    </row>
    <row r="480" spans="1:17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27"/>
      <c r="O480" s="27"/>
      <c r="P480" s="18"/>
      <c r="Q480" s="1"/>
    </row>
    <row r="481" spans="1:17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27"/>
      <c r="O481" s="27"/>
      <c r="P481" s="18"/>
      <c r="Q481" s="1"/>
    </row>
    <row r="482" spans="1:17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27"/>
      <c r="O482" s="27"/>
      <c r="P482" s="18"/>
      <c r="Q482" s="1"/>
    </row>
    <row r="483" spans="1:17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27"/>
      <c r="O483" s="27"/>
      <c r="P483" s="18"/>
      <c r="Q483" s="1"/>
    </row>
    <row r="484" spans="1:17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27"/>
      <c r="O484" s="27"/>
      <c r="P484" s="18"/>
      <c r="Q484" s="1"/>
    </row>
    <row r="485" spans="1:17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27"/>
      <c r="O485" s="27"/>
      <c r="P485" s="18"/>
      <c r="Q485" s="1"/>
    </row>
    <row r="486" spans="1:17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27"/>
      <c r="O486" s="27"/>
      <c r="P486" s="18"/>
      <c r="Q486" s="1"/>
    </row>
    <row r="487" spans="1:17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27"/>
      <c r="O487" s="27"/>
      <c r="P487" s="18"/>
      <c r="Q487" s="1"/>
    </row>
    <row r="488" spans="1:17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27"/>
      <c r="O488" s="27"/>
      <c r="P488" s="18"/>
      <c r="Q488" s="1"/>
    </row>
    <row r="489" spans="1:17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27"/>
      <c r="O489" s="27"/>
      <c r="P489" s="18"/>
      <c r="Q489" s="1"/>
    </row>
    <row r="490" spans="1:17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27"/>
      <c r="O490" s="27"/>
      <c r="P490" s="18"/>
      <c r="Q490" s="1"/>
    </row>
    <row r="491" spans="1:17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27"/>
      <c r="O491" s="27"/>
      <c r="P491" s="18"/>
      <c r="Q491" s="1"/>
    </row>
    <row r="492" spans="1:17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27"/>
      <c r="O492" s="27"/>
      <c r="P492" s="18"/>
      <c r="Q492" s="1"/>
    </row>
    <row r="493" spans="1:17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27"/>
      <c r="O493" s="27"/>
      <c r="P493" s="18"/>
      <c r="Q493" s="1"/>
    </row>
    <row r="494" spans="1:17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27"/>
      <c r="O494" s="27"/>
      <c r="P494" s="18"/>
      <c r="Q494" s="1"/>
    </row>
    <row r="495" spans="1:17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27"/>
      <c r="O495" s="27"/>
      <c r="P495" s="18"/>
      <c r="Q495" s="1"/>
    </row>
    <row r="496" spans="1:17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27"/>
      <c r="O496" s="27"/>
      <c r="P496" s="18"/>
      <c r="Q496" s="1"/>
    </row>
    <row r="497" spans="1:17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27"/>
      <c r="O497" s="27"/>
      <c r="P497" s="18"/>
      <c r="Q497" s="1"/>
    </row>
    <row r="498" spans="1:17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27"/>
      <c r="O498" s="27"/>
      <c r="P498" s="18"/>
      <c r="Q498" s="1"/>
    </row>
    <row r="499" spans="1:17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27"/>
      <c r="O499" s="27"/>
      <c r="P499" s="18"/>
      <c r="Q499" s="1"/>
    </row>
    <row r="500" spans="1:17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27"/>
      <c r="O500" s="27"/>
      <c r="P500" s="18"/>
      <c r="Q500" s="1"/>
    </row>
    <row r="501" spans="1:17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27"/>
      <c r="O501" s="27"/>
      <c r="P501" s="18"/>
      <c r="Q501" s="1"/>
    </row>
    <row r="502" spans="1:17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27"/>
      <c r="O502" s="27"/>
      <c r="P502" s="18"/>
      <c r="Q502" s="1"/>
    </row>
    <row r="503" spans="1:17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27"/>
      <c r="O503" s="27"/>
      <c r="P503" s="18"/>
      <c r="Q503" s="1"/>
    </row>
    <row r="504" spans="1:17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27"/>
      <c r="O504" s="27"/>
      <c r="P504" s="18"/>
      <c r="Q504" s="1"/>
    </row>
    <row r="505" spans="1:17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27"/>
      <c r="O505" s="27"/>
      <c r="P505" s="18"/>
      <c r="Q505" s="1"/>
    </row>
    <row r="506" spans="1:17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27"/>
      <c r="O506" s="27"/>
      <c r="P506" s="18"/>
      <c r="Q506" s="1"/>
    </row>
    <row r="507" spans="1:17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27"/>
      <c r="O507" s="27"/>
      <c r="P507" s="18"/>
      <c r="Q507" s="1"/>
    </row>
    <row r="508" spans="1:17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27"/>
      <c r="O508" s="27"/>
      <c r="P508" s="18"/>
      <c r="Q508" s="1"/>
    </row>
    <row r="509" spans="1:17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27"/>
      <c r="O509" s="27"/>
      <c r="P509" s="18"/>
      <c r="Q509" s="1"/>
    </row>
    <row r="510" spans="1:17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27"/>
      <c r="O510" s="27"/>
      <c r="P510" s="18"/>
      <c r="Q510" s="1"/>
    </row>
    <row r="511" spans="1:17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27"/>
      <c r="O511" s="27"/>
      <c r="P511" s="18"/>
      <c r="Q511" s="1"/>
    </row>
    <row r="512" spans="1:17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27"/>
      <c r="O512" s="27"/>
      <c r="P512" s="18"/>
      <c r="Q512" s="1"/>
    </row>
    <row r="513" spans="1:17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27"/>
      <c r="O513" s="27"/>
      <c r="P513" s="18"/>
      <c r="Q513" s="1"/>
    </row>
    <row r="514" spans="1:17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27"/>
      <c r="O514" s="27"/>
      <c r="P514" s="18"/>
      <c r="Q514" s="1"/>
    </row>
    <row r="515" spans="1:17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27"/>
      <c r="O515" s="27"/>
      <c r="P515" s="18"/>
      <c r="Q515" s="1"/>
    </row>
    <row r="516" spans="1:17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27"/>
      <c r="O516" s="27"/>
      <c r="P516" s="18"/>
      <c r="Q516" s="1"/>
    </row>
    <row r="517" spans="1:17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27"/>
      <c r="O517" s="27"/>
      <c r="P517" s="18"/>
      <c r="Q517" s="1"/>
    </row>
    <row r="518" spans="1:17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27"/>
      <c r="O518" s="27"/>
      <c r="P518" s="18"/>
      <c r="Q518" s="1"/>
    </row>
    <row r="519" spans="1:17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27"/>
      <c r="O519" s="27"/>
      <c r="P519" s="18"/>
      <c r="Q519" s="1"/>
    </row>
    <row r="520" spans="1:17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27"/>
      <c r="O520" s="27"/>
      <c r="P520" s="18"/>
      <c r="Q520" s="1"/>
    </row>
    <row r="521" spans="1:17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27"/>
      <c r="O521" s="27"/>
      <c r="P521" s="18"/>
      <c r="Q521" s="1"/>
    </row>
    <row r="522" spans="1:17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27"/>
      <c r="O522" s="27"/>
      <c r="P522" s="18"/>
      <c r="Q522" s="1"/>
    </row>
    <row r="523" spans="1:17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27"/>
      <c r="O523" s="27"/>
      <c r="P523" s="18"/>
      <c r="Q523" s="1"/>
    </row>
    <row r="524" spans="1:17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27"/>
      <c r="O524" s="27"/>
      <c r="P524" s="18"/>
      <c r="Q524" s="1"/>
    </row>
    <row r="525" spans="1:17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27"/>
      <c r="O525" s="27"/>
      <c r="P525" s="18"/>
      <c r="Q525" s="1"/>
    </row>
    <row r="526" spans="1:17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27"/>
      <c r="O526" s="27"/>
      <c r="P526" s="18"/>
      <c r="Q526" s="1"/>
    </row>
    <row r="527" spans="1:17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27"/>
      <c r="O527" s="27"/>
      <c r="P527" s="18"/>
      <c r="Q527" s="1"/>
    </row>
    <row r="528" spans="1:17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27"/>
      <c r="O528" s="27"/>
      <c r="P528" s="18"/>
      <c r="Q528" s="1"/>
    </row>
    <row r="529" spans="1:17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27"/>
      <c r="O529" s="27"/>
      <c r="P529" s="18"/>
      <c r="Q529" s="1"/>
    </row>
    <row r="530" spans="1:17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27"/>
      <c r="O530" s="27"/>
      <c r="P530" s="18"/>
      <c r="Q530" s="1"/>
    </row>
    <row r="531" spans="1:17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27"/>
      <c r="O531" s="27"/>
      <c r="P531" s="18"/>
      <c r="Q531" s="1"/>
    </row>
    <row r="532" spans="1:17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27"/>
      <c r="O532" s="27"/>
      <c r="P532" s="18"/>
      <c r="Q532" s="1"/>
    </row>
    <row r="533" spans="1:17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27"/>
      <c r="O533" s="27"/>
      <c r="P533" s="18"/>
      <c r="Q533" s="1"/>
    </row>
    <row r="534" spans="1:17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27"/>
      <c r="O534" s="27"/>
      <c r="P534" s="18"/>
      <c r="Q534" s="1"/>
    </row>
    <row r="535" spans="1:17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27"/>
      <c r="O535" s="27"/>
      <c r="P535" s="18"/>
      <c r="Q535" s="1"/>
    </row>
    <row r="536" spans="1:17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27"/>
      <c r="O536" s="27"/>
      <c r="P536" s="18"/>
      <c r="Q536" s="1"/>
    </row>
    <row r="537" spans="1:17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27"/>
      <c r="O537" s="27"/>
      <c r="P537" s="18"/>
      <c r="Q537" s="1"/>
    </row>
    <row r="538" spans="1:17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27"/>
      <c r="O538" s="27"/>
      <c r="P538" s="18"/>
      <c r="Q538" s="1"/>
    </row>
    <row r="539" spans="1:17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27"/>
      <c r="O539" s="27"/>
      <c r="P539" s="18"/>
      <c r="Q539" s="1"/>
    </row>
    <row r="540" spans="1:17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27"/>
      <c r="O540" s="27"/>
      <c r="P540" s="18"/>
      <c r="Q540" s="1"/>
    </row>
    <row r="541" spans="1:17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27"/>
      <c r="O541" s="27"/>
      <c r="P541" s="18"/>
      <c r="Q541" s="1"/>
    </row>
    <row r="542" spans="1:17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27"/>
      <c r="O542" s="27"/>
      <c r="P542" s="18"/>
      <c r="Q542" s="1"/>
    </row>
    <row r="543" spans="1:17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27"/>
      <c r="O543" s="27"/>
      <c r="P543" s="18"/>
      <c r="Q543" s="1"/>
    </row>
    <row r="544" spans="1:17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27"/>
      <c r="O544" s="27"/>
      <c r="P544" s="18"/>
      <c r="Q544" s="1"/>
    </row>
    <row r="545" spans="1:17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27"/>
      <c r="O545" s="27"/>
      <c r="P545" s="18"/>
      <c r="Q545" s="1"/>
    </row>
    <row r="546" spans="1:17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27"/>
      <c r="O546" s="27"/>
      <c r="P546" s="18"/>
      <c r="Q546" s="1"/>
    </row>
    <row r="547" spans="1:17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27"/>
      <c r="O547" s="27"/>
      <c r="P547" s="18"/>
      <c r="Q547" s="1"/>
    </row>
    <row r="548" spans="1:17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27"/>
      <c r="O548" s="27"/>
      <c r="P548" s="18"/>
      <c r="Q548" s="1"/>
    </row>
    <row r="549" spans="1:17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27"/>
      <c r="O549" s="27"/>
      <c r="P549" s="18"/>
      <c r="Q549" s="1"/>
    </row>
    <row r="550" spans="1:17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27"/>
      <c r="O550" s="27"/>
      <c r="P550" s="18"/>
      <c r="Q550" s="1"/>
    </row>
    <row r="551" spans="1:17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27"/>
      <c r="O551" s="27"/>
      <c r="P551" s="18"/>
      <c r="Q551" s="1"/>
    </row>
    <row r="552" spans="1:17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27"/>
      <c r="O552" s="27"/>
      <c r="P552" s="18"/>
      <c r="Q552" s="1"/>
    </row>
    <row r="553" spans="1:17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27"/>
      <c r="O553" s="27"/>
      <c r="P553" s="18"/>
      <c r="Q553" s="1"/>
    </row>
    <row r="554" spans="1:17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27"/>
      <c r="O554" s="27"/>
      <c r="P554" s="18"/>
      <c r="Q554" s="1"/>
    </row>
    <row r="555" spans="1:17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27"/>
      <c r="O555" s="27"/>
      <c r="P555" s="18"/>
      <c r="Q555" s="1"/>
    </row>
    <row r="556" spans="1:17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27"/>
      <c r="O556" s="27"/>
      <c r="P556" s="18"/>
      <c r="Q556" s="1"/>
    </row>
    <row r="557" spans="1:17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27"/>
      <c r="O557" s="27"/>
      <c r="P557" s="18"/>
      <c r="Q557" s="1"/>
    </row>
    <row r="558" spans="1:17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27"/>
      <c r="O558" s="27"/>
      <c r="P558" s="18"/>
      <c r="Q558" s="1"/>
    </row>
    <row r="559" spans="1:17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27"/>
      <c r="O559" s="27"/>
      <c r="P559" s="18"/>
      <c r="Q559" s="1"/>
    </row>
    <row r="560" spans="1:17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27"/>
      <c r="O560" s="27"/>
      <c r="P560" s="18"/>
      <c r="Q560" s="1"/>
    </row>
    <row r="561" spans="1:17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27"/>
      <c r="O561" s="27"/>
      <c r="P561" s="18"/>
      <c r="Q561" s="1"/>
    </row>
    <row r="562" spans="1:17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27"/>
      <c r="O562" s="27"/>
      <c r="P562" s="18"/>
      <c r="Q562" s="1"/>
    </row>
    <row r="563" spans="1:17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27"/>
      <c r="O563" s="27"/>
      <c r="P563" s="18"/>
      <c r="Q563" s="1"/>
    </row>
    <row r="564" spans="1:17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27"/>
      <c r="O564" s="27"/>
      <c r="P564" s="18"/>
      <c r="Q564" s="1"/>
    </row>
    <row r="565" spans="1:17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27"/>
      <c r="O565" s="27"/>
      <c r="P565" s="18"/>
      <c r="Q565" s="1"/>
    </row>
    <row r="566" spans="1:17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27"/>
      <c r="O566" s="27"/>
      <c r="P566" s="18"/>
      <c r="Q566" s="1"/>
    </row>
    <row r="567" spans="1:17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27"/>
      <c r="O567" s="27"/>
      <c r="P567" s="18"/>
      <c r="Q567" s="1"/>
    </row>
    <row r="568" spans="1:17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27"/>
      <c r="O568" s="27"/>
      <c r="P568" s="18"/>
      <c r="Q568" s="1"/>
    </row>
    <row r="569" spans="1:17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27"/>
      <c r="O569" s="27"/>
      <c r="P569" s="18"/>
      <c r="Q569" s="1"/>
    </row>
    <row r="570" spans="1:17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27"/>
      <c r="O570" s="27"/>
      <c r="P570" s="18"/>
      <c r="Q570" s="1"/>
    </row>
    <row r="571" spans="1:17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27"/>
      <c r="O571" s="27"/>
      <c r="P571" s="18"/>
      <c r="Q571" s="1"/>
    </row>
    <row r="572" spans="1:17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27"/>
      <c r="O572" s="27"/>
      <c r="P572" s="18"/>
      <c r="Q572" s="1"/>
    </row>
    <row r="573" spans="1:17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27"/>
      <c r="O573" s="27"/>
      <c r="P573" s="18"/>
      <c r="Q573" s="1"/>
    </row>
    <row r="574" spans="1:17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27"/>
      <c r="O574" s="27"/>
      <c r="P574" s="18"/>
      <c r="Q574" s="1"/>
    </row>
    <row r="575" spans="1:17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27"/>
      <c r="O575" s="27"/>
      <c r="P575" s="18"/>
      <c r="Q575" s="1"/>
    </row>
    <row r="576" spans="1:17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27"/>
      <c r="O576" s="27"/>
      <c r="P576" s="18"/>
      <c r="Q576" s="1"/>
    </row>
    <row r="577" spans="1:17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27"/>
      <c r="O577" s="27"/>
      <c r="P577" s="18"/>
      <c r="Q577" s="1"/>
    </row>
    <row r="578" spans="1:17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27"/>
      <c r="O578" s="27"/>
      <c r="P578" s="18"/>
      <c r="Q578" s="1"/>
    </row>
    <row r="579" spans="1:17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27"/>
      <c r="O579" s="27"/>
      <c r="P579" s="18"/>
      <c r="Q579" s="1"/>
    </row>
    <row r="580" spans="1:17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27"/>
      <c r="O580" s="27"/>
      <c r="P580" s="18"/>
      <c r="Q580" s="1"/>
    </row>
    <row r="581" spans="1:17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27"/>
      <c r="O581" s="27"/>
      <c r="P581" s="18"/>
      <c r="Q581" s="1"/>
    </row>
    <row r="582" spans="1:17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27"/>
      <c r="O582" s="27"/>
      <c r="P582" s="18"/>
      <c r="Q582" s="1"/>
    </row>
    <row r="583" spans="1:17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27"/>
      <c r="O583" s="27"/>
      <c r="P583" s="18"/>
      <c r="Q583" s="1"/>
    </row>
    <row r="584" spans="1:17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27"/>
      <c r="O584" s="27"/>
      <c r="P584" s="18"/>
      <c r="Q584" s="1"/>
    </row>
    <row r="585" spans="1:17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27"/>
      <c r="O585" s="27"/>
      <c r="P585" s="18"/>
      <c r="Q585" s="1"/>
    </row>
    <row r="586" spans="1:17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27"/>
      <c r="O586" s="27"/>
      <c r="P586" s="18"/>
      <c r="Q586" s="1"/>
    </row>
    <row r="587" spans="1:17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27"/>
      <c r="O587" s="27"/>
      <c r="P587" s="18"/>
      <c r="Q587" s="1"/>
    </row>
    <row r="588" spans="1:17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27"/>
      <c r="O588" s="27"/>
      <c r="P588" s="18"/>
      <c r="Q588" s="1"/>
    </row>
    <row r="589" spans="1:17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27"/>
      <c r="O589" s="27"/>
      <c r="P589" s="18"/>
      <c r="Q589" s="1"/>
    </row>
    <row r="590" spans="1:17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27"/>
      <c r="O590" s="27"/>
      <c r="P590" s="18"/>
      <c r="Q590" s="1"/>
    </row>
    <row r="591" spans="1:17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27"/>
      <c r="O591" s="27"/>
      <c r="P591" s="18"/>
      <c r="Q591" s="1"/>
    </row>
    <row r="592" spans="1:17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27"/>
      <c r="O592" s="27"/>
      <c r="P592" s="18"/>
      <c r="Q592" s="1"/>
    </row>
    <row r="593" spans="1:17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27"/>
      <c r="O593" s="27"/>
      <c r="P593" s="18"/>
      <c r="Q593" s="1"/>
    </row>
    <row r="594" spans="1:17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27"/>
      <c r="O594" s="27"/>
      <c r="P594" s="18"/>
      <c r="Q594" s="1"/>
    </row>
    <row r="595" spans="1:17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27"/>
      <c r="O595" s="27"/>
      <c r="P595" s="18"/>
      <c r="Q595" s="1"/>
    </row>
    <row r="596" spans="1:17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27"/>
      <c r="O596" s="27"/>
      <c r="P596" s="18"/>
      <c r="Q596" s="1"/>
    </row>
    <row r="597" spans="1:17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27"/>
      <c r="O597" s="27"/>
      <c r="P597" s="18"/>
      <c r="Q597" s="1"/>
    </row>
    <row r="598" spans="1:17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27"/>
      <c r="O598" s="27"/>
      <c r="P598" s="18"/>
      <c r="Q598" s="1"/>
    </row>
    <row r="599" spans="1:17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27"/>
      <c r="O599" s="27"/>
      <c r="P599" s="18"/>
      <c r="Q599" s="1"/>
    </row>
    <row r="600" spans="1:17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27"/>
      <c r="O600" s="27"/>
      <c r="P600" s="18"/>
      <c r="Q600" s="1"/>
    </row>
    <row r="601" spans="1:17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27"/>
      <c r="O601" s="27"/>
      <c r="P601" s="18"/>
      <c r="Q601" s="1"/>
    </row>
    <row r="602" spans="1:17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27"/>
      <c r="O602" s="27"/>
      <c r="P602" s="18"/>
      <c r="Q602" s="1"/>
    </row>
    <row r="603" spans="1:17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27"/>
      <c r="O603" s="27"/>
      <c r="P603" s="18"/>
      <c r="Q603" s="1"/>
    </row>
    <row r="604" spans="1:17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27"/>
      <c r="O604" s="27"/>
      <c r="P604" s="18"/>
      <c r="Q604" s="1"/>
    </row>
    <row r="605" spans="1:17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27"/>
      <c r="O605" s="27"/>
      <c r="P605" s="18"/>
      <c r="Q605" s="1"/>
    </row>
    <row r="606" spans="1:17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27"/>
      <c r="O606" s="27"/>
      <c r="P606" s="18"/>
      <c r="Q606" s="1"/>
    </row>
    <row r="607" spans="1:17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27"/>
      <c r="O607" s="27"/>
      <c r="P607" s="18"/>
      <c r="Q607" s="1"/>
    </row>
    <row r="608" spans="1:17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27"/>
      <c r="O608" s="27"/>
      <c r="P608" s="18"/>
      <c r="Q608" s="1"/>
    </row>
    <row r="609" spans="1:17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27"/>
      <c r="O609" s="27"/>
      <c r="P609" s="18"/>
      <c r="Q609" s="1"/>
    </row>
    <row r="610" spans="1:17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27"/>
      <c r="O610" s="27"/>
      <c r="P610" s="18"/>
      <c r="Q610" s="1"/>
    </row>
    <row r="611" spans="1:17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27"/>
      <c r="O611" s="27"/>
      <c r="P611" s="18"/>
      <c r="Q611" s="1"/>
    </row>
    <row r="612" spans="1:17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27"/>
      <c r="O612" s="27"/>
      <c r="P612" s="18"/>
      <c r="Q612" s="1"/>
    </row>
    <row r="613" spans="1:17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27"/>
      <c r="O613" s="27"/>
      <c r="P613" s="18"/>
      <c r="Q613" s="1"/>
    </row>
    <row r="614" spans="1:17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27"/>
      <c r="O614" s="27"/>
      <c r="P614" s="18"/>
      <c r="Q614" s="1"/>
    </row>
    <row r="615" spans="1:17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27"/>
      <c r="O615" s="27"/>
      <c r="P615" s="18"/>
      <c r="Q615" s="1"/>
    </row>
    <row r="616" spans="1:17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27"/>
      <c r="O616" s="27"/>
      <c r="P616" s="18"/>
      <c r="Q616" s="1"/>
    </row>
    <row r="617" spans="1:17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27"/>
      <c r="O617" s="27"/>
      <c r="P617" s="18"/>
      <c r="Q617" s="1"/>
    </row>
    <row r="618" spans="1:17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27"/>
      <c r="O618" s="27"/>
      <c r="P618" s="18"/>
      <c r="Q618" s="1"/>
    </row>
    <row r="619" spans="1:17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27"/>
      <c r="O619" s="27"/>
      <c r="P619" s="18"/>
      <c r="Q619" s="1"/>
    </row>
    <row r="620" spans="1:17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27"/>
      <c r="O620" s="27"/>
      <c r="P620" s="18"/>
      <c r="Q620" s="1"/>
    </row>
    <row r="621" spans="1:17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27"/>
      <c r="O621" s="27"/>
      <c r="P621" s="18"/>
      <c r="Q621" s="1"/>
    </row>
    <row r="622" spans="1:17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27"/>
      <c r="O622" s="27"/>
      <c r="P622" s="18"/>
      <c r="Q622" s="1"/>
    </row>
    <row r="623" spans="1:17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27"/>
      <c r="O623" s="27"/>
      <c r="P623" s="18"/>
      <c r="Q623" s="1"/>
    </row>
    <row r="624" spans="1:17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27"/>
      <c r="O624" s="27"/>
      <c r="P624" s="18"/>
      <c r="Q624" s="1"/>
    </row>
    <row r="625" spans="1:17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27"/>
      <c r="O625" s="27"/>
      <c r="P625" s="18"/>
      <c r="Q625" s="1"/>
    </row>
    <row r="626" spans="1:17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27"/>
      <c r="O626" s="27"/>
      <c r="P626" s="18"/>
      <c r="Q626" s="1"/>
    </row>
    <row r="627" spans="1:17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27"/>
      <c r="O627" s="27"/>
      <c r="P627" s="18"/>
      <c r="Q627" s="1"/>
    </row>
    <row r="628" spans="1:17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27"/>
      <c r="O628" s="27"/>
      <c r="P628" s="18"/>
      <c r="Q628" s="1"/>
    </row>
    <row r="629" spans="1:17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27"/>
      <c r="O629" s="27"/>
      <c r="P629" s="18"/>
      <c r="Q629" s="1"/>
    </row>
    <row r="630" spans="1:17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27"/>
      <c r="O630" s="27"/>
      <c r="P630" s="18"/>
      <c r="Q630" s="1"/>
    </row>
    <row r="631" spans="1:17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27"/>
      <c r="O631" s="27"/>
      <c r="P631" s="18"/>
      <c r="Q631" s="1"/>
    </row>
    <row r="632" spans="1:17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27"/>
      <c r="O632" s="27"/>
      <c r="P632" s="18"/>
      <c r="Q632" s="1"/>
    </row>
    <row r="633" spans="1:17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27"/>
      <c r="O633" s="27"/>
      <c r="P633" s="18"/>
      <c r="Q633" s="1"/>
    </row>
    <row r="634" spans="1:17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27"/>
      <c r="O634" s="27"/>
      <c r="P634" s="18"/>
      <c r="Q634" s="1"/>
    </row>
    <row r="635" spans="1:17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27"/>
      <c r="O635" s="27"/>
      <c r="P635" s="18"/>
      <c r="Q635" s="1"/>
    </row>
    <row r="636" spans="1:17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27"/>
      <c r="O636" s="27"/>
      <c r="P636" s="18"/>
      <c r="Q636" s="1"/>
    </row>
    <row r="637" spans="1:17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27"/>
      <c r="O637" s="27"/>
      <c r="P637" s="18"/>
      <c r="Q637" s="1"/>
    </row>
    <row r="638" spans="1:17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27"/>
      <c r="O638" s="27"/>
      <c r="P638" s="18"/>
      <c r="Q638" s="1"/>
    </row>
    <row r="639" spans="1:17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27"/>
      <c r="O639" s="27"/>
      <c r="P639" s="18"/>
      <c r="Q639" s="1"/>
    </row>
    <row r="640" spans="1:17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27"/>
      <c r="O640" s="27"/>
      <c r="P640" s="18"/>
      <c r="Q640" s="1"/>
    </row>
    <row r="641" spans="1:17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27"/>
      <c r="O641" s="27"/>
      <c r="P641" s="18"/>
      <c r="Q641" s="1"/>
    </row>
    <row r="642" spans="1:17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27"/>
      <c r="O642" s="27"/>
      <c r="P642" s="18"/>
      <c r="Q642" s="1"/>
    </row>
    <row r="643" spans="1:17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27"/>
      <c r="O643" s="27"/>
      <c r="P643" s="18"/>
      <c r="Q643" s="1"/>
    </row>
    <row r="644" spans="1:17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27"/>
      <c r="O644" s="27"/>
      <c r="P644" s="18"/>
      <c r="Q644" s="1"/>
    </row>
    <row r="645" spans="1:17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27"/>
      <c r="O645" s="27"/>
      <c r="P645" s="18"/>
      <c r="Q645" s="1"/>
    </row>
    <row r="646" spans="1:17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27"/>
      <c r="O646" s="27"/>
      <c r="P646" s="18"/>
      <c r="Q646" s="1"/>
    </row>
    <row r="647" spans="1:17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27"/>
      <c r="O647" s="27"/>
      <c r="P647" s="18"/>
      <c r="Q647" s="1"/>
    </row>
    <row r="648" spans="1:17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27"/>
      <c r="O648" s="27"/>
      <c r="P648" s="18"/>
      <c r="Q648" s="1"/>
    </row>
    <row r="649" spans="1:17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27"/>
      <c r="O649" s="27"/>
      <c r="P649" s="18"/>
      <c r="Q649" s="1"/>
    </row>
    <row r="650" spans="1:17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27"/>
      <c r="O650" s="27"/>
      <c r="P650" s="18"/>
      <c r="Q650" s="1"/>
    </row>
    <row r="651" spans="1:17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27"/>
      <c r="O651" s="27"/>
      <c r="P651" s="18"/>
      <c r="Q651" s="1"/>
    </row>
    <row r="652" spans="1:17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27"/>
      <c r="O652" s="27"/>
      <c r="P652" s="18"/>
      <c r="Q652" s="1"/>
    </row>
    <row r="653" spans="1:17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27"/>
      <c r="O653" s="27"/>
      <c r="P653" s="18"/>
      <c r="Q653" s="1"/>
    </row>
    <row r="654" spans="1:17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27"/>
      <c r="O654" s="27"/>
      <c r="P654" s="18"/>
      <c r="Q654" s="1"/>
    </row>
    <row r="655" spans="1:17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27"/>
      <c r="O655" s="27"/>
      <c r="P655" s="18"/>
      <c r="Q655" s="1"/>
    </row>
    <row r="656" spans="1:17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27"/>
      <c r="O656" s="27"/>
      <c r="P656" s="18"/>
      <c r="Q656" s="1"/>
    </row>
    <row r="657" spans="1:17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27"/>
      <c r="O657" s="27"/>
      <c r="P657" s="18"/>
      <c r="Q657" s="1"/>
    </row>
    <row r="658" spans="1:17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27"/>
      <c r="O658" s="27"/>
      <c r="P658" s="18"/>
      <c r="Q658" s="1"/>
    </row>
    <row r="659" spans="1:17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27"/>
      <c r="O659" s="27"/>
      <c r="P659" s="18"/>
      <c r="Q659" s="1"/>
    </row>
    <row r="660" spans="1:17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27"/>
      <c r="O660" s="27"/>
      <c r="P660" s="18"/>
      <c r="Q660" s="1"/>
    </row>
    <row r="661" spans="1:17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27"/>
      <c r="O661" s="27"/>
      <c r="P661" s="18"/>
      <c r="Q661" s="1"/>
    </row>
    <row r="662" spans="1:17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27"/>
      <c r="O662" s="27"/>
      <c r="P662" s="18"/>
      <c r="Q662" s="1"/>
    </row>
    <row r="663" spans="1:17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27"/>
      <c r="O663" s="27"/>
      <c r="P663" s="18"/>
      <c r="Q663" s="1"/>
    </row>
    <row r="664" spans="1:17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27"/>
      <c r="O664" s="27"/>
      <c r="P664" s="18"/>
      <c r="Q664" s="1"/>
    </row>
    <row r="665" spans="1:17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27"/>
      <c r="O665" s="27"/>
      <c r="P665" s="18"/>
      <c r="Q665" s="1"/>
    </row>
    <row r="666" spans="1:17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27"/>
      <c r="O666" s="27"/>
      <c r="P666" s="18"/>
      <c r="Q666" s="1"/>
    </row>
    <row r="667" spans="1:17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27"/>
      <c r="O667" s="27"/>
      <c r="P667" s="18"/>
      <c r="Q667" s="1"/>
    </row>
    <row r="668" spans="1:17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27"/>
      <c r="O668" s="27"/>
      <c r="P668" s="18"/>
      <c r="Q668" s="1"/>
    </row>
    <row r="669" spans="1:17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27"/>
      <c r="O669" s="27"/>
      <c r="P669" s="18"/>
      <c r="Q669" s="1"/>
    </row>
    <row r="670" spans="1:17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27"/>
      <c r="O670" s="27"/>
      <c r="P670" s="18"/>
      <c r="Q670" s="1"/>
    </row>
    <row r="671" spans="1:17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27"/>
      <c r="O671" s="27"/>
      <c r="P671" s="18"/>
      <c r="Q671" s="1"/>
    </row>
    <row r="672" spans="1:17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27"/>
      <c r="O672" s="27"/>
      <c r="P672" s="18"/>
      <c r="Q672" s="1"/>
    </row>
    <row r="673" spans="1:17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27"/>
      <c r="O673" s="27"/>
      <c r="P673" s="18"/>
      <c r="Q673" s="1"/>
    </row>
    <row r="674" spans="1:17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27"/>
      <c r="O674" s="27"/>
      <c r="P674" s="18"/>
      <c r="Q674" s="1"/>
    </row>
    <row r="675" spans="1:17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27"/>
      <c r="O675" s="27"/>
      <c r="P675" s="18"/>
      <c r="Q675" s="1"/>
    </row>
    <row r="676" spans="1:17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27"/>
      <c r="O676" s="27"/>
      <c r="P676" s="18"/>
      <c r="Q676" s="1"/>
    </row>
    <row r="677" spans="1:17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27"/>
      <c r="O677" s="27"/>
      <c r="P677" s="18"/>
      <c r="Q677" s="1"/>
    </row>
    <row r="678" spans="1:17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27"/>
      <c r="O678" s="27"/>
      <c r="P678" s="18"/>
      <c r="Q678" s="1"/>
    </row>
    <row r="679" spans="1:17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27"/>
      <c r="O679" s="27"/>
      <c r="P679" s="18"/>
      <c r="Q679" s="1"/>
    </row>
    <row r="680" spans="1:17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27"/>
      <c r="O680" s="27"/>
      <c r="P680" s="18"/>
      <c r="Q680" s="1"/>
    </row>
    <row r="681" spans="1:17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27"/>
      <c r="O681" s="27"/>
      <c r="P681" s="18"/>
      <c r="Q681" s="1"/>
    </row>
    <row r="682" spans="1:17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27"/>
      <c r="O682" s="27"/>
      <c r="P682" s="18"/>
      <c r="Q682" s="1"/>
    </row>
    <row r="683" spans="1:17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27"/>
      <c r="O683" s="27"/>
      <c r="P683" s="18"/>
      <c r="Q683" s="1"/>
    </row>
    <row r="684" spans="1:17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27"/>
      <c r="O684" s="27"/>
      <c r="P684" s="18"/>
      <c r="Q684" s="1"/>
    </row>
    <row r="685" spans="1:17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27"/>
      <c r="O685" s="27"/>
      <c r="P685" s="18"/>
      <c r="Q685" s="1"/>
    </row>
    <row r="686" spans="1:17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27"/>
      <c r="O686" s="27"/>
      <c r="P686" s="18"/>
      <c r="Q686" s="1"/>
    </row>
    <row r="687" spans="1:17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27"/>
      <c r="O687" s="27"/>
      <c r="P687" s="18"/>
      <c r="Q687" s="1"/>
    </row>
    <row r="688" spans="1:17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27"/>
      <c r="O688" s="27"/>
      <c r="P688" s="18"/>
      <c r="Q688" s="1"/>
    </row>
    <row r="689" spans="1:17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27"/>
      <c r="O689" s="27"/>
      <c r="P689" s="18"/>
      <c r="Q689" s="1"/>
    </row>
    <row r="690" spans="1:17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27"/>
      <c r="O690" s="27"/>
      <c r="P690" s="18"/>
      <c r="Q690" s="1"/>
    </row>
    <row r="691" spans="1:17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27"/>
      <c r="O691" s="27"/>
      <c r="P691" s="18"/>
      <c r="Q691" s="1"/>
    </row>
    <row r="692" spans="1:17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27"/>
      <c r="O692" s="27"/>
      <c r="P692" s="18"/>
      <c r="Q692" s="1"/>
    </row>
    <row r="693" spans="1:17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27"/>
      <c r="O693" s="27"/>
      <c r="P693" s="18"/>
      <c r="Q693" s="1"/>
    </row>
    <row r="694" spans="1:17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27"/>
      <c r="O694" s="27"/>
      <c r="P694" s="18"/>
      <c r="Q694" s="1"/>
    </row>
    <row r="695" spans="1:17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27"/>
      <c r="O695" s="27"/>
      <c r="P695" s="18"/>
      <c r="Q695" s="1"/>
    </row>
    <row r="696" spans="1:17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27"/>
      <c r="O696" s="27"/>
      <c r="P696" s="18"/>
      <c r="Q696" s="1"/>
    </row>
    <row r="697" spans="1:17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27"/>
      <c r="O697" s="27"/>
      <c r="P697" s="18"/>
      <c r="Q697" s="1"/>
    </row>
    <row r="698" spans="1:17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27"/>
      <c r="O698" s="27"/>
      <c r="P698" s="18"/>
      <c r="Q698" s="1"/>
    </row>
    <row r="699" spans="1:17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27"/>
      <c r="O699" s="27"/>
      <c r="P699" s="18"/>
      <c r="Q699" s="1"/>
    </row>
    <row r="700" spans="1:17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27"/>
      <c r="O700" s="27"/>
      <c r="P700" s="18"/>
      <c r="Q700" s="1"/>
    </row>
    <row r="701" spans="1:17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27"/>
      <c r="O701" s="27"/>
      <c r="P701" s="18"/>
      <c r="Q701" s="1"/>
    </row>
    <row r="702" spans="1:17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27"/>
      <c r="O702" s="27"/>
      <c r="P702" s="18"/>
      <c r="Q702" s="1"/>
    </row>
    <row r="703" spans="1:17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27"/>
      <c r="O703" s="27"/>
      <c r="P703" s="18"/>
      <c r="Q703" s="1"/>
    </row>
    <row r="704" spans="1:17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27"/>
      <c r="O704" s="27"/>
      <c r="P704" s="18"/>
      <c r="Q704" s="1"/>
    </row>
    <row r="705" spans="1:17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27"/>
      <c r="O705" s="27"/>
      <c r="P705" s="18"/>
      <c r="Q705" s="1"/>
    </row>
    <row r="706" spans="1:17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27"/>
      <c r="O706" s="27"/>
      <c r="P706" s="18"/>
      <c r="Q706" s="1"/>
    </row>
    <row r="707" spans="1:17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27"/>
      <c r="O707" s="27"/>
      <c r="P707" s="18"/>
      <c r="Q707" s="1"/>
    </row>
    <row r="708" spans="1:17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27"/>
      <c r="O708" s="27"/>
      <c r="P708" s="18"/>
      <c r="Q708" s="1"/>
    </row>
    <row r="709" spans="1:17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27"/>
      <c r="O709" s="27"/>
      <c r="P709" s="18"/>
      <c r="Q709" s="1"/>
    </row>
    <row r="710" spans="1:17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27"/>
      <c r="O710" s="27"/>
      <c r="P710" s="18"/>
      <c r="Q710" s="1"/>
    </row>
    <row r="711" spans="1:17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27"/>
      <c r="O711" s="27"/>
      <c r="P711" s="18"/>
      <c r="Q711" s="1"/>
    </row>
    <row r="712" spans="1:17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27"/>
      <c r="O712" s="27"/>
      <c r="P712" s="18"/>
      <c r="Q712" s="1"/>
    </row>
    <row r="713" spans="1:17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27"/>
      <c r="O713" s="27"/>
      <c r="P713" s="18"/>
      <c r="Q713" s="1"/>
    </row>
    <row r="714" spans="1:17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27"/>
      <c r="O714" s="27"/>
      <c r="P714" s="18"/>
      <c r="Q714" s="1"/>
    </row>
    <row r="715" spans="1:17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27"/>
      <c r="O715" s="27"/>
      <c r="P715" s="18"/>
      <c r="Q715" s="1"/>
    </row>
    <row r="716" spans="1:17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27"/>
      <c r="O716" s="27"/>
      <c r="P716" s="18"/>
      <c r="Q716" s="1"/>
    </row>
    <row r="717" spans="1:17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27"/>
      <c r="O717" s="27"/>
      <c r="P717" s="18"/>
      <c r="Q717" s="1"/>
    </row>
    <row r="718" spans="1:17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27"/>
      <c r="O718" s="27"/>
      <c r="P718" s="18"/>
      <c r="Q718" s="1"/>
    </row>
    <row r="719" spans="1:17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27"/>
      <c r="O719" s="27"/>
      <c r="P719" s="18"/>
      <c r="Q719" s="1"/>
    </row>
    <row r="720" spans="1:17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27"/>
      <c r="O720" s="27"/>
      <c r="P720" s="18"/>
      <c r="Q720" s="1"/>
    </row>
    <row r="721" spans="1:17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27"/>
      <c r="O721" s="27"/>
      <c r="P721" s="18"/>
      <c r="Q721" s="1"/>
    </row>
    <row r="722" spans="1:17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27"/>
      <c r="O722" s="27"/>
      <c r="P722" s="18"/>
      <c r="Q722" s="1"/>
    </row>
    <row r="723" spans="1:17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27"/>
      <c r="O723" s="27"/>
      <c r="P723" s="18"/>
      <c r="Q723" s="1"/>
    </row>
    <row r="724" spans="1:17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27"/>
      <c r="O724" s="27"/>
      <c r="P724" s="18"/>
      <c r="Q724" s="1"/>
    </row>
    <row r="725" spans="1:17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27"/>
      <c r="O725" s="27"/>
      <c r="P725" s="18"/>
      <c r="Q725" s="1"/>
    </row>
    <row r="726" spans="1:17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27"/>
      <c r="O726" s="27"/>
      <c r="P726" s="18"/>
      <c r="Q726" s="1"/>
    </row>
    <row r="727" spans="1:17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27"/>
      <c r="O727" s="27"/>
      <c r="P727" s="18"/>
      <c r="Q727" s="1"/>
    </row>
    <row r="728" spans="1:17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27"/>
      <c r="O728" s="27"/>
      <c r="P728" s="18"/>
      <c r="Q728" s="1"/>
    </row>
    <row r="729" spans="1:17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27"/>
      <c r="O729" s="27"/>
      <c r="P729" s="18"/>
      <c r="Q729" s="1"/>
    </row>
    <row r="730" spans="1:17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27"/>
      <c r="O730" s="27"/>
      <c r="P730" s="18"/>
      <c r="Q730" s="1"/>
    </row>
    <row r="731" spans="1:17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27"/>
      <c r="O731" s="27"/>
      <c r="P731" s="18"/>
      <c r="Q731" s="1"/>
    </row>
    <row r="732" spans="1:17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27"/>
      <c r="O732" s="27"/>
      <c r="P732" s="18"/>
      <c r="Q732" s="1"/>
    </row>
    <row r="733" spans="1:17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27"/>
      <c r="O733" s="27"/>
      <c r="P733" s="18"/>
      <c r="Q733" s="1"/>
    </row>
    <row r="734" spans="1:17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27"/>
      <c r="O734" s="27"/>
      <c r="P734" s="18"/>
      <c r="Q734" s="1"/>
    </row>
    <row r="735" spans="1:17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27"/>
      <c r="O735" s="27"/>
      <c r="P735" s="18"/>
      <c r="Q735" s="1"/>
    </row>
    <row r="736" spans="1:17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27"/>
      <c r="O736" s="27"/>
      <c r="P736" s="18"/>
      <c r="Q736" s="1"/>
    </row>
    <row r="737" spans="1:17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27"/>
      <c r="O737" s="27"/>
      <c r="P737" s="18"/>
      <c r="Q737" s="1"/>
    </row>
    <row r="738" spans="1:17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27"/>
      <c r="O738" s="27"/>
      <c r="P738" s="18"/>
      <c r="Q738" s="1"/>
    </row>
    <row r="739" spans="1:17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27"/>
      <c r="O739" s="27"/>
      <c r="P739" s="18"/>
      <c r="Q739" s="1"/>
    </row>
    <row r="740" spans="1:17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27"/>
      <c r="O740" s="27"/>
      <c r="P740" s="18"/>
      <c r="Q740" s="1"/>
    </row>
    <row r="741" spans="1:17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27"/>
      <c r="O741" s="27"/>
      <c r="P741" s="18"/>
      <c r="Q741" s="1"/>
    </row>
    <row r="742" spans="1:17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27"/>
      <c r="O742" s="27"/>
      <c r="P742" s="18"/>
      <c r="Q742" s="1"/>
    </row>
    <row r="743" spans="1:17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27"/>
      <c r="O743" s="27"/>
      <c r="P743" s="18"/>
      <c r="Q743" s="1"/>
    </row>
    <row r="744" spans="1:17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27"/>
      <c r="O744" s="27"/>
      <c r="P744" s="18"/>
      <c r="Q744" s="1"/>
    </row>
    <row r="745" spans="1:17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27"/>
      <c r="O745" s="27"/>
      <c r="P745" s="18"/>
      <c r="Q745" s="1"/>
    </row>
    <row r="746" spans="1:17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27"/>
      <c r="O746" s="27"/>
      <c r="P746" s="18"/>
      <c r="Q746" s="1"/>
    </row>
    <row r="747" spans="1:17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27"/>
      <c r="O747" s="27"/>
      <c r="P747" s="18"/>
      <c r="Q747" s="1"/>
    </row>
    <row r="748" spans="1:17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27"/>
      <c r="O748" s="27"/>
      <c r="P748" s="18"/>
      <c r="Q748" s="1"/>
    </row>
    <row r="749" spans="1:17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27"/>
      <c r="O749" s="27"/>
      <c r="P749" s="18"/>
      <c r="Q749" s="1"/>
    </row>
    <row r="750" spans="1:17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27"/>
      <c r="O750" s="27"/>
      <c r="P750" s="18"/>
      <c r="Q750" s="1"/>
    </row>
    <row r="751" spans="1:17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27"/>
      <c r="O751" s="27"/>
      <c r="P751" s="18"/>
      <c r="Q751" s="1"/>
    </row>
    <row r="752" spans="1:17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27"/>
      <c r="O752" s="27"/>
      <c r="P752" s="18"/>
      <c r="Q752" s="1"/>
    </row>
    <row r="753" spans="1:17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27"/>
      <c r="O753" s="27"/>
      <c r="P753" s="18"/>
      <c r="Q753" s="1"/>
    </row>
    <row r="754" spans="1:17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27"/>
      <c r="O754" s="27"/>
      <c r="P754" s="18"/>
      <c r="Q754" s="1"/>
    </row>
    <row r="755" spans="1:17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27"/>
      <c r="O755" s="27"/>
      <c r="P755" s="18"/>
      <c r="Q755" s="1"/>
    </row>
    <row r="756" spans="1:17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27"/>
      <c r="O756" s="27"/>
      <c r="P756" s="18"/>
      <c r="Q756" s="1"/>
    </row>
    <row r="757" spans="1:17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27"/>
      <c r="O757" s="27"/>
      <c r="P757" s="18"/>
      <c r="Q757" s="1"/>
    </row>
    <row r="758" spans="1:17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27"/>
      <c r="O758" s="27"/>
      <c r="P758" s="18"/>
      <c r="Q758" s="1"/>
    </row>
    <row r="759" spans="1:17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27"/>
      <c r="O759" s="27"/>
      <c r="P759" s="18"/>
      <c r="Q759" s="1"/>
    </row>
    <row r="760" spans="1:17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27"/>
      <c r="O760" s="27"/>
      <c r="P760" s="18"/>
      <c r="Q760" s="1"/>
    </row>
    <row r="761" spans="1:17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27"/>
      <c r="O761" s="27"/>
      <c r="P761" s="18"/>
      <c r="Q761" s="1"/>
    </row>
    <row r="762" spans="1:17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27"/>
      <c r="O762" s="27"/>
      <c r="P762" s="18"/>
      <c r="Q762" s="1"/>
    </row>
    <row r="763" spans="1:17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27"/>
      <c r="O763" s="27"/>
      <c r="P763" s="18"/>
      <c r="Q763" s="1"/>
    </row>
    <row r="764" spans="1:17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27"/>
      <c r="O764" s="27"/>
      <c r="P764" s="18"/>
      <c r="Q764" s="1"/>
    </row>
    <row r="765" spans="1:17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27"/>
      <c r="O765" s="27"/>
      <c r="P765" s="18"/>
      <c r="Q765" s="1"/>
    </row>
    <row r="766" spans="1:17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27"/>
      <c r="O766" s="27"/>
      <c r="P766" s="18"/>
      <c r="Q766" s="1"/>
    </row>
    <row r="767" spans="1:17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27"/>
      <c r="O767" s="27"/>
      <c r="P767" s="18"/>
      <c r="Q767" s="1"/>
    </row>
    <row r="768" spans="1:17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27"/>
      <c r="O768" s="27"/>
      <c r="P768" s="18"/>
      <c r="Q768" s="1"/>
    </row>
    <row r="769" spans="1:17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27"/>
      <c r="O769" s="27"/>
      <c r="P769" s="18"/>
      <c r="Q769" s="1"/>
    </row>
    <row r="770" spans="1:17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27"/>
      <c r="O770" s="27"/>
      <c r="P770" s="18"/>
      <c r="Q770" s="1"/>
    </row>
    <row r="771" spans="1:17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27"/>
      <c r="O771" s="27"/>
      <c r="P771" s="18"/>
      <c r="Q771" s="1"/>
    </row>
    <row r="772" spans="1:17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27"/>
      <c r="O772" s="27"/>
      <c r="P772" s="18"/>
      <c r="Q772" s="1"/>
    </row>
    <row r="773" spans="1:17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27"/>
      <c r="O773" s="27"/>
      <c r="P773" s="18"/>
      <c r="Q773" s="1"/>
    </row>
    <row r="774" spans="1:17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27"/>
      <c r="O774" s="27"/>
      <c r="P774" s="18"/>
      <c r="Q774" s="1"/>
    </row>
    <row r="775" spans="1:17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27"/>
      <c r="O775" s="27"/>
      <c r="P775" s="18"/>
      <c r="Q775" s="1"/>
    </row>
    <row r="776" spans="1:17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27"/>
      <c r="O776" s="27"/>
      <c r="P776" s="18"/>
      <c r="Q776" s="1"/>
    </row>
    <row r="777" spans="1:17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27"/>
      <c r="O777" s="27"/>
      <c r="P777" s="18"/>
      <c r="Q777" s="1"/>
    </row>
    <row r="778" spans="1:17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27"/>
      <c r="O778" s="27"/>
      <c r="P778" s="18"/>
      <c r="Q778" s="1"/>
    </row>
    <row r="779" spans="1:17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27"/>
      <c r="O779" s="27"/>
      <c r="P779" s="18"/>
      <c r="Q779" s="1"/>
    </row>
    <row r="780" spans="1:17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27"/>
      <c r="O780" s="27"/>
      <c r="P780" s="18"/>
      <c r="Q780" s="1"/>
    </row>
    <row r="781" spans="1:17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27"/>
      <c r="O781" s="27"/>
      <c r="P781" s="18"/>
      <c r="Q781" s="1"/>
    </row>
    <row r="782" spans="1:17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27"/>
      <c r="O782" s="27"/>
      <c r="P782" s="18"/>
      <c r="Q782" s="1"/>
    </row>
    <row r="783" spans="1:17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27"/>
      <c r="O783" s="27"/>
      <c r="P783" s="18"/>
      <c r="Q783" s="1"/>
    </row>
    <row r="784" spans="1:17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27"/>
      <c r="O784" s="27"/>
      <c r="P784" s="18"/>
      <c r="Q784" s="1"/>
    </row>
    <row r="785" spans="1:17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27"/>
      <c r="O785" s="27"/>
      <c r="P785" s="18"/>
      <c r="Q785" s="1"/>
    </row>
    <row r="786" spans="1:17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27"/>
      <c r="O786" s="27"/>
      <c r="P786" s="18"/>
      <c r="Q786" s="1"/>
    </row>
    <row r="787" spans="1:17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27"/>
      <c r="O787" s="27"/>
      <c r="P787" s="18"/>
      <c r="Q787" s="1"/>
    </row>
    <row r="788" spans="1:17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27"/>
      <c r="O788" s="27"/>
      <c r="P788" s="18"/>
      <c r="Q788" s="1"/>
    </row>
    <row r="789" spans="1:17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27"/>
      <c r="O789" s="27"/>
      <c r="P789" s="18"/>
      <c r="Q789" s="1"/>
    </row>
    <row r="790" spans="1:17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27"/>
      <c r="O790" s="27"/>
      <c r="P790" s="18"/>
      <c r="Q790" s="1"/>
    </row>
    <row r="791" spans="1:17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27"/>
      <c r="O791" s="27"/>
      <c r="P791" s="18"/>
      <c r="Q791" s="1"/>
    </row>
    <row r="792" spans="1:17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27"/>
      <c r="O792" s="27"/>
      <c r="P792" s="18"/>
      <c r="Q792" s="1"/>
    </row>
    <row r="793" spans="1:17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27"/>
      <c r="O793" s="27"/>
      <c r="P793" s="18"/>
      <c r="Q793" s="1"/>
    </row>
    <row r="794" spans="1:17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27"/>
      <c r="O794" s="27"/>
      <c r="P794" s="18"/>
      <c r="Q794" s="1"/>
    </row>
    <row r="795" spans="1:17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27"/>
      <c r="O795" s="27"/>
      <c r="P795" s="18"/>
      <c r="Q795" s="1"/>
    </row>
    <row r="796" spans="1:17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27"/>
      <c r="O796" s="27"/>
      <c r="P796" s="18"/>
      <c r="Q796" s="1"/>
    </row>
    <row r="797" spans="1:17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27"/>
      <c r="O797" s="27"/>
      <c r="P797" s="18"/>
      <c r="Q797" s="1"/>
    </row>
    <row r="798" spans="1:17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27"/>
      <c r="O798" s="27"/>
      <c r="P798" s="18"/>
      <c r="Q798" s="1"/>
    </row>
    <row r="799" spans="1:17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27"/>
      <c r="O799" s="27"/>
      <c r="P799" s="18"/>
      <c r="Q799" s="1"/>
    </row>
    <row r="800" spans="1:17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27"/>
      <c r="O800" s="27"/>
      <c r="P800" s="18"/>
      <c r="Q800" s="1"/>
    </row>
    <row r="801" spans="1:17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27"/>
      <c r="O801" s="27"/>
      <c r="P801" s="18"/>
      <c r="Q801" s="1"/>
    </row>
    <row r="802" spans="1:17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27"/>
      <c r="O802" s="27"/>
      <c r="P802" s="18"/>
      <c r="Q802" s="1"/>
    </row>
    <row r="803" spans="1:17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27"/>
      <c r="O803" s="27"/>
      <c r="P803" s="18"/>
      <c r="Q803" s="1"/>
    </row>
    <row r="804" spans="1:17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27"/>
      <c r="O804" s="27"/>
      <c r="P804" s="18"/>
      <c r="Q804" s="1"/>
    </row>
    <row r="805" spans="1:17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27"/>
      <c r="O805" s="27"/>
      <c r="P805" s="18"/>
      <c r="Q805" s="1"/>
    </row>
    <row r="806" spans="1:17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27"/>
      <c r="O806" s="27"/>
      <c r="P806" s="18"/>
      <c r="Q806" s="1"/>
    </row>
    <row r="807" spans="1:17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27"/>
      <c r="O807" s="27"/>
      <c r="P807" s="18"/>
      <c r="Q807" s="1"/>
    </row>
    <row r="808" spans="1:17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27"/>
      <c r="O808" s="27"/>
      <c r="P808" s="18"/>
      <c r="Q808" s="1"/>
    </row>
    <row r="809" spans="1:17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27"/>
      <c r="O809" s="27"/>
      <c r="P809" s="18"/>
      <c r="Q809" s="1"/>
    </row>
    <row r="810" spans="1:17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27"/>
      <c r="O810" s="27"/>
      <c r="P810" s="18"/>
      <c r="Q810" s="1"/>
    </row>
    <row r="811" spans="1:17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27"/>
      <c r="O811" s="27"/>
      <c r="P811" s="18"/>
      <c r="Q811" s="1"/>
    </row>
    <row r="812" spans="1:17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27"/>
      <c r="O812" s="27"/>
      <c r="P812" s="18"/>
      <c r="Q812" s="1"/>
    </row>
    <row r="813" spans="1:17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27"/>
      <c r="O813" s="27"/>
      <c r="P813" s="18"/>
      <c r="Q813" s="1"/>
    </row>
    <row r="814" spans="1:17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27"/>
      <c r="O814" s="27"/>
      <c r="P814" s="18"/>
      <c r="Q814" s="1"/>
    </row>
    <row r="815" spans="1:17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27"/>
      <c r="O815" s="27"/>
      <c r="P815" s="18"/>
      <c r="Q815" s="1"/>
    </row>
    <row r="816" spans="1:17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27"/>
      <c r="O816" s="27"/>
      <c r="P816" s="18"/>
      <c r="Q816" s="1"/>
    </row>
    <row r="817" spans="1:17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27"/>
      <c r="O817" s="27"/>
      <c r="P817" s="18"/>
      <c r="Q817" s="1"/>
    </row>
    <row r="818" spans="1:17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27"/>
      <c r="O818" s="27"/>
      <c r="P818" s="18"/>
      <c r="Q818" s="1"/>
    </row>
    <row r="819" spans="1:17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27"/>
      <c r="O819" s="27"/>
      <c r="P819" s="18"/>
      <c r="Q819" s="1"/>
    </row>
    <row r="820" spans="1:17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27"/>
      <c r="O820" s="27"/>
      <c r="P820" s="18"/>
      <c r="Q820" s="1"/>
    </row>
    <row r="821" spans="1:17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27"/>
      <c r="O821" s="27"/>
      <c r="P821" s="18"/>
      <c r="Q821" s="1"/>
    </row>
    <row r="822" spans="1:17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27"/>
      <c r="O822" s="27"/>
      <c r="P822" s="18"/>
      <c r="Q822" s="1"/>
    </row>
    <row r="823" spans="1:17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27"/>
      <c r="O823" s="27"/>
      <c r="P823" s="18"/>
      <c r="Q823" s="1"/>
    </row>
    <row r="824" spans="1:17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27"/>
      <c r="O824" s="27"/>
      <c r="P824" s="18"/>
      <c r="Q824" s="1"/>
    </row>
    <row r="825" spans="1:17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27"/>
      <c r="O825" s="27"/>
      <c r="P825" s="18"/>
      <c r="Q825" s="1"/>
    </row>
    <row r="826" spans="1:17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27"/>
      <c r="O826" s="27"/>
      <c r="P826" s="18"/>
      <c r="Q826" s="1"/>
    </row>
    <row r="827" spans="1:17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27"/>
      <c r="O827" s="27"/>
      <c r="P827" s="18"/>
      <c r="Q827" s="1"/>
    </row>
    <row r="828" spans="1:17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27"/>
      <c r="O828" s="27"/>
      <c r="P828" s="18"/>
      <c r="Q828" s="1"/>
    </row>
    <row r="829" spans="1:17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27"/>
      <c r="O829" s="27"/>
      <c r="P829" s="18"/>
      <c r="Q829" s="1"/>
    </row>
    <row r="830" spans="1:17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27"/>
      <c r="O830" s="27"/>
      <c r="P830" s="18"/>
      <c r="Q830" s="1"/>
    </row>
    <row r="831" spans="1:17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27"/>
      <c r="O831" s="27"/>
      <c r="P831" s="18"/>
      <c r="Q831" s="1"/>
    </row>
    <row r="832" spans="1:17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27"/>
      <c r="O832" s="27"/>
      <c r="P832" s="18"/>
      <c r="Q832" s="1"/>
    </row>
    <row r="833" spans="1:17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27"/>
      <c r="O833" s="27"/>
      <c r="P833" s="18"/>
      <c r="Q833" s="1"/>
    </row>
    <row r="834" spans="1:17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27"/>
      <c r="O834" s="27"/>
      <c r="P834" s="18"/>
      <c r="Q834" s="1"/>
    </row>
    <row r="835" spans="1:17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27"/>
      <c r="O835" s="27"/>
      <c r="P835" s="18"/>
      <c r="Q835" s="1"/>
    </row>
    <row r="836" spans="1:17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27"/>
      <c r="O836" s="27"/>
      <c r="P836" s="18"/>
      <c r="Q836" s="1"/>
    </row>
    <row r="837" spans="1:17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27"/>
      <c r="O837" s="27"/>
      <c r="P837" s="18"/>
      <c r="Q837" s="1"/>
    </row>
    <row r="838" spans="1:17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27"/>
      <c r="O838" s="27"/>
      <c r="P838" s="18"/>
      <c r="Q838" s="1"/>
    </row>
    <row r="839" spans="1:17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27"/>
      <c r="O839" s="27"/>
      <c r="P839" s="18"/>
      <c r="Q839" s="1"/>
    </row>
    <row r="840" spans="1:17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27"/>
      <c r="O840" s="27"/>
      <c r="P840" s="18"/>
      <c r="Q840" s="1"/>
    </row>
    <row r="841" spans="1:17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27"/>
      <c r="O841" s="27"/>
      <c r="P841" s="18"/>
      <c r="Q841" s="1"/>
    </row>
    <row r="842" spans="1:17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27"/>
      <c r="O842" s="27"/>
      <c r="P842" s="18"/>
      <c r="Q842" s="1"/>
    </row>
    <row r="843" spans="1:17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27"/>
      <c r="O843" s="27"/>
      <c r="P843" s="18"/>
      <c r="Q843" s="1"/>
    </row>
    <row r="844" spans="1:17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27"/>
      <c r="O844" s="27"/>
      <c r="P844" s="18"/>
      <c r="Q844" s="1"/>
    </row>
    <row r="845" spans="1:17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27"/>
      <c r="O845" s="27"/>
      <c r="P845" s="18"/>
      <c r="Q845" s="1"/>
    </row>
    <row r="846" spans="1:17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27"/>
      <c r="O846" s="27"/>
      <c r="P846" s="18"/>
      <c r="Q846" s="1"/>
    </row>
    <row r="847" spans="1:17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27"/>
      <c r="O847" s="27"/>
      <c r="P847" s="18"/>
      <c r="Q847" s="1"/>
    </row>
    <row r="848" spans="1:17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27"/>
      <c r="O848" s="27"/>
      <c r="P848" s="18"/>
      <c r="Q848" s="1"/>
    </row>
    <row r="849" spans="1:17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27"/>
      <c r="O849" s="27"/>
      <c r="P849" s="18"/>
      <c r="Q849" s="1"/>
    </row>
    <row r="850" spans="1:17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27"/>
      <c r="O850" s="27"/>
      <c r="P850" s="18"/>
      <c r="Q850" s="1"/>
    </row>
    <row r="851" spans="1:17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27"/>
      <c r="O851" s="27"/>
      <c r="P851" s="18"/>
      <c r="Q851" s="1"/>
    </row>
    <row r="852" spans="1:17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27"/>
      <c r="O852" s="27"/>
      <c r="P852" s="18"/>
      <c r="Q852" s="1"/>
    </row>
    <row r="853" spans="1:17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27"/>
      <c r="O853" s="27"/>
      <c r="P853" s="18"/>
      <c r="Q853" s="1"/>
    </row>
    <row r="854" spans="1:17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27"/>
      <c r="O854" s="27"/>
      <c r="P854" s="18"/>
      <c r="Q854" s="1"/>
    </row>
    <row r="855" spans="1:17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27"/>
      <c r="O855" s="27"/>
      <c r="P855" s="18"/>
      <c r="Q855" s="1"/>
    </row>
    <row r="856" spans="1:17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27"/>
      <c r="O856" s="27"/>
      <c r="P856" s="18"/>
      <c r="Q856" s="1"/>
    </row>
    <row r="857" spans="1:17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27"/>
      <c r="O857" s="27"/>
      <c r="P857" s="18"/>
      <c r="Q857" s="1"/>
    </row>
    <row r="858" spans="1:17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27"/>
      <c r="O858" s="27"/>
      <c r="P858" s="18"/>
      <c r="Q858" s="1"/>
    </row>
    <row r="859" spans="1:17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27"/>
      <c r="O859" s="27"/>
      <c r="P859" s="18"/>
      <c r="Q859" s="1"/>
    </row>
    <row r="860" spans="1:17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27"/>
      <c r="O860" s="27"/>
      <c r="P860" s="18"/>
      <c r="Q860" s="1"/>
    </row>
    <row r="861" spans="1:17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27"/>
      <c r="O861" s="27"/>
      <c r="P861" s="18"/>
      <c r="Q861" s="1"/>
    </row>
    <row r="862" spans="1:17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27"/>
      <c r="O862" s="27"/>
      <c r="P862" s="18"/>
      <c r="Q862" s="1"/>
    </row>
    <row r="863" spans="1:17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27"/>
      <c r="O863" s="27"/>
      <c r="P863" s="18"/>
      <c r="Q863" s="1"/>
    </row>
    <row r="864" spans="1:17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27"/>
      <c r="O864" s="27"/>
      <c r="P864" s="18"/>
      <c r="Q864" s="1"/>
    </row>
    <row r="865" spans="1:17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27"/>
      <c r="O865" s="27"/>
      <c r="P865" s="18"/>
      <c r="Q865" s="1"/>
    </row>
    <row r="866" spans="1:17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27"/>
      <c r="O866" s="27"/>
      <c r="P866" s="18"/>
      <c r="Q866" s="1"/>
    </row>
    <row r="867" spans="1:17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27"/>
      <c r="O867" s="27"/>
      <c r="P867" s="18"/>
      <c r="Q867" s="1"/>
    </row>
    <row r="868" spans="1:17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27"/>
      <c r="O868" s="27"/>
      <c r="P868" s="18"/>
      <c r="Q868" s="1"/>
    </row>
    <row r="869" spans="1:17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27"/>
      <c r="O869" s="27"/>
      <c r="P869" s="18"/>
      <c r="Q869" s="1"/>
    </row>
    <row r="870" spans="1:17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27"/>
      <c r="O870" s="27"/>
      <c r="P870" s="18"/>
      <c r="Q870" s="1"/>
    </row>
    <row r="871" spans="1:17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27"/>
      <c r="O871" s="27"/>
      <c r="P871" s="18"/>
      <c r="Q871" s="1"/>
    </row>
    <row r="872" spans="1:17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27"/>
      <c r="O872" s="27"/>
      <c r="P872" s="18"/>
      <c r="Q872" s="1"/>
    </row>
    <row r="873" spans="1:17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27"/>
      <c r="O873" s="27"/>
      <c r="P873" s="18"/>
      <c r="Q873" s="1"/>
    </row>
    <row r="874" spans="1:17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27"/>
      <c r="O874" s="27"/>
      <c r="P874" s="18"/>
      <c r="Q874" s="1"/>
    </row>
    <row r="875" spans="1:17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27"/>
      <c r="O875" s="27"/>
      <c r="P875" s="18"/>
      <c r="Q875" s="1"/>
    </row>
    <row r="876" spans="1:17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27"/>
      <c r="O876" s="27"/>
      <c r="P876" s="18"/>
      <c r="Q876" s="1"/>
    </row>
    <row r="877" spans="1:17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27"/>
      <c r="O877" s="27"/>
      <c r="P877" s="18"/>
      <c r="Q877" s="1"/>
    </row>
    <row r="878" spans="1:17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27"/>
      <c r="O878" s="27"/>
      <c r="P878" s="18"/>
      <c r="Q878" s="1"/>
    </row>
    <row r="879" spans="1:17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27"/>
      <c r="O879" s="27"/>
      <c r="P879" s="18"/>
      <c r="Q879" s="1"/>
    </row>
    <row r="880" spans="1:17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27"/>
      <c r="O880" s="27"/>
      <c r="P880" s="18"/>
      <c r="Q880" s="1"/>
    </row>
    <row r="881" spans="1:17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27"/>
      <c r="O881" s="27"/>
      <c r="P881" s="18"/>
      <c r="Q881" s="1"/>
    </row>
    <row r="882" spans="1:17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27"/>
      <c r="O882" s="27"/>
      <c r="P882" s="18"/>
      <c r="Q882" s="1"/>
    </row>
    <row r="883" spans="1:17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27"/>
      <c r="O883" s="27"/>
      <c r="P883" s="18"/>
      <c r="Q883" s="1"/>
    </row>
    <row r="884" spans="1:17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27"/>
      <c r="O884" s="27"/>
      <c r="P884" s="18"/>
      <c r="Q884" s="1"/>
    </row>
    <row r="885" spans="1:17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27"/>
      <c r="O885" s="27"/>
      <c r="P885" s="18"/>
      <c r="Q885" s="1"/>
    </row>
    <row r="886" spans="1:17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27"/>
      <c r="O886" s="27"/>
      <c r="P886" s="18"/>
      <c r="Q886" s="1"/>
    </row>
    <row r="887" spans="1:17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27"/>
      <c r="O887" s="27"/>
      <c r="P887" s="18"/>
      <c r="Q887" s="1"/>
    </row>
    <row r="888" spans="1:17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27"/>
      <c r="O888" s="27"/>
      <c r="P888" s="18"/>
      <c r="Q888" s="1"/>
    </row>
    <row r="889" spans="1:17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27"/>
      <c r="O889" s="27"/>
      <c r="P889" s="18"/>
      <c r="Q889" s="1"/>
    </row>
    <row r="890" spans="1:17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27"/>
      <c r="O890" s="27"/>
      <c r="P890" s="18"/>
      <c r="Q890" s="1"/>
    </row>
    <row r="891" spans="1:17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27"/>
      <c r="O891" s="27"/>
      <c r="P891" s="18"/>
      <c r="Q891" s="1"/>
    </row>
    <row r="892" spans="1:17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27"/>
      <c r="O892" s="27"/>
      <c r="P892" s="18"/>
      <c r="Q892" s="1"/>
    </row>
    <row r="893" spans="1:17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27"/>
      <c r="O893" s="27"/>
      <c r="P893" s="18"/>
      <c r="Q893" s="1"/>
    </row>
    <row r="894" spans="1:17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27"/>
      <c r="O894" s="27"/>
      <c r="P894" s="18"/>
      <c r="Q894" s="1"/>
    </row>
    <row r="895" spans="1:17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27"/>
      <c r="O895" s="27"/>
      <c r="P895" s="18"/>
      <c r="Q895" s="1"/>
    </row>
    <row r="896" spans="1:17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27"/>
      <c r="O896" s="27"/>
      <c r="P896" s="18"/>
      <c r="Q896" s="1"/>
    </row>
    <row r="897" spans="1:17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27"/>
      <c r="O897" s="27"/>
      <c r="P897" s="18"/>
      <c r="Q897" s="1"/>
    </row>
    <row r="898" spans="1:17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27"/>
      <c r="O898" s="27"/>
      <c r="P898" s="18"/>
      <c r="Q898" s="1"/>
    </row>
    <row r="899" spans="1:17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27"/>
      <c r="O899" s="27"/>
      <c r="P899" s="18"/>
      <c r="Q899" s="1"/>
    </row>
    <row r="900" spans="1:17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27"/>
      <c r="O900" s="27"/>
      <c r="P900" s="18"/>
      <c r="Q900" s="1"/>
    </row>
    <row r="901" spans="1:17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27"/>
      <c r="O901" s="27"/>
      <c r="P901" s="18"/>
      <c r="Q901" s="1"/>
    </row>
    <row r="902" spans="1:17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27"/>
      <c r="O902" s="27"/>
      <c r="P902" s="18"/>
      <c r="Q902" s="1"/>
    </row>
    <row r="903" spans="1:17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27"/>
      <c r="O903" s="27"/>
      <c r="P903" s="18"/>
      <c r="Q903" s="1"/>
    </row>
    <row r="904" spans="1:17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27"/>
      <c r="O904" s="27"/>
      <c r="P904" s="18"/>
      <c r="Q904" s="1"/>
    </row>
    <row r="905" spans="1:17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27"/>
      <c r="O905" s="27"/>
      <c r="P905" s="18"/>
      <c r="Q905" s="1"/>
    </row>
    <row r="906" spans="1:17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27"/>
      <c r="O906" s="27"/>
      <c r="P906" s="18"/>
      <c r="Q906" s="1"/>
    </row>
    <row r="907" spans="1:17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27"/>
      <c r="O907" s="27"/>
      <c r="P907" s="18"/>
      <c r="Q907" s="1"/>
    </row>
    <row r="908" spans="1:17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27"/>
      <c r="O908" s="27"/>
      <c r="P908" s="18"/>
      <c r="Q908" s="1"/>
    </row>
    <row r="909" spans="1:17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27"/>
      <c r="O909" s="27"/>
      <c r="P909" s="18"/>
      <c r="Q909" s="1"/>
    </row>
    <row r="910" spans="1:17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27"/>
      <c r="O910" s="27"/>
      <c r="P910" s="18"/>
      <c r="Q910" s="1"/>
    </row>
    <row r="911" spans="1:17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27"/>
      <c r="O911" s="27"/>
      <c r="P911" s="18"/>
      <c r="Q911" s="1"/>
    </row>
    <row r="912" spans="1:17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27"/>
      <c r="O912" s="27"/>
      <c r="P912" s="18"/>
      <c r="Q912" s="1"/>
    </row>
    <row r="913" spans="1:17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27"/>
      <c r="O913" s="27"/>
      <c r="P913" s="18"/>
      <c r="Q913" s="1"/>
    </row>
    <row r="914" spans="1:17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27"/>
      <c r="O914" s="27"/>
      <c r="P914" s="18"/>
      <c r="Q914" s="1"/>
    </row>
    <row r="915" spans="1:17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27"/>
      <c r="O915" s="27"/>
      <c r="P915" s="18"/>
      <c r="Q915" s="1"/>
    </row>
    <row r="916" spans="1:17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27"/>
      <c r="O916" s="27"/>
      <c r="P916" s="18"/>
      <c r="Q916" s="1"/>
    </row>
    <row r="917" spans="1:17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27"/>
      <c r="O917" s="27"/>
      <c r="P917" s="18"/>
      <c r="Q917" s="1"/>
    </row>
    <row r="918" spans="1:17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27"/>
      <c r="O918" s="27"/>
      <c r="P918" s="18"/>
      <c r="Q918" s="1"/>
    </row>
    <row r="919" spans="1:17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27"/>
      <c r="O919" s="27"/>
      <c r="P919" s="18"/>
      <c r="Q919" s="1"/>
    </row>
    <row r="920" spans="1:17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27"/>
      <c r="O920" s="27"/>
      <c r="P920" s="18"/>
      <c r="Q920" s="1"/>
    </row>
    <row r="921" spans="1:17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27"/>
      <c r="O921" s="27"/>
      <c r="P921" s="18"/>
      <c r="Q921" s="1"/>
    </row>
    <row r="922" spans="1:17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27"/>
      <c r="O922" s="27"/>
      <c r="P922" s="18"/>
      <c r="Q922" s="1"/>
    </row>
    <row r="923" spans="1:17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27"/>
      <c r="O923" s="27"/>
      <c r="P923" s="18"/>
      <c r="Q923" s="1"/>
    </row>
    <row r="924" spans="1:17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27"/>
      <c r="O924" s="27"/>
      <c r="P924" s="18"/>
      <c r="Q924" s="1"/>
    </row>
    <row r="925" spans="1:17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27"/>
      <c r="O925" s="27"/>
      <c r="P925" s="18"/>
      <c r="Q925" s="1"/>
    </row>
    <row r="926" spans="1:17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27"/>
      <c r="O926" s="27"/>
      <c r="P926" s="18"/>
      <c r="Q926" s="1"/>
    </row>
    <row r="927" spans="1:17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27"/>
      <c r="O927" s="27"/>
      <c r="P927" s="18"/>
      <c r="Q927" s="1"/>
    </row>
    <row r="928" spans="1:17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27"/>
      <c r="O928" s="27"/>
      <c r="P928" s="18"/>
      <c r="Q928" s="1"/>
    </row>
    <row r="929" spans="1:17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27"/>
      <c r="O929" s="27"/>
      <c r="P929" s="18"/>
      <c r="Q929" s="1"/>
    </row>
    <row r="930" spans="1:17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27"/>
      <c r="O930" s="27"/>
      <c r="P930" s="18"/>
      <c r="Q930" s="1"/>
    </row>
    <row r="931" spans="1:17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27"/>
      <c r="O931" s="27"/>
      <c r="P931" s="18"/>
      <c r="Q931" s="1"/>
    </row>
    <row r="932" spans="1:17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27"/>
      <c r="O932" s="27"/>
      <c r="P932" s="18"/>
      <c r="Q932" s="1"/>
    </row>
    <row r="933" spans="1:17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27"/>
      <c r="O933" s="27"/>
      <c r="P933" s="18"/>
      <c r="Q933" s="1"/>
    </row>
    <row r="934" spans="1:17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27"/>
      <c r="O934" s="27"/>
      <c r="P934" s="18"/>
      <c r="Q934" s="1"/>
    </row>
    <row r="935" spans="1:17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27"/>
      <c r="O935" s="27"/>
      <c r="P935" s="18"/>
      <c r="Q935" s="1"/>
    </row>
    <row r="936" spans="1:17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27"/>
      <c r="O936" s="27"/>
      <c r="P936" s="18"/>
      <c r="Q936" s="1"/>
    </row>
    <row r="937" spans="1:17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27"/>
      <c r="O937" s="27"/>
      <c r="P937" s="18"/>
      <c r="Q937" s="1"/>
    </row>
    <row r="938" spans="1:17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27"/>
      <c r="O938" s="27"/>
      <c r="P938" s="18"/>
      <c r="Q938" s="1"/>
    </row>
    <row r="939" spans="1:17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27"/>
      <c r="O939" s="27"/>
      <c r="P939" s="18"/>
      <c r="Q939" s="1"/>
    </row>
    <row r="940" spans="1:17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27"/>
      <c r="O940" s="27"/>
      <c r="P940" s="18"/>
      <c r="Q940" s="1"/>
    </row>
    <row r="941" spans="1:17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27"/>
      <c r="O941" s="27"/>
      <c r="P941" s="18"/>
      <c r="Q941" s="1"/>
    </row>
    <row r="942" spans="1:17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27"/>
      <c r="O942" s="27"/>
      <c r="P942" s="18"/>
      <c r="Q942" s="1"/>
    </row>
    <row r="943" spans="1:17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27"/>
      <c r="O943" s="27"/>
      <c r="P943" s="18"/>
      <c r="Q943" s="1"/>
    </row>
    <row r="944" spans="1:17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27"/>
      <c r="O944" s="27"/>
      <c r="P944" s="18"/>
      <c r="Q944" s="1"/>
    </row>
    <row r="945" spans="1:17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27"/>
      <c r="O945" s="27"/>
      <c r="P945" s="18"/>
      <c r="Q945" s="1"/>
    </row>
    <row r="946" spans="1:17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27"/>
      <c r="O946" s="27"/>
      <c r="P946" s="18"/>
      <c r="Q946" s="1"/>
    </row>
    <row r="947" spans="1:17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27"/>
      <c r="O947" s="27"/>
      <c r="P947" s="18"/>
      <c r="Q947" s="1"/>
    </row>
    <row r="948" spans="1:17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27"/>
      <c r="O948" s="27"/>
      <c r="P948" s="18"/>
      <c r="Q948" s="1"/>
    </row>
    <row r="949" spans="1:17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27"/>
      <c r="O949" s="27"/>
      <c r="P949" s="18"/>
      <c r="Q949" s="1"/>
    </row>
    <row r="950" spans="1:17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27"/>
      <c r="O950" s="27"/>
      <c r="P950" s="18"/>
      <c r="Q950" s="1"/>
    </row>
    <row r="951" spans="1:17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27"/>
      <c r="O951" s="27"/>
      <c r="P951" s="18"/>
      <c r="Q951" s="1"/>
    </row>
    <row r="952" spans="1:17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27"/>
      <c r="O952" s="27"/>
      <c r="P952" s="18"/>
      <c r="Q952" s="1"/>
    </row>
    <row r="953" spans="1:17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27"/>
      <c r="O953" s="27"/>
      <c r="P953" s="18"/>
      <c r="Q953" s="1"/>
    </row>
    <row r="954" spans="1:17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27"/>
      <c r="O954" s="27"/>
      <c r="P954" s="18"/>
      <c r="Q954" s="1"/>
    </row>
    <row r="955" spans="1:17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27"/>
      <c r="O955" s="27"/>
      <c r="P955" s="18"/>
      <c r="Q955" s="1"/>
    </row>
    <row r="956" spans="1:17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27"/>
      <c r="O956" s="27"/>
      <c r="P956" s="18"/>
      <c r="Q956" s="1"/>
    </row>
    <row r="957" spans="1:17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27"/>
      <c r="O957" s="27"/>
      <c r="P957" s="18"/>
      <c r="Q957" s="1"/>
    </row>
    <row r="958" spans="1:17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27"/>
      <c r="O958" s="27"/>
      <c r="P958" s="18"/>
      <c r="Q958" s="1"/>
    </row>
    <row r="959" spans="1:17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27"/>
      <c r="O959" s="27"/>
      <c r="P959" s="18"/>
      <c r="Q959" s="1"/>
    </row>
    <row r="960" spans="1:17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27"/>
      <c r="O960" s="27"/>
      <c r="P960" s="18"/>
      <c r="Q960" s="1"/>
    </row>
    <row r="961" spans="1:17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27"/>
      <c r="O961" s="27"/>
      <c r="P961" s="18"/>
      <c r="Q961" s="1"/>
    </row>
    <row r="962" spans="1:17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27"/>
      <c r="O962" s="27"/>
      <c r="P962" s="18"/>
      <c r="Q962" s="1"/>
    </row>
    <row r="963" spans="1:17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27"/>
      <c r="O963" s="27"/>
      <c r="P963" s="18"/>
      <c r="Q963" s="1"/>
    </row>
    <row r="964" spans="1:17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27"/>
      <c r="O964" s="27"/>
      <c r="P964" s="18"/>
      <c r="Q964" s="1"/>
    </row>
    <row r="965" spans="1:17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27"/>
      <c r="O965" s="27"/>
      <c r="P965" s="18"/>
      <c r="Q965" s="1"/>
    </row>
    <row r="966" spans="1:17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27"/>
      <c r="O966" s="27"/>
      <c r="P966" s="18"/>
      <c r="Q966" s="1"/>
    </row>
    <row r="967" spans="1:17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27"/>
      <c r="O967" s="27"/>
      <c r="P967" s="18"/>
      <c r="Q967" s="1"/>
    </row>
    <row r="968" spans="1:17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27"/>
      <c r="O968" s="27"/>
      <c r="P968" s="18"/>
      <c r="Q968" s="1"/>
    </row>
    <row r="969" spans="1:17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27"/>
      <c r="O969" s="27"/>
      <c r="P969" s="18"/>
      <c r="Q969" s="1"/>
    </row>
    <row r="970" spans="1:17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27"/>
      <c r="O970" s="27"/>
      <c r="P970" s="18"/>
      <c r="Q970" s="1"/>
    </row>
    <row r="971" spans="1:17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27"/>
      <c r="O971" s="27"/>
      <c r="P971" s="18"/>
      <c r="Q971" s="1"/>
    </row>
    <row r="972" spans="1:17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27"/>
      <c r="O972" s="27"/>
      <c r="P972" s="18"/>
      <c r="Q972" s="1"/>
    </row>
    <row r="973" spans="1:17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27"/>
      <c r="O973" s="27"/>
      <c r="P973" s="18"/>
      <c r="Q973" s="1"/>
    </row>
    <row r="974" spans="1:17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27"/>
      <c r="O974" s="27"/>
      <c r="P974" s="18"/>
      <c r="Q974" s="1"/>
    </row>
    <row r="975" spans="1:17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27"/>
      <c r="O975" s="27"/>
      <c r="P975" s="18"/>
      <c r="Q975" s="1"/>
    </row>
    <row r="976" spans="1:17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27"/>
      <c r="O976" s="27"/>
      <c r="P976" s="18"/>
      <c r="Q976" s="1"/>
    </row>
    <row r="977" spans="1:17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27"/>
      <c r="O977" s="27"/>
      <c r="P977" s="18"/>
      <c r="Q977" s="1"/>
    </row>
    <row r="978" spans="1:17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27"/>
      <c r="O978" s="27"/>
      <c r="P978" s="18"/>
      <c r="Q978" s="1"/>
    </row>
    <row r="979" spans="1:17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27"/>
      <c r="O979" s="27"/>
      <c r="P979" s="18"/>
      <c r="Q979" s="1"/>
    </row>
    <row r="980" spans="1:17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27"/>
      <c r="O980" s="27"/>
      <c r="P980" s="18"/>
      <c r="Q980" s="1"/>
    </row>
    <row r="981" spans="1:17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27"/>
      <c r="O981" s="27"/>
      <c r="P981" s="18"/>
      <c r="Q981" s="1"/>
    </row>
    <row r="982" spans="1:17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27"/>
      <c r="O982" s="27"/>
      <c r="P982" s="18"/>
      <c r="Q982" s="1"/>
    </row>
    <row r="983" spans="1:17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27"/>
      <c r="O983" s="27"/>
      <c r="P983" s="18"/>
      <c r="Q983" s="1"/>
    </row>
    <row r="984" spans="1:17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27"/>
      <c r="O984" s="27"/>
      <c r="P984" s="18"/>
      <c r="Q984" s="1"/>
    </row>
    <row r="985" spans="1:17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27"/>
      <c r="O985" s="27"/>
      <c r="P985" s="18"/>
      <c r="Q985" s="1"/>
    </row>
    <row r="986" spans="1:17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27"/>
      <c r="O986" s="27"/>
      <c r="P986" s="18"/>
      <c r="Q986" s="1"/>
    </row>
    <row r="987" spans="1:17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27"/>
      <c r="O987" s="27"/>
      <c r="P987" s="18"/>
      <c r="Q987" s="1"/>
    </row>
    <row r="988" spans="1:17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27"/>
      <c r="O988" s="27"/>
      <c r="P988" s="18"/>
      <c r="Q988" s="1"/>
    </row>
    <row r="989" spans="1:17" ht="12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27"/>
      <c r="O989" s="27"/>
      <c r="P989" s="18"/>
      <c r="Q989" s="1"/>
    </row>
    <row r="990" spans="1:17" ht="12.75">
      <c r="A990" s="1"/>
      <c r="B990" s="1"/>
      <c r="C990" s="1"/>
      <c r="D990" s="1"/>
      <c r="E990" s="1"/>
      <c r="F990" s="1"/>
      <c r="G990" s="1"/>
      <c r="M990" s="1"/>
      <c r="N990" s="27"/>
      <c r="O990" s="27"/>
      <c r="P990" s="18"/>
      <c r="Q990" s="1"/>
    </row>
    <row r="991" spans="1:17" ht="12.75">
      <c r="A991" s="1"/>
      <c r="B991" s="1"/>
      <c r="C991" s="1"/>
      <c r="D991" s="1"/>
      <c r="E991" s="1"/>
      <c r="F991" s="1"/>
      <c r="G991" s="1"/>
      <c r="M991" s="1"/>
      <c r="N991" s="27"/>
      <c r="O991" s="27"/>
      <c r="P991" s="18"/>
      <c r="Q991" s="1"/>
    </row>
    <row r="992" spans="1:17" ht="12.75">
      <c r="A992" s="1"/>
      <c r="B992" s="1"/>
      <c r="C992" s="1"/>
      <c r="D992" s="1"/>
      <c r="E992" s="1"/>
      <c r="F992" s="1"/>
      <c r="G992" s="1"/>
      <c r="M992" s="1"/>
      <c r="N992" s="27"/>
      <c r="O992" s="27"/>
      <c r="P992" s="18"/>
      <c r="Q992" s="1"/>
    </row>
    <row r="993" spans="1:17" ht="12.75">
      <c r="A993" s="1"/>
      <c r="B993" s="1"/>
      <c r="C993" s="1"/>
      <c r="D993" s="1"/>
      <c r="E993" s="1"/>
      <c r="F993" s="1"/>
      <c r="G993" s="1"/>
      <c r="M993" s="1"/>
      <c r="N993" s="27"/>
      <c r="O993" s="27"/>
      <c r="P993" s="18"/>
      <c r="Q993" s="1"/>
    </row>
    <row r="994" spans="1:17" ht="12.75">
      <c r="A994" s="1"/>
      <c r="B994" s="1"/>
      <c r="C994" s="1"/>
      <c r="D994" s="1"/>
      <c r="E994" s="1"/>
      <c r="F994" s="1"/>
      <c r="G994" s="1"/>
      <c r="M994" s="1"/>
      <c r="N994" s="27"/>
      <c r="O994" s="27"/>
      <c r="P994" s="18"/>
      <c r="Q994" s="1"/>
    </row>
    <row r="995" spans="1:17" ht="12.75">
      <c r="A995" s="1"/>
      <c r="B995" s="1"/>
      <c r="C995" s="1"/>
      <c r="D995" s="1"/>
      <c r="E995" s="1"/>
      <c r="F995" s="1"/>
      <c r="G995" s="1"/>
      <c r="M995" s="1"/>
      <c r="N995" s="27"/>
      <c r="O995" s="27"/>
      <c r="P995" s="18"/>
      <c r="Q995" s="1"/>
    </row>
    <row r="996" spans="1:17" ht="12.75">
      <c r="A996" s="1"/>
      <c r="B996" s="1"/>
      <c r="C996" s="1"/>
      <c r="D996" s="1"/>
      <c r="E996" s="1"/>
      <c r="F996" s="1"/>
      <c r="G996" s="1"/>
      <c r="M996" s="1"/>
      <c r="N996" s="27"/>
      <c r="O996" s="27"/>
      <c r="P996" s="18"/>
      <c r="Q996" s="1"/>
    </row>
    <row r="997" spans="1:17" ht="12.75">
      <c r="A997" s="1"/>
      <c r="B997" s="1"/>
      <c r="C997" s="1"/>
      <c r="D997" s="1"/>
      <c r="E997" s="1"/>
      <c r="F997" s="1"/>
      <c r="G997" s="1"/>
      <c r="M997" s="1"/>
      <c r="N997" s="27"/>
      <c r="O997" s="27"/>
      <c r="P997" s="18"/>
      <c r="Q997" s="1"/>
    </row>
    <row r="998" spans="1:17" ht="12.75">
      <c r="A998" s="1"/>
      <c r="B998" s="1"/>
      <c r="C998" s="1"/>
      <c r="D998" s="1"/>
      <c r="E998" s="1"/>
      <c r="F998" s="1"/>
      <c r="G998" s="1"/>
      <c r="M998" s="1"/>
      <c r="N998" s="27"/>
      <c r="O998" s="27"/>
      <c r="P998" s="18"/>
      <c r="Q998" s="1"/>
    </row>
    <row r="999" spans="1:17" ht="12.75">
      <c r="A999" s="1"/>
      <c r="B999" s="1"/>
      <c r="C999" s="1"/>
      <c r="D999" s="1"/>
      <c r="E999" s="1"/>
      <c r="F999" s="1"/>
      <c r="G999" s="1"/>
      <c r="M999" s="1"/>
      <c r="N999" s="27"/>
      <c r="O999" s="27"/>
      <c r="P999" s="18"/>
      <c r="Q999" s="1"/>
    </row>
  </sheetData>
  <mergeCells count="10">
    <mergeCell ref="A1:Q1"/>
    <mergeCell ref="A2:Q2"/>
    <mergeCell ref="A7:Q7"/>
    <mergeCell ref="D8:G8"/>
    <mergeCell ref="I8:L8"/>
    <mergeCell ref="N8:P8"/>
    <mergeCell ref="A3:Q3"/>
    <mergeCell ref="A4:Q4"/>
    <mergeCell ref="A5:Q5"/>
    <mergeCell ref="A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 cse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2025-11-25T07:01:59Z</dcterms:modified>
</cp:coreProperties>
</file>