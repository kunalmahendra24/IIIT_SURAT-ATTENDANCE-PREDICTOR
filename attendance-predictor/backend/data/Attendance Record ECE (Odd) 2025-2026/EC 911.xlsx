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r. Tanmay\Downloads\"/>
    </mc:Choice>
  </mc:AlternateContent>
  <bookViews>
    <workbookView xWindow="0" yWindow="0" windowWidth="28800" windowHeight="12330"/>
  </bookViews>
  <sheets>
    <sheet name="TOTAL" sheetId="5" r:id="rId1"/>
  </sheets>
  <calcPr calcId="162913"/>
</workbook>
</file>

<file path=xl/calcChain.xml><?xml version="1.0" encoding="utf-8"?>
<calcChain xmlns="http://schemas.openxmlformats.org/spreadsheetml/2006/main">
  <c r="G4" i="5" l="1"/>
  <c r="J7" i="5"/>
  <c r="G6" i="5"/>
  <c r="K7" i="5" l="1"/>
  <c r="G7" i="5"/>
  <c r="L7" i="5" s="1"/>
  <c r="J5" i="5"/>
  <c r="G5" i="5"/>
  <c r="K5" i="5"/>
  <c r="L5" i="5" l="1"/>
  <c r="J6" i="5"/>
  <c r="L6" i="5" s="1"/>
  <c r="K6" i="5"/>
  <c r="J4" i="5"/>
  <c r="L4" i="5" s="1"/>
  <c r="K4" i="5"/>
</calcChain>
</file>

<file path=xl/sharedStrings.xml><?xml version="1.0" encoding="utf-8"?>
<sst xmlns="http://schemas.openxmlformats.org/spreadsheetml/2006/main" count="21" uniqueCount="21">
  <si>
    <t>SL.No.</t>
  </si>
  <si>
    <t xml:space="preserve">Register No. </t>
  </si>
  <si>
    <t>PG25EC01</t>
  </si>
  <si>
    <t>SINDHURI VEMPALLA</t>
  </si>
  <si>
    <t>PG25EC02</t>
  </si>
  <si>
    <t>HARSH GOSWAMI</t>
  </si>
  <si>
    <t>PG25EC03</t>
  </si>
  <si>
    <t>PATEL DEV ASHOKBHAI</t>
  </si>
  <si>
    <t>PG25EC04</t>
  </si>
  <si>
    <t>ARPITA SINGH</t>
  </si>
  <si>
    <t>Attended Lec(TD)</t>
  </si>
  <si>
    <t>Attended Lec(SN)</t>
  </si>
  <si>
    <t>Attended Lab</t>
  </si>
  <si>
    <t>Total Attended Lec+Lab</t>
  </si>
  <si>
    <t>Total Lec Conducted
TD+SN</t>
  </si>
  <si>
    <t>Total Lab Conducted</t>
  </si>
  <si>
    <t>Total Lec+Lab Conducted</t>
  </si>
  <si>
    <t>Lecture Percentage (%)</t>
  </si>
  <si>
    <t>Total Percentage (%)</t>
  </si>
  <si>
    <t>First Name</t>
  </si>
  <si>
    <t>Indian Institute of Information Technology (IIIT), Surat                                                                                                                Electronics and Communication Engineering Department                                                                                                             
M.Tech -I Semester - I                                                                                                                                                                                         Subject Name: Analog VLSI Design (EC-911)                                                                          Subject Coordinator: Dr. Tanmay Dubey                                                                                                                                                                                                       
Academic Year: 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</si>
</sst>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scheme val="minor"/>
    </font>
    <font>
      <b/>
      <sz val="8"/>
      <color theme="1"/>
      <name val="Arial"/>
    </font>
    <font>
      <sz val="11"/>
      <name val="Calibri"/>
    </font>
    <font>
      <b/>
      <sz val="11"/>
      <color theme="1"/>
      <name val="Times New Roman"/>
    </font>
    <font>
      <b/>
      <sz val="11"/>
      <color theme="1"/>
      <name val="Times"/>
    </font>
    <font>
      <b/>
      <sz val="11"/>
      <color theme="1"/>
      <name val="Calibri"/>
    </font>
    <font>
      <b/>
      <sz val="10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theme="1"/>
      <name val="Inconsolata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79646"/>
        <bgColor rgb="FFF79646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1" fontId="3" fillId="0" borderId="4" xfId="0" applyNumberFormat="1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1" fontId="8" fillId="0" borderId="5" xfId="0" applyNumberFormat="1" applyFont="1" applyBorder="1" applyAlignment="1"/>
    <xf numFmtId="0" fontId="6" fillId="0" borderId="4" xfId="0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/>
    </xf>
    <xf numFmtId="1" fontId="8" fillId="0" borderId="3" xfId="0" applyNumberFormat="1" applyFont="1" applyBorder="1" applyAlignment="1"/>
    <xf numFmtId="0" fontId="6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" fontId="3" fillId="5" borderId="4" xfId="0" applyNumberFormat="1" applyFont="1" applyFill="1" applyBorder="1" applyAlignment="1">
      <alignment horizontal="center" vertical="center" wrapText="1"/>
    </xf>
    <xf numFmtId="1" fontId="3" fillId="6" borderId="4" xfId="0" applyNumberFormat="1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 vertical="center" wrapText="1"/>
    </xf>
    <xf numFmtId="1" fontId="4" fillId="3" borderId="4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2"/>
  <sheetViews>
    <sheetView tabSelected="1" workbookViewId="0">
      <pane ySplit="2" topLeftCell="A3" activePane="bottomLeft" state="frozen"/>
      <selection pane="bottomLeft" activeCell="Q12" sqref="Q12"/>
    </sheetView>
  </sheetViews>
  <sheetFormatPr defaultColWidth="14.42578125" defaultRowHeight="15" customHeight="1"/>
  <cols>
    <col min="1" max="1" width="10" customWidth="1"/>
    <col min="2" max="2" width="14" customWidth="1"/>
    <col min="3" max="3" width="34.42578125" customWidth="1"/>
    <col min="4" max="4" width="10.42578125" customWidth="1"/>
    <col min="5" max="5" width="10.42578125" hidden="1" customWidth="1"/>
    <col min="6" max="6" width="10" customWidth="1"/>
    <col min="7" max="7" width="11.42578125" customWidth="1"/>
    <col min="8" max="8" width="13.42578125" customWidth="1"/>
    <col min="9" max="10" width="11.85546875" customWidth="1"/>
    <col min="11" max="12" width="12.7109375" customWidth="1"/>
    <col min="13" max="14" width="8.7109375" customWidth="1"/>
  </cols>
  <sheetData>
    <row r="1" spans="1:12" ht="155.25" customHeight="1">
      <c r="A1" s="23" t="s">
        <v>20</v>
      </c>
      <c r="B1" s="24"/>
      <c r="C1" s="24"/>
      <c r="D1" s="10" t="s">
        <v>10</v>
      </c>
      <c r="E1" s="10" t="s">
        <v>11</v>
      </c>
      <c r="F1" s="11" t="s">
        <v>12</v>
      </c>
      <c r="G1" s="12" t="s">
        <v>13</v>
      </c>
      <c r="H1" s="10" t="s">
        <v>14</v>
      </c>
      <c r="I1" s="11" t="s">
        <v>15</v>
      </c>
      <c r="J1" s="12" t="s">
        <v>16</v>
      </c>
      <c r="K1" s="13" t="s">
        <v>17</v>
      </c>
      <c r="L1" s="13" t="s">
        <v>18</v>
      </c>
    </row>
    <row r="2" spans="1:12">
      <c r="A2" s="14"/>
      <c r="B2" s="14"/>
      <c r="C2" s="14"/>
      <c r="D2" s="15"/>
      <c r="E2" s="15"/>
      <c r="F2" s="15"/>
      <c r="G2" s="16"/>
      <c r="H2" s="11"/>
      <c r="I2" s="11"/>
      <c r="J2" s="17"/>
      <c r="K2" s="18"/>
      <c r="L2" s="18"/>
    </row>
    <row r="3" spans="1:12">
      <c r="A3" s="6" t="s">
        <v>0</v>
      </c>
      <c r="B3" s="6" t="s">
        <v>1</v>
      </c>
      <c r="C3" s="9" t="s">
        <v>19</v>
      </c>
      <c r="D3" s="1"/>
      <c r="E3" s="1"/>
      <c r="F3" s="1"/>
      <c r="G3" s="16"/>
      <c r="H3" s="11"/>
      <c r="I3" s="11"/>
      <c r="J3" s="17"/>
      <c r="K3" s="18"/>
      <c r="L3" s="18"/>
    </row>
    <row r="4" spans="1:12">
      <c r="A4" s="2">
        <v>1</v>
      </c>
      <c r="B4" s="7" t="s">
        <v>2</v>
      </c>
      <c r="C4" s="8" t="s">
        <v>3</v>
      </c>
      <c r="D4" s="19">
        <v>36</v>
      </c>
      <c r="E4" s="19">
        <v>0</v>
      </c>
      <c r="F4" s="20">
        <v>0</v>
      </c>
      <c r="G4" s="21">
        <f t="shared" ref="G4:G7" si="0">D4+E4+F4</f>
        <v>36</v>
      </c>
      <c r="H4" s="11">
        <v>40</v>
      </c>
      <c r="I4" s="11">
        <v>0</v>
      </c>
      <c r="J4" s="17">
        <f t="shared" ref="J4:J7" si="1">SUM(H4:I4)</f>
        <v>40</v>
      </c>
      <c r="K4" s="22">
        <f t="shared" ref="K4:K7" si="2">(D4+E4)/H4*100</f>
        <v>90</v>
      </c>
      <c r="L4" s="22">
        <f>(G4/J4)*100</f>
        <v>90</v>
      </c>
    </row>
    <row r="5" spans="1:12">
      <c r="A5" s="3">
        <v>2</v>
      </c>
      <c r="B5" s="4" t="s">
        <v>4</v>
      </c>
      <c r="C5" s="5" t="s">
        <v>5</v>
      </c>
      <c r="D5" s="19">
        <v>39</v>
      </c>
      <c r="E5" s="19">
        <v>0</v>
      </c>
      <c r="F5" s="20">
        <v>0</v>
      </c>
      <c r="G5" s="21">
        <f t="shared" si="0"/>
        <v>39</v>
      </c>
      <c r="H5" s="11">
        <v>40</v>
      </c>
      <c r="I5" s="11">
        <v>0</v>
      </c>
      <c r="J5" s="17">
        <f t="shared" si="1"/>
        <v>40</v>
      </c>
      <c r="K5" s="22">
        <f t="shared" si="2"/>
        <v>97.5</v>
      </c>
      <c r="L5" s="22">
        <f>(G5/J5)*100</f>
        <v>97.5</v>
      </c>
    </row>
    <row r="6" spans="1:12">
      <c r="A6" s="2">
        <v>3</v>
      </c>
      <c r="B6" s="4" t="s">
        <v>6</v>
      </c>
      <c r="C6" s="5" t="s">
        <v>7</v>
      </c>
      <c r="D6" s="19">
        <v>40</v>
      </c>
      <c r="E6" s="19">
        <v>0</v>
      </c>
      <c r="F6" s="20">
        <v>0</v>
      </c>
      <c r="G6" s="21">
        <f t="shared" si="0"/>
        <v>40</v>
      </c>
      <c r="H6" s="11">
        <v>40</v>
      </c>
      <c r="I6" s="11">
        <v>0</v>
      </c>
      <c r="J6" s="17">
        <f t="shared" si="1"/>
        <v>40</v>
      </c>
      <c r="K6" s="22">
        <f t="shared" si="2"/>
        <v>100</v>
      </c>
      <c r="L6" s="22">
        <f>(G6/J6)*100</f>
        <v>100</v>
      </c>
    </row>
    <row r="7" spans="1:12">
      <c r="A7" s="2">
        <v>4</v>
      </c>
      <c r="B7" s="4" t="s">
        <v>8</v>
      </c>
      <c r="C7" s="5" t="s">
        <v>9</v>
      </c>
      <c r="D7" s="19">
        <v>39</v>
      </c>
      <c r="E7" s="19">
        <v>0</v>
      </c>
      <c r="F7" s="20">
        <v>0</v>
      </c>
      <c r="G7" s="21">
        <f t="shared" si="0"/>
        <v>39</v>
      </c>
      <c r="H7" s="11">
        <v>40</v>
      </c>
      <c r="I7" s="11">
        <v>0</v>
      </c>
      <c r="J7" s="17">
        <f t="shared" si="1"/>
        <v>40</v>
      </c>
      <c r="K7" s="22">
        <f t="shared" si="2"/>
        <v>97.5</v>
      </c>
      <c r="L7" s="22">
        <f>(G7/J7)*100</f>
        <v>97.5</v>
      </c>
    </row>
    <row r="8" spans="1:12" ht="15.75" customHeight="1"/>
    <row r="9" spans="1:12" ht="15.75" customHeight="1"/>
    <row r="10" spans="1:12" ht="15.75" customHeight="1"/>
    <row r="11" spans="1:12" ht="15.75" customHeight="1"/>
    <row r="12" spans="1:12" ht="15.75" customHeight="1"/>
    <row r="13" spans="1:12" ht="15.75" customHeight="1"/>
    <row r="14" spans="1:12" ht="15.75" customHeight="1"/>
    <row r="15" spans="1:12" ht="15.75" customHeight="1"/>
    <row r="16" spans="1:1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</sheetData>
  <mergeCells count="1">
    <mergeCell ref="A1:C1"/>
  </mergeCells>
  <conditionalFormatting sqref="K4:L7">
    <cfRule type="cellIs" dxfId="0" priority="1" operator="lessThan">
      <formula>75</formula>
    </cfRule>
  </conditionalFormatting>
  <pageMargins left="0.25" right="0.25" top="0.75" bottom="0.75" header="0" footer="0"/>
  <pageSetup paperSize="3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Tanmay</cp:lastModifiedBy>
  <dcterms:modified xsi:type="dcterms:W3CDTF">2025-11-24T09:10:54Z</dcterms:modified>
</cp:coreProperties>
</file>